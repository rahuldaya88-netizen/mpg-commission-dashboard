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5-11-Jun\"/>
    </mc:Choice>
  </mc:AlternateContent>
  <xr:revisionPtr revIDLastSave="0" documentId="13_ncr:1_{A3F38631-E73F-47B0-AA26-58AFD9E200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Payment'!$A$2:$AG$71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89" i="6" l="1"/>
  <c r="M1289" i="6"/>
  <c r="N1289" i="6"/>
  <c r="O1289" i="6" s="1"/>
  <c r="R1289" i="6" s="1"/>
  <c r="T1289" i="6" s="1"/>
  <c r="U1289" i="6" s="1"/>
  <c r="V1289" i="6" s="1"/>
  <c r="W1289" i="6" s="1"/>
  <c r="P1289" i="6"/>
  <c r="Q1289" i="6"/>
  <c r="S1289" i="6"/>
  <c r="L1290" i="6"/>
  <c r="M1290" i="6"/>
  <c r="N1290" i="6"/>
  <c r="O1290" i="6" s="1"/>
  <c r="R1290" i="6" s="1"/>
  <c r="T1290" i="6" s="1"/>
  <c r="U1290" i="6" s="1"/>
  <c r="V1290" i="6" s="1"/>
  <c r="W1290" i="6" s="1"/>
  <c r="P1290" i="6"/>
  <c r="Q1290" i="6"/>
  <c r="S1290" i="6"/>
  <c r="L1291" i="6"/>
  <c r="M1291" i="6"/>
  <c r="N1291" i="6"/>
  <c r="O1291" i="6" s="1"/>
  <c r="R1291" i="6" s="1"/>
  <c r="T1291" i="6" s="1"/>
  <c r="U1291" i="6" s="1"/>
  <c r="V1291" i="6" s="1"/>
  <c r="W1291" i="6" s="1"/>
  <c r="P1291" i="6"/>
  <c r="Q1291" i="6"/>
  <c r="S1291" i="6"/>
  <c r="L1292" i="6"/>
  <c r="M1292" i="6"/>
  <c r="N1292" i="6"/>
  <c r="O1292" i="6" s="1"/>
  <c r="R1292" i="6" s="1"/>
  <c r="T1292" i="6" s="1"/>
  <c r="U1292" i="6" s="1"/>
  <c r="V1292" i="6" s="1"/>
  <c r="W1292" i="6" s="1"/>
  <c r="P1292" i="6"/>
  <c r="Q1292" i="6"/>
  <c r="S1292" i="6"/>
  <c r="L1293" i="6"/>
  <c r="M1293" i="6"/>
  <c r="N1293" i="6"/>
  <c r="O1293" i="6" s="1"/>
  <c r="R1293" i="6" s="1"/>
  <c r="T1293" i="6" s="1"/>
  <c r="U1293" i="6" s="1"/>
  <c r="V1293" i="6" s="1"/>
  <c r="W1293" i="6" s="1"/>
  <c r="P1293" i="6"/>
  <c r="Q1293" i="6"/>
  <c r="S1293" i="6"/>
  <c r="L1294" i="6"/>
  <c r="M1294" i="6"/>
  <c r="N1294" i="6"/>
  <c r="O1294" i="6" s="1"/>
  <c r="R1294" i="6" s="1"/>
  <c r="T1294" i="6" s="1"/>
  <c r="U1294" i="6" s="1"/>
  <c r="V1294" i="6" s="1"/>
  <c r="W1294" i="6" s="1"/>
  <c r="P1294" i="6"/>
  <c r="Q1294" i="6"/>
  <c r="S1294" i="6"/>
  <c r="L1295" i="6"/>
  <c r="M1295" i="6"/>
  <c r="N1295" i="6"/>
  <c r="O1295" i="6" s="1"/>
  <c r="R1295" i="6" s="1"/>
  <c r="T1295" i="6" s="1"/>
  <c r="U1295" i="6" s="1"/>
  <c r="V1295" i="6" s="1"/>
  <c r="W1295" i="6" s="1"/>
  <c r="P1295" i="6"/>
  <c r="Q1295" i="6"/>
  <c r="S1295" i="6"/>
  <c r="L1296" i="6"/>
  <c r="M1296" i="6"/>
  <c r="N1296" i="6"/>
  <c r="O1296" i="6" s="1"/>
  <c r="R1296" i="6" s="1"/>
  <c r="T1296" i="6" s="1"/>
  <c r="U1296" i="6" s="1"/>
  <c r="V1296" i="6" s="1"/>
  <c r="W1296" i="6" s="1"/>
  <c r="P1296" i="6"/>
  <c r="Q1296" i="6"/>
  <c r="S1296" i="6"/>
  <c r="L1297" i="6"/>
  <c r="M1297" i="6"/>
  <c r="N1297" i="6"/>
  <c r="O1297" i="6" s="1"/>
  <c r="R1297" i="6" s="1"/>
  <c r="T1297" i="6" s="1"/>
  <c r="U1297" i="6" s="1"/>
  <c r="V1297" i="6" s="1"/>
  <c r="W1297" i="6" s="1"/>
  <c r="P1297" i="6"/>
  <c r="Q1297" i="6"/>
  <c r="S1297" i="6"/>
  <c r="L1298" i="6"/>
  <c r="M1298" i="6"/>
  <c r="N1298" i="6"/>
  <c r="O1298" i="6" s="1"/>
  <c r="R1298" i="6" s="1"/>
  <c r="T1298" i="6" s="1"/>
  <c r="U1298" i="6" s="1"/>
  <c r="V1298" i="6" s="1"/>
  <c r="W1298" i="6" s="1"/>
  <c r="P1298" i="6"/>
  <c r="Q1298" i="6"/>
  <c r="S1298" i="6"/>
  <c r="L1299" i="6"/>
  <c r="M1299" i="6"/>
  <c r="N1299" i="6"/>
  <c r="O1299" i="6" s="1"/>
  <c r="R1299" i="6" s="1"/>
  <c r="T1299" i="6" s="1"/>
  <c r="U1299" i="6" s="1"/>
  <c r="V1299" i="6" s="1"/>
  <c r="W1299" i="6" s="1"/>
  <c r="P1299" i="6"/>
  <c r="Q1299" i="6"/>
  <c r="S1299" i="6"/>
  <c r="L1300" i="6"/>
  <c r="M1300" i="6"/>
  <c r="N1300" i="6"/>
  <c r="O1300" i="6" s="1"/>
  <c r="R1300" i="6" s="1"/>
  <c r="T1300" i="6" s="1"/>
  <c r="U1300" i="6" s="1"/>
  <c r="V1300" i="6" s="1"/>
  <c r="W1300" i="6" s="1"/>
  <c r="P1300" i="6"/>
  <c r="Q1300" i="6"/>
  <c r="S1300" i="6"/>
  <c r="L1301" i="6"/>
  <c r="M1301" i="6"/>
  <c r="N1301" i="6"/>
  <c r="O1301" i="6" s="1"/>
  <c r="R1301" i="6" s="1"/>
  <c r="T1301" i="6" s="1"/>
  <c r="U1301" i="6" s="1"/>
  <c r="V1301" i="6" s="1"/>
  <c r="W1301" i="6" s="1"/>
  <c r="P1301" i="6"/>
  <c r="Q1301" i="6"/>
  <c r="S1301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T565" i="6" s="1"/>
  <c r="U565" i="6" s="1"/>
  <c r="V565" i="6" s="1"/>
  <c r="W565" i="6" s="1"/>
  <c r="N566" i="6"/>
  <c r="P566" i="6" s="1"/>
  <c r="Q566" i="6" s="1"/>
  <c r="N567" i="6"/>
  <c r="O567" i="6" s="1"/>
  <c r="R567" i="6" s="1"/>
  <c r="T567" i="6" s="1"/>
  <c r="U567" i="6" s="1"/>
  <c r="V567" i="6" s="1"/>
  <c r="W567" i="6" s="1"/>
  <c r="N568" i="6"/>
  <c r="N569" i="6"/>
  <c r="N570" i="6"/>
  <c r="N571" i="6"/>
  <c r="N572" i="6"/>
  <c r="N573" i="6"/>
  <c r="N574" i="6"/>
  <c r="N575" i="6"/>
  <c r="N576" i="6"/>
  <c r="N577" i="6"/>
  <c r="N578" i="6"/>
  <c r="O578" i="6" s="1"/>
  <c r="R578" i="6" s="1"/>
  <c r="T578" i="6" s="1"/>
  <c r="U578" i="6" s="1"/>
  <c r="V578" i="6" s="1"/>
  <c r="W578" i="6" s="1"/>
  <c r="N579" i="6"/>
  <c r="P579" i="6" s="1"/>
  <c r="Q579" i="6" s="1"/>
  <c r="N580" i="6"/>
  <c r="N581" i="6"/>
  <c r="N582" i="6"/>
  <c r="O582" i="6" s="1"/>
  <c r="R582" i="6" s="1"/>
  <c r="N583" i="6"/>
  <c r="P583" i="6" s="1"/>
  <c r="Q583" i="6" s="1"/>
  <c r="N584" i="6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N593" i="6"/>
  <c r="N594" i="6"/>
  <c r="N595" i="6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N605" i="6"/>
  <c r="N606" i="6"/>
  <c r="N607" i="6"/>
  <c r="O607" i="6" s="1"/>
  <c r="R607" i="6" s="1"/>
  <c r="N608" i="6"/>
  <c r="N609" i="6"/>
  <c r="O609" i="6" s="1"/>
  <c r="R609" i="6" s="1"/>
  <c r="T609" i="6" s="1"/>
  <c r="U609" i="6" s="1"/>
  <c r="V609" i="6" s="1"/>
  <c r="W609" i="6" s="1"/>
  <c r="N610" i="6"/>
  <c r="O610" i="6" s="1"/>
  <c r="R610" i="6" s="1"/>
  <c r="T610" i="6" s="1"/>
  <c r="U610" i="6" s="1"/>
  <c r="V610" i="6" s="1"/>
  <c r="W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T615" i="6" s="1"/>
  <c r="U615" i="6" s="1"/>
  <c r="V615" i="6" s="1"/>
  <c r="W615" i="6" s="1"/>
  <c r="N616" i="6"/>
  <c r="N617" i="6"/>
  <c r="N618" i="6"/>
  <c r="N619" i="6"/>
  <c r="N620" i="6"/>
  <c r="O620" i="6" s="1"/>
  <c r="R620" i="6" s="1"/>
  <c r="N621" i="6"/>
  <c r="N622" i="6"/>
  <c r="P622" i="6" s="1"/>
  <c r="Q622" i="6" s="1"/>
  <c r="N623" i="6"/>
  <c r="N624" i="6"/>
  <c r="N625" i="6"/>
  <c r="N626" i="6"/>
  <c r="O626" i="6" s="1"/>
  <c r="R626" i="6" s="1"/>
  <c r="T626" i="6" s="1"/>
  <c r="U626" i="6" s="1"/>
  <c r="V626" i="6" s="1"/>
  <c r="W626" i="6" s="1"/>
  <c r="N627" i="6"/>
  <c r="N628" i="6"/>
  <c r="N629" i="6"/>
  <c r="N630" i="6"/>
  <c r="N631" i="6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N641" i="6"/>
  <c r="N642" i="6"/>
  <c r="N643" i="6"/>
  <c r="P643" i="6" s="1"/>
  <c r="Q643" i="6" s="1"/>
  <c r="N644" i="6"/>
  <c r="N645" i="6"/>
  <c r="O645" i="6" s="1"/>
  <c r="R645" i="6" s="1"/>
  <c r="N646" i="6"/>
  <c r="O646" i="6" s="1"/>
  <c r="R646" i="6" s="1"/>
  <c r="T646" i="6" s="1"/>
  <c r="U646" i="6" s="1"/>
  <c r="V646" i="6" s="1"/>
  <c r="W646" i="6" s="1"/>
  <c r="N647" i="6"/>
  <c r="N648" i="6"/>
  <c r="N649" i="6"/>
  <c r="O649" i="6" s="1"/>
  <c r="R649" i="6" s="1"/>
  <c r="T649" i="6" s="1"/>
  <c r="U649" i="6" s="1"/>
  <c r="V649" i="6" s="1"/>
  <c r="W649" i="6" s="1"/>
  <c r="N650" i="6"/>
  <c r="P650" i="6" s="1"/>
  <c r="Q650" i="6" s="1"/>
  <c r="N651" i="6"/>
  <c r="P651" i="6" s="1"/>
  <c r="Q651" i="6" s="1"/>
  <c r="N652" i="6"/>
  <c r="N653" i="6"/>
  <c r="N654" i="6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T663" i="6" s="1"/>
  <c r="U663" i="6" s="1"/>
  <c r="V663" i="6" s="1"/>
  <c r="W663" i="6" s="1"/>
  <c r="N664" i="6"/>
  <c r="N665" i="6"/>
  <c r="N666" i="6"/>
  <c r="N667" i="6"/>
  <c r="N668" i="6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N677" i="6"/>
  <c r="N678" i="6"/>
  <c r="N679" i="6"/>
  <c r="P679" i="6" s="1"/>
  <c r="Q679" i="6" s="1"/>
  <c r="N680" i="6"/>
  <c r="N681" i="6"/>
  <c r="O681" i="6" s="1"/>
  <c r="R681" i="6" s="1"/>
  <c r="N682" i="6"/>
  <c r="P682" i="6" s="1"/>
  <c r="Q682" i="6" s="1"/>
  <c r="N683" i="6"/>
  <c r="O683" i="6" s="1"/>
  <c r="R683" i="6" s="1"/>
  <c r="T683" i="6" s="1"/>
  <c r="U683" i="6" s="1"/>
  <c r="V683" i="6" s="1"/>
  <c r="W683" i="6" s="1"/>
  <c r="N684" i="6"/>
  <c r="N685" i="6"/>
  <c r="N686" i="6"/>
  <c r="O686" i="6" s="1"/>
  <c r="R686" i="6" s="1"/>
  <c r="N687" i="6"/>
  <c r="N688" i="6"/>
  <c r="N689" i="6"/>
  <c r="N690" i="6"/>
  <c r="N691" i="6"/>
  <c r="O691" i="6" s="1"/>
  <c r="R691" i="6" s="1"/>
  <c r="N692" i="6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N701" i="6"/>
  <c r="N702" i="6"/>
  <c r="N703" i="6"/>
  <c r="O703" i="6" s="1"/>
  <c r="R703" i="6" s="1"/>
  <c r="T703" i="6" s="1"/>
  <c r="U703" i="6" s="1"/>
  <c r="V703" i="6" s="1"/>
  <c r="W703" i="6" s="1"/>
  <c r="N704" i="6"/>
  <c r="N705" i="6"/>
  <c r="P705" i="6" s="1"/>
  <c r="Q705" i="6" s="1"/>
  <c r="N706" i="6"/>
  <c r="O706" i="6" s="1"/>
  <c r="R706" i="6" s="1"/>
  <c r="T706" i="6" s="1"/>
  <c r="U706" i="6" s="1"/>
  <c r="V706" i="6" s="1"/>
  <c r="W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N713" i="6"/>
  <c r="N714" i="6"/>
  <c r="N715" i="6"/>
  <c r="O715" i="6" s="1"/>
  <c r="R715" i="6" s="1"/>
  <c r="N716" i="6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O778" i="6" s="1"/>
  <c r="R778" i="6" s="1"/>
  <c r="N779" i="6"/>
  <c r="N780" i="6"/>
  <c r="N781" i="6"/>
  <c r="O781" i="6" s="1"/>
  <c r="R781" i="6" s="1"/>
  <c r="T781" i="6" s="1"/>
  <c r="U781" i="6" s="1"/>
  <c r="V781" i="6" s="1"/>
  <c r="W781" i="6" s="1"/>
  <c r="N782" i="6"/>
  <c r="N783" i="6"/>
  <c r="P783" i="6" s="1"/>
  <c r="Q783" i="6" s="1"/>
  <c r="N784" i="6"/>
  <c r="N785" i="6"/>
  <c r="N786" i="6"/>
  <c r="N787" i="6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N797" i="6"/>
  <c r="N798" i="6"/>
  <c r="O798" i="6" s="1"/>
  <c r="R798" i="6" s="1"/>
  <c r="N799" i="6"/>
  <c r="P799" i="6" s="1"/>
  <c r="Q799" i="6" s="1"/>
  <c r="N800" i="6"/>
  <c r="N801" i="6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N810" i="6"/>
  <c r="P810" i="6" s="1"/>
  <c r="Q810" i="6" s="1"/>
  <c r="N811" i="6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N821" i="6"/>
  <c r="N822" i="6"/>
  <c r="N823" i="6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N833" i="6"/>
  <c r="N834" i="6"/>
  <c r="O834" i="6" s="1"/>
  <c r="R834" i="6" s="1"/>
  <c r="N835" i="6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N857" i="6"/>
  <c r="N858" i="6"/>
  <c r="N859" i="6"/>
  <c r="O859" i="6" s="1"/>
  <c r="R859" i="6" s="1"/>
  <c r="N860" i="6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N869" i="6"/>
  <c r="N870" i="6"/>
  <c r="N871" i="6"/>
  <c r="N872" i="6"/>
  <c r="N873" i="6"/>
  <c r="O873" i="6" s="1"/>
  <c r="R873" i="6" s="1"/>
  <c r="N874" i="6"/>
  <c r="O874" i="6" s="1"/>
  <c r="R874" i="6" s="1"/>
  <c r="N875" i="6"/>
  <c r="O875" i="6" s="1"/>
  <c r="R875" i="6" s="1"/>
  <c r="T875" i="6" s="1"/>
  <c r="U875" i="6" s="1"/>
  <c r="V875" i="6" s="1"/>
  <c r="W875" i="6" s="1"/>
  <c r="N876" i="6"/>
  <c r="N877" i="6"/>
  <c r="O877" i="6" s="1"/>
  <c r="R877" i="6" s="1"/>
  <c r="T877" i="6" s="1"/>
  <c r="U877" i="6" s="1"/>
  <c r="V877" i="6" s="1"/>
  <c r="W877" i="6" s="1"/>
  <c r="N878" i="6"/>
  <c r="N879" i="6"/>
  <c r="N880" i="6"/>
  <c r="N881" i="6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N893" i="6"/>
  <c r="N894" i="6"/>
  <c r="N895" i="6"/>
  <c r="N896" i="6"/>
  <c r="O896" i="6" s="1"/>
  <c r="R896" i="6" s="1"/>
  <c r="N897" i="6"/>
  <c r="N898" i="6"/>
  <c r="O898" i="6" s="1"/>
  <c r="R898" i="6" s="1"/>
  <c r="T898" i="6" s="1"/>
  <c r="U898" i="6" s="1"/>
  <c r="V898" i="6" s="1"/>
  <c r="W898" i="6" s="1"/>
  <c r="N899" i="6"/>
  <c r="N900" i="6"/>
  <c r="N901" i="6"/>
  <c r="N902" i="6"/>
  <c r="N903" i="6"/>
  <c r="N904" i="6"/>
  <c r="N905" i="6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N918" i="6"/>
  <c r="N919" i="6"/>
  <c r="N920" i="6"/>
  <c r="O920" i="6" s="1"/>
  <c r="R920" i="6" s="1"/>
  <c r="N921" i="6"/>
  <c r="N922" i="6"/>
  <c r="O922" i="6" s="1"/>
  <c r="R922" i="6" s="1"/>
  <c r="T922" i="6" s="1"/>
  <c r="U922" i="6" s="1"/>
  <c r="V922" i="6" s="1"/>
  <c r="W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N931" i="6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N942" i="6"/>
  <c r="N943" i="6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N954" i="6"/>
  <c r="N955" i="6"/>
  <c r="N956" i="6"/>
  <c r="N957" i="6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N968" i="6"/>
  <c r="P968" i="6" s="1"/>
  <c r="Q968" i="6" s="1"/>
  <c r="N969" i="6"/>
  <c r="O969" i="6" s="1"/>
  <c r="R969" i="6" s="1"/>
  <c r="T969" i="6" s="1"/>
  <c r="U969" i="6" s="1"/>
  <c r="V969" i="6" s="1"/>
  <c r="W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N978" i="6"/>
  <c r="N979" i="6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N990" i="6"/>
  <c r="N991" i="6"/>
  <c r="N992" i="6"/>
  <c r="N993" i="6"/>
  <c r="N994" i="6"/>
  <c r="P994" i="6" s="1"/>
  <c r="Q994" i="6" s="1"/>
  <c r="N995" i="6"/>
  <c r="N996" i="6"/>
  <c r="O996" i="6" s="1"/>
  <c r="R996" i="6" s="1"/>
  <c r="T996" i="6" s="1"/>
  <c r="U996" i="6" s="1"/>
  <c r="V996" i="6" s="1"/>
  <c r="W996" i="6" s="1"/>
  <c r="N997" i="6"/>
  <c r="O997" i="6" s="1"/>
  <c r="R997" i="6" s="1"/>
  <c r="N998" i="6"/>
  <c r="N999" i="6"/>
  <c r="O999" i="6" s="1"/>
  <c r="R999" i="6" s="1"/>
  <c r="N1000" i="6"/>
  <c r="N1001" i="6"/>
  <c r="N1002" i="6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N1015" i="6"/>
  <c r="P1015" i="6" s="1"/>
  <c r="Q1015" i="6" s="1"/>
  <c r="N1016" i="6"/>
  <c r="N1017" i="6"/>
  <c r="O1017" i="6" s="1"/>
  <c r="R1017" i="6" s="1"/>
  <c r="N1018" i="6"/>
  <c r="N1019" i="6"/>
  <c r="N1020" i="6"/>
  <c r="O1020" i="6" s="1"/>
  <c r="R1020" i="6" s="1"/>
  <c r="T1020" i="6" s="1"/>
  <c r="U1020" i="6" s="1"/>
  <c r="V1020" i="6" s="1"/>
  <c r="W1020" i="6" s="1"/>
  <c r="N1021" i="6"/>
  <c r="O1021" i="6" s="1"/>
  <c r="R1021" i="6" s="1"/>
  <c r="T1021" i="6" s="1"/>
  <c r="U1021" i="6" s="1"/>
  <c r="V1021" i="6" s="1"/>
  <c r="W1021" i="6" s="1"/>
  <c r="N1022" i="6"/>
  <c r="P1022" i="6" s="1"/>
  <c r="Q1022" i="6" s="1"/>
  <c r="N1023" i="6"/>
  <c r="N1024" i="6"/>
  <c r="O1024" i="6" s="1"/>
  <c r="R1024" i="6" s="1"/>
  <c r="N1025" i="6"/>
  <c r="N1026" i="6"/>
  <c r="N1027" i="6"/>
  <c r="O1027" i="6" s="1"/>
  <c r="R1027" i="6" s="1"/>
  <c r="N1028" i="6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N1038" i="6"/>
  <c r="N1039" i="6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N1049" i="6"/>
  <c r="N1050" i="6"/>
  <c r="P1050" i="6" s="1"/>
  <c r="Q1050" i="6" s="1"/>
  <c r="N1051" i="6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N1064" i="6"/>
  <c r="O1064" i="6" s="1"/>
  <c r="R1064" i="6" s="1"/>
  <c r="N1065" i="6"/>
  <c r="N1066" i="6"/>
  <c r="N1067" i="6"/>
  <c r="N1068" i="6"/>
  <c r="N1069" i="6"/>
  <c r="N1070" i="6"/>
  <c r="P1070" i="6" s="1"/>
  <c r="Q1070" i="6" s="1"/>
  <c r="N1071" i="6"/>
  <c r="N1072" i="6"/>
  <c r="N1073" i="6"/>
  <c r="N1074" i="6"/>
  <c r="N1075" i="6"/>
  <c r="N1076" i="6"/>
  <c r="P1076" i="6" s="1"/>
  <c r="Q1076" i="6" s="1"/>
  <c r="N1077" i="6"/>
  <c r="N1078" i="6"/>
  <c r="N1079" i="6"/>
  <c r="P1079" i="6" s="1"/>
  <c r="Q1079" i="6" s="1"/>
  <c r="N1080" i="6"/>
  <c r="N1081" i="6"/>
  <c r="N1082" i="6"/>
  <c r="N1083" i="6"/>
  <c r="N1084" i="6"/>
  <c r="N1085" i="6"/>
  <c r="N1086" i="6"/>
  <c r="N1087" i="6"/>
  <c r="N1088" i="6"/>
  <c r="O1088" i="6" s="1"/>
  <c r="R1088" i="6" s="1"/>
  <c r="T1088" i="6" s="1"/>
  <c r="U1088" i="6" s="1"/>
  <c r="V1088" i="6" s="1"/>
  <c r="W1088" i="6" s="1"/>
  <c r="N1089" i="6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N1097" i="6"/>
  <c r="N1098" i="6"/>
  <c r="N1099" i="6"/>
  <c r="N1100" i="6"/>
  <c r="O1100" i="6" s="1"/>
  <c r="R1100" i="6" s="1"/>
  <c r="N1101" i="6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N1109" i="6"/>
  <c r="N1110" i="6"/>
  <c r="N1111" i="6"/>
  <c r="N1112" i="6"/>
  <c r="P1112" i="6" s="1"/>
  <c r="Q1112" i="6" s="1"/>
  <c r="N1113" i="6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N1122" i="6"/>
  <c r="N1123" i="6"/>
  <c r="P1123" i="6" s="1"/>
  <c r="Q1123" i="6" s="1"/>
  <c r="N1124" i="6"/>
  <c r="N1125" i="6"/>
  <c r="N1126" i="6"/>
  <c r="O1126" i="6" s="1"/>
  <c r="R1126" i="6" s="1"/>
  <c r="T1126" i="6" s="1"/>
  <c r="U1126" i="6" s="1"/>
  <c r="V1126" i="6" s="1"/>
  <c r="W1126" i="6" s="1"/>
  <c r="N1127" i="6"/>
  <c r="O1127" i="6" s="1"/>
  <c r="R1127" i="6" s="1"/>
  <c r="T1127" i="6" s="1"/>
  <c r="U1127" i="6" s="1"/>
  <c r="V1127" i="6" s="1"/>
  <c r="W1127" i="6" s="1"/>
  <c r="N1128" i="6"/>
  <c r="N1129" i="6"/>
  <c r="O1129" i="6" s="1"/>
  <c r="R1129" i="6" s="1"/>
  <c r="T1129" i="6" s="1"/>
  <c r="U1129" i="6" s="1"/>
  <c r="V1129" i="6" s="1"/>
  <c r="W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N1134" i="6"/>
  <c r="O1134" i="6" s="1"/>
  <c r="R1134" i="6" s="1"/>
  <c r="N1135" i="6"/>
  <c r="P1135" i="6" s="1"/>
  <c r="Q1135" i="6" s="1"/>
  <c r="N1136" i="6"/>
  <c r="N1137" i="6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N1145" i="6"/>
  <c r="N1146" i="6"/>
  <c r="N1147" i="6"/>
  <c r="O1147" i="6" s="1"/>
  <c r="R1147" i="6" s="1"/>
  <c r="N1148" i="6"/>
  <c r="N1149" i="6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N1158" i="6"/>
  <c r="O1158" i="6" s="1"/>
  <c r="R1158" i="6" s="1"/>
  <c r="N1159" i="6"/>
  <c r="P1159" i="6" s="1"/>
  <c r="Q1159" i="6" s="1"/>
  <c r="N1160" i="6"/>
  <c r="N1161" i="6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N1167" i="6"/>
  <c r="P1167" i="6" s="1"/>
  <c r="Q1167" i="6" s="1"/>
  <c r="N1168" i="6"/>
  <c r="N1169" i="6"/>
  <c r="N1170" i="6"/>
  <c r="N1171" i="6"/>
  <c r="O1171" i="6" s="1"/>
  <c r="R1171" i="6" s="1"/>
  <c r="N1172" i="6"/>
  <c r="N1173" i="6"/>
  <c r="O1173" i="6" s="1"/>
  <c r="R1173" i="6" s="1"/>
  <c r="T1173" i="6" s="1"/>
  <c r="U1173" i="6" s="1"/>
  <c r="V1173" i="6" s="1"/>
  <c r="W1173" i="6" s="1"/>
  <c r="N1174" i="6"/>
  <c r="N1175" i="6"/>
  <c r="O1175" i="6" s="1"/>
  <c r="R1175" i="6" s="1"/>
  <c r="N1176" i="6"/>
  <c r="P1176" i="6" s="1"/>
  <c r="Q1176" i="6" s="1"/>
  <c r="N1177" i="6"/>
  <c r="O1177" i="6" s="1"/>
  <c r="R1177" i="6" s="1"/>
  <c r="N1178" i="6"/>
  <c r="O1178" i="6" s="1"/>
  <c r="R1178" i="6" s="1"/>
  <c r="N1179" i="6"/>
  <c r="O1179" i="6" s="1"/>
  <c r="R1179" i="6" s="1"/>
  <c r="T1179" i="6" s="1"/>
  <c r="U1179" i="6" s="1"/>
  <c r="V1179" i="6" s="1"/>
  <c r="W1179" i="6" s="1"/>
  <c r="N1180" i="6"/>
  <c r="P1180" i="6" s="1"/>
  <c r="Q1180" i="6" s="1"/>
  <c r="N1181" i="6"/>
  <c r="N1182" i="6"/>
  <c r="O1182" i="6" s="1"/>
  <c r="R1182" i="6" s="1"/>
  <c r="N1183" i="6"/>
  <c r="O1183" i="6" s="1"/>
  <c r="R1183" i="6" s="1"/>
  <c r="N1184" i="6"/>
  <c r="N1185" i="6"/>
  <c r="N1186" i="6"/>
  <c r="N1187" i="6"/>
  <c r="N1188" i="6"/>
  <c r="N1189" i="6"/>
  <c r="O1189" i="6" s="1"/>
  <c r="R1189" i="6" s="1"/>
  <c r="N1190" i="6"/>
  <c r="O1190" i="6" s="1"/>
  <c r="R1190" i="6" s="1"/>
  <c r="T1190" i="6" s="1"/>
  <c r="U1190" i="6" s="1"/>
  <c r="V1190" i="6" s="1"/>
  <c r="W1190" i="6" s="1"/>
  <c r="N1191" i="6"/>
  <c r="O1191" i="6" s="1"/>
  <c r="R1191" i="6" s="1"/>
  <c r="N1192" i="6"/>
  <c r="O1192" i="6" s="1"/>
  <c r="R1192" i="6" s="1"/>
  <c r="T1192" i="6" s="1"/>
  <c r="U1192" i="6" s="1"/>
  <c r="V1192" i="6" s="1"/>
  <c r="W1192" i="6" s="1"/>
  <c r="N1193" i="6"/>
  <c r="N1194" i="6"/>
  <c r="N1195" i="6"/>
  <c r="O1195" i="6" s="1"/>
  <c r="R1195" i="6" s="1"/>
  <c r="N1196" i="6"/>
  <c r="N1197" i="6"/>
  <c r="P1197" i="6" s="1"/>
  <c r="Q1197" i="6" s="1"/>
  <c r="N1198" i="6"/>
  <c r="P1198" i="6" s="1"/>
  <c r="Q1198" i="6" s="1"/>
  <c r="N1199" i="6"/>
  <c r="N1200" i="6"/>
  <c r="P1200" i="6" s="1"/>
  <c r="Q1200" i="6" s="1"/>
  <c r="N1201" i="6"/>
  <c r="N1202" i="6"/>
  <c r="P1202" i="6" s="1"/>
  <c r="Q1202" i="6" s="1"/>
  <c r="N1203" i="6"/>
  <c r="P1203" i="6" s="1"/>
  <c r="Q1203" i="6" s="1"/>
  <c r="N1204" i="6"/>
  <c r="P1204" i="6" s="1"/>
  <c r="Q1204" i="6" s="1"/>
  <c r="N1205" i="6"/>
  <c r="N1206" i="6"/>
  <c r="O1206" i="6" s="1"/>
  <c r="R1206" i="6" s="1"/>
  <c r="N1207" i="6"/>
  <c r="N1208" i="6"/>
  <c r="O1208" i="6" s="1"/>
  <c r="R1208" i="6" s="1"/>
  <c r="N1209" i="6"/>
  <c r="N1210" i="6"/>
  <c r="N1211" i="6"/>
  <c r="P1211" i="6" s="1"/>
  <c r="Q1211" i="6" s="1"/>
  <c r="N1212" i="6"/>
  <c r="N1213" i="6"/>
  <c r="O1213" i="6" s="1"/>
  <c r="R1213" i="6" s="1"/>
  <c r="N1214" i="6"/>
  <c r="P1214" i="6" s="1"/>
  <c r="Q1214" i="6" s="1"/>
  <c r="N1215" i="6"/>
  <c r="P1215" i="6" s="1"/>
  <c r="Q1215" i="6" s="1"/>
  <c r="N1216" i="6"/>
  <c r="N1217" i="6"/>
  <c r="N1218" i="6"/>
  <c r="N1219" i="6"/>
  <c r="N1220" i="6"/>
  <c r="O1220" i="6" s="1"/>
  <c r="R1220" i="6" s="1"/>
  <c r="T1220" i="6" s="1"/>
  <c r="U1220" i="6" s="1"/>
  <c r="V1220" i="6" s="1"/>
  <c r="W1220" i="6" s="1"/>
  <c r="N1221" i="6"/>
  <c r="O1221" i="6" s="1"/>
  <c r="R1221" i="6" s="1"/>
  <c r="N1222" i="6"/>
  <c r="P1222" i="6" s="1"/>
  <c r="Q1222" i="6" s="1"/>
  <c r="N1223" i="6"/>
  <c r="N1224" i="6"/>
  <c r="N1225" i="6"/>
  <c r="N1226" i="6"/>
  <c r="O1226" i="6" s="1"/>
  <c r="R1226" i="6" s="1"/>
  <c r="T1226" i="6" s="1"/>
  <c r="U1226" i="6" s="1"/>
  <c r="V1226" i="6" s="1"/>
  <c r="W1226" i="6" s="1"/>
  <c r="N1227" i="6"/>
  <c r="P1227" i="6" s="1"/>
  <c r="Q1227" i="6" s="1"/>
  <c r="N1228" i="6"/>
  <c r="P1228" i="6" s="1"/>
  <c r="Q1228" i="6" s="1"/>
  <c r="N1229" i="6"/>
  <c r="N1230" i="6"/>
  <c r="O1230" i="6" s="1"/>
  <c r="R1230" i="6" s="1"/>
  <c r="N1231" i="6"/>
  <c r="N1232" i="6"/>
  <c r="P1232" i="6" s="1"/>
  <c r="Q1232" i="6" s="1"/>
  <c r="N1233" i="6"/>
  <c r="O1233" i="6" s="1"/>
  <c r="R1233" i="6" s="1"/>
  <c r="T1233" i="6" s="1"/>
  <c r="U1233" i="6" s="1"/>
  <c r="V1233" i="6" s="1"/>
  <c r="W1233" i="6" s="1"/>
  <c r="N1234" i="6"/>
  <c r="O1234" i="6" s="1"/>
  <c r="R1234" i="6" s="1"/>
  <c r="T1234" i="6" s="1"/>
  <c r="U1234" i="6" s="1"/>
  <c r="V1234" i="6" s="1"/>
  <c r="W1234" i="6" s="1"/>
  <c r="N1235" i="6"/>
  <c r="N1236" i="6"/>
  <c r="N1237" i="6"/>
  <c r="P1237" i="6" s="1"/>
  <c r="Q1237" i="6" s="1"/>
  <c r="N1238" i="6"/>
  <c r="O1238" i="6" s="1"/>
  <c r="R1238" i="6" s="1"/>
  <c r="N1239" i="6"/>
  <c r="P1239" i="6" s="1"/>
  <c r="Q1239" i="6" s="1"/>
  <c r="N1240" i="6"/>
  <c r="N1241" i="6"/>
  <c r="N1242" i="6"/>
  <c r="N1243" i="6"/>
  <c r="N1244" i="6"/>
  <c r="N1245" i="6"/>
  <c r="P1245" i="6" s="1"/>
  <c r="Q1245" i="6" s="1"/>
  <c r="N1246" i="6"/>
  <c r="O1246" i="6" s="1"/>
  <c r="R1246" i="6" s="1"/>
  <c r="N1247" i="6"/>
  <c r="N1248" i="6"/>
  <c r="N1249" i="6"/>
  <c r="P1249" i="6" s="1"/>
  <c r="Q1249" i="6" s="1"/>
  <c r="N1250" i="6"/>
  <c r="O1250" i="6" s="1"/>
  <c r="R1250" i="6" s="1"/>
  <c r="T1250" i="6" s="1"/>
  <c r="U1250" i="6" s="1"/>
  <c r="V1250" i="6" s="1"/>
  <c r="W1250" i="6" s="1"/>
  <c r="N1251" i="6"/>
  <c r="O1251" i="6" s="1"/>
  <c r="R1251" i="6" s="1"/>
  <c r="N1252" i="6"/>
  <c r="N1253" i="6"/>
  <c r="N1254" i="6"/>
  <c r="N1255" i="6"/>
  <c r="O1255" i="6" s="1"/>
  <c r="R1255" i="6" s="1"/>
  <c r="T1255" i="6" s="1"/>
  <c r="U1255" i="6" s="1"/>
  <c r="V1255" i="6" s="1"/>
  <c r="W1255" i="6" s="1"/>
  <c r="N1256" i="6"/>
  <c r="N1257" i="6"/>
  <c r="O1257" i="6" s="1"/>
  <c r="R1257" i="6" s="1"/>
  <c r="T1257" i="6" s="1"/>
  <c r="U1257" i="6" s="1"/>
  <c r="V1257" i="6" s="1"/>
  <c r="W1257" i="6" s="1"/>
  <c r="N1258" i="6"/>
  <c r="O1258" i="6" s="1"/>
  <c r="R1258" i="6" s="1"/>
  <c r="T1258" i="6" s="1"/>
  <c r="U1258" i="6" s="1"/>
  <c r="V1258" i="6" s="1"/>
  <c r="W1258" i="6" s="1"/>
  <c r="N1259" i="6"/>
  <c r="N1260" i="6"/>
  <c r="O1260" i="6" s="1"/>
  <c r="R1260" i="6" s="1"/>
  <c r="T1260" i="6" s="1"/>
  <c r="U1260" i="6" s="1"/>
  <c r="V1260" i="6" s="1"/>
  <c r="W1260" i="6" s="1"/>
  <c r="N1261" i="6"/>
  <c r="O1261" i="6" s="1"/>
  <c r="R1261" i="6" s="1"/>
  <c r="T1261" i="6" s="1"/>
  <c r="U1261" i="6" s="1"/>
  <c r="V1261" i="6" s="1"/>
  <c r="W1261" i="6" s="1"/>
  <c r="N1262" i="6"/>
  <c r="P1262" i="6" s="1"/>
  <c r="Q1262" i="6" s="1"/>
  <c r="N1263" i="6"/>
  <c r="P1263" i="6" s="1"/>
  <c r="Q1263" i="6" s="1"/>
  <c r="N1264" i="6"/>
  <c r="O1264" i="6" s="1"/>
  <c r="R1264" i="6" s="1"/>
  <c r="N1265" i="6"/>
  <c r="N1266" i="6"/>
  <c r="N1267" i="6"/>
  <c r="N1268" i="6"/>
  <c r="N1269" i="6"/>
  <c r="O1269" i="6" s="1"/>
  <c r="R1269" i="6" s="1"/>
  <c r="N1270" i="6"/>
  <c r="O1270" i="6" s="1"/>
  <c r="R1270" i="6" s="1"/>
  <c r="N1271" i="6"/>
  <c r="O1271" i="6" s="1"/>
  <c r="R1271" i="6" s="1"/>
  <c r="N1272" i="6"/>
  <c r="N1273" i="6"/>
  <c r="P1273" i="6" s="1"/>
  <c r="Q1273" i="6" s="1"/>
  <c r="N1274" i="6"/>
  <c r="O1274" i="6" s="1"/>
  <c r="R1274" i="6" s="1"/>
  <c r="T1274" i="6" s="1"/>
  <c r="U1274" i="6" s="1"/>
  <c r="V1274" i="6" s="1"/>
  <c r="W1274" i="6" s="1"/>
  <c r="N1275" i="6"/>
  <c r="O1275" i="6" s="1"/>
  <c r="R1275" i="6" s="1"/>
  <c r="N1276" i="6"/>
  <c r="P1276" i="6" s="1"/>
  <c r="Q1276" i="6" s="1"/>
  <c r="N1277" i="6"/>
  <c r="N1278" i="6"/>
  <c r="P1278" i="6" s="1"/>
  <c r="Q1278" i="6" s="1"/>
  <c r="N1279" i="6"/>
  <c r="N1280" i="6"/>
  <c r="N1281" i="6"/>
  <c r="O1281" i="6" s="1"/>
  <c r="R1281" i="6" s="1"/>
  <c r="T1281" i="6" s="1"/>
  <c r="U1281" i="6" s="1"/>
  <c r="V1281" i="6" s="1"/>
  <c r="W1281" i="6" s="1"/>
  <c r="N1282" i="6"/>
  <c r="O1282" i="6" s="1"/>
  <c r="R1282" i="6" s="1"/>
  <c r="N1283" i="6"/>
  <c r="N1284" i="6"/>
  <c r="O1284" i="6" s="1"/>
  <c r="R1284" i="6" s="1"/>
  <c r="N1285" i="6"/>
  <c r="P1285" i="6" s="1"/>
  <c r="Q1285" i="6" s="1"/>
  <c r="N1286" i="6"/>
  <c r="O1286" i="6" s="1"/>
  <c r="R1286" i="6" s="1"/>
  <c r="T1286" i="6" s="1"/>
  <c r="U1286" i="6" s="1"/>
  <c r="V1286" i="6" s="1"/>
  <c r="W1286" i="6" s="1"/>
  <c r="N1287" i="6"/>
  <c r="P1287" i="6" s="1"/>
  <c r="Q1287" i="6" s="1"/>
  <c r="N1288" i="6"/>
  <c r="O1288" i="6" s="1"/>
  <c r="R1288" i="6" s="1"/>
  <c r="D69" i="4"/>
  <c r="E69" i="4"/>
  <c r="J69" i="4"/>
  <c r="O69" i="4" s="1"/>
  <c r="P69" i="4"/>
  <c r="T69" i="4" a="1"/>
  <c r="T69" i="4" s="1"/>
  <c r="V69" i="4"/>
  <c r="W69" i="4"/>
  <c r="X69" i="4"/>
  <c r="Z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O568" i="6"/>
  <c r="R568" i="6" s="1"/>
  <c r="T568" i="6" s="1"/>
  <c r="U568" i="6" s="1"/>
  <c r="V568" i="6" s="1"/>
  <c r="W568" i="6" s="1"/>
  <c r="P568" i="6"/>
  <c r="Q568" i="6"/>
  <c r="S568" i="6"/>
  <c r="L569" i="6"/>
  <c r="M569" i="6"/>
  <c r="S569" i="6"/>
  <c r="L570" i="6"/>
  <c r="M570" i="6"/>
  <c r="S570" i="6"/>
  <c r="L571" i="6"/>
  <c r="M571" i="6"/>
  <c r="O571" i="6"/>
  <c r="R571" i="6" s="1"/>
  <c r="P571" i="6"/>
  <c r="Q571" i="6" s="1"/>
  <c r="S571" i="6"/>
  <c r="L572" i="6"/>
  <c r="M572" i="6"/>
  <c r="P572" i="6"/>
  <c r="O572" i="6"/>
  <c r="R572" i="6" s="1"/>
  <c r="Q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O580" i="6"/>
  <c r="R580" i="6" s="1"/>
  <c r="P580" i="6"/>
  <c r="Q580" i="6" s="1"/>
  <c r="S580" i="6"/>
  <c r="L581" i="6"/>
  <c r="M581" i="6"/>
  <c r="S581" i="6"/>
  <c r="L582" i="6"/>
  <c r="M582" i="6"/>
  <c r="P582" i="6"/>
  <c r="Q582" i="6" s="1"/>
  <c r="S582" i="6"/>
  <c r="L583" i="6"/>
  <c r="M583" i="6"/>
  <c r="O583" i="6"/>
  <c r="R583" i="6" s="1"/>
  <c r="S583" i="6"/>
  <c r="L584" i="6"/>
  <c r="M584" i="6"/>
  <c r="O584" i="6"/>
  <c r="R584" i="6" s="1"/>
  <c r="S584" i="6"/>
  <c r="L585" i="6"/>
  <c r="M585" i="6"/>
  <c r="P585" i="6"/>
  <c r="Q585" i="6" s="1"/>
  <c r="S585" i="6"/>
  <c r="L586" i="6"/>
  <c r="M586" i="6"/>
  <c r="S586" i="6"/>
  <c r="L587" i="6"/>
  <c r="M587" i="6"/>
  <c r="S587" i="6"/>
  <c r="L588" i="6"/>
  <c r="M588" i="6"/>
  <c r="S588" i="6"/>
  <c r="L589" i="6"/>
  <c r="M589" i="6"/>
  <c r="P589" i="6"/>
  <c r="Q589" i="6" s="1"/>
  <c r="S589" i="6"/>
  <c r="L590" i="6"/>
  <c r="M590" i="6"/>
  <c r="S590" i="6"/>
  <c r="L591" i="6"/>
  <c r="M591" i="6"/>
  <c r="S591" i="6"/>
  <c r="L592" i="6"/>
  <c r="M592" i="6"/>
  <c r="O592" i="6"/>
  <c r="R592" i="6" s="1"/>
  <c r="P592" i="6"/>
  <c r="Q592" i="6" s="1"/>
  <c r="S592" i="6"/>
  <c r="L593" i="6"/>
  <c r="M593" i="6"/>
  <c r="S593" i="6"/>
  <c r="L594" i="6"/>
  <c r="M594" i="6"/>
  <c r="S594" i="6"/>
  <c r="L595" i="6"/>
  <c r="M595" i="6"/>
  <c r="P595" i="6"/>
  <c r="Q595" i="6" s="1"/>
  <c r="O595" i="6"/>
  <c r="R595" i="6" s="1"/>
  <c r="T595" i="6" s="1"/>
  <c r="U595" i="6" s="1"/>
  <c r="V595" i="6" s="1"/>
  <c r="W595" i="6" s="1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O604" i="6"/>
  <c r="R604" i="6" s="1"/>
  <c r="T604" i="6" s="1"/>
  <c r="U604" i="6" s="1"/>
  <c r="V604" i="6" s="1"/>
  <c r="W604" i="6" s="1"/>
  <c r="P604" i="6"/>
  <c r="Q604" i="6" s="1"/>
  <c r="S604" i="6"/>
  <c r="L605" i="6"/>
  <c r="M605" i="6"/>
  <c r="S605" i="6"/>
  <c r="L606" i="6"/>
  <c r="M606" i="6"/>
  <c r="P606" i="6"/>
  <c r="Q606" i="6" s="1"/>
  <c r="O606" i="6"/>
  <c r="R606" i="6" s="1"/>
  <c r="S606" i="6"/>
  <c r="L607" i="6"/>
  <c r="M607" i="6"/>
  <c r="S607" i="6"/>
  <c r="L608" i="6"/>
  <c r="M608" i="6"/>
  <c r="O608" i="6"/>
  <c r="R608" i="6" s="1"/>
  <c r="P608" i="6"/>
  <c r="Q608" i="6" s="1"/>
  <c r="S608" i="6"/>
  <c r="L609" i="6"/>
  <c r="M609" i="6"/>
  <c r="P609" i="6"/>
  <c r="Q609" i="6" s="1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O616" i="6"/>
  <c r="R616" i="6" s="1"/>
  <c r="S616" i="6"/>
  <c r="L617" i="6"/>
  <c r="M617" i="6"/>
  <c r="S617" i="6"/>
  <c r="L618" i="6"/>
  <c r="M618" i="6"/>
  <c r="S618" i="6"/>
  <c r="L619" i="6"/>
  <c r="M619" i="6"/>
  <c r="O619" i="6"/>
  <c r="R619" i="6" s="1"/>
  <c r="P619" i="6"/>
  <c r="Q619" i="6" s="1"/>
  <c r="S619" i="6"/>
  <c r="L620" i="6"/>
  <c r="M620" i="6"/>
  <c r="P620" i="6"/>
  <c r="Q620" i="6" s="1"/>
  <c r="S620" i="6"/>
  <c r="L621" i="6"/>
  <c r="M621" i="6"/>
  <c r="O621" i="6"/>
  <c r="R621" i="6" s="1"/>
  <c r="P621" i="6"/>
  <c r="Q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O628" i="6"/>
  <c r="R628" i="6" s="1"/>
  <c r="S628" i="6"/>
  <c r="L629" i="6"/>
  <c r="M629" i="6"/>
  <c r="S629" i="6"/>
  <c r="L630" i="6"/>
  <c r="M630" i="6"/>
  <c r="P630" i="6"/>
  <c r="Q630" i="6" s="1"/>
  <c r="S630" i="6"/>
  <c r="L631" i="6"/>
  <c r="M631" i="6"/>
  <c r="O631" i="6"/>
  <c r="R631" i="6" s="1"/>
  <c r="P631" i="6"/>
  <c r="Q631" i="6" s="1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O640" i="6"/>
  <c r="R640" i="6" s="1"/>
  <c r="T640" i="6" s="1"/>
  <c r="U640" i="6" s="1"/>
  <c r="V640" i="6" s="1"/>
  <c r="W640" i="6" s="1"/>
  <c r="S640" i="6"/>
  <c r="L641" i="6"/>
  <c r="M641" i="6"/>
  <c r="S641" i="6"/>
  <c r="L642" i="6"/>
  <c r="M642" i="6"/>
  <c r="S642" i="6"/>
  <c r="L643" i="6"/>
  <c r="M643" i="6"/>
  <c r="O643" i="6"/>
  <c r="R643" i="6" s="1"/>
  <c r="T643" i="6" s="1"/>
  <c r="U643" i="6" s="1"/>
  <c r="V643" i="6" s="1"/>
  <c r="W643" i="6" s="1"/>
  <c r="S643" i="6"/>
  <c r="L644" i="6"/>
  <c r="M644" i="6"/>
  <c r="O644" i="6"/>
  <c r="R644" i="6" s="1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O652" i="6"/>
  <c r="R652" i="6" s="1"/>
  <c r="P652" i="6"/>
  <c r="Q652" i="6"/>
  <c r="S652" i="6"/>
  <c r="L653" i="6"/>
  <c r="M653" i="6"/>
  <c r="O653" i="6"/>
  <c r="R653" i="6" s="1"/>
  <c r="S653" i="6"/>
  <c r="L654" i="6"/>
  <c r="M654" i="6"/>
  <c r="O654" i="6"/>
  <c r="R654" i="6" s="1"/>
  <c r="P654" i="6"/>
  <c r="Q654" i="6" s="1"/>
  <c r="S654" i="6"/>
  <c r="L655" i="6"/>
  <c r="M655" i="6"/>
  <c r="S655" i="6"/>
  <c r="L656" i="6"/>
  <c r="M656" i="6"/>
  <c r="O656" i="6"/>
  <c r="R656" i="6" s="1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O664" i="6"/>
  <c r="R664" i="6" s="1"/>
  <c r="P664" i="6"/>
  <c r="Q664" i="6" s="1"/>
  <c r="S664" i="6"/>
  <c r="L665" i="6"/>
  <c r="M665" i="6"/>
  <c r="O665" i="6"/>
  <c r="R665" i="6" s="1"/>
  <c r="T665" i="6" s="1"/>
  <c r="U665" i="6" s="1"/>
  <c r="V665" i="6" s="1"/>
  <c r="W665" i="6" s="1"/>
  <c r="P665" i="6"/>
  <c r="Q665" i="6"/>
  <c r="S665" i="6"/>
  <c r="L666" i="6"/>
  <c r="M666" i="6"/>
  <c r="O666" i="6"/>
  <c r="R666" i="6" s="1"/>
  <c r="S666" i="6"/>
  <c r="L667" i="6"/>
  <c r="M667" i="6"/>
  <c r="S667" i="6"/>
  <c r="L668" i="6"/>
  <c r="M668" i="6"/>
  <c r="O668" i="6"/>
  <c r="R668" i="6" s="1"/>
  <c r="T668" i="6" s="1"/>
  <c r="U668" i="6" s="1"/>
  <c r="V668" i="6" s="1"/>
  <c r="W668" i="6" s="1"/>
  <c r="P668" i="6"/>
  <c r="Q668" i="6" s="1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O676" i="6"/>
  <c r="R676" i="6" s="1"/>
  <c r="P676" i="6"/>
  <c r="Q676" i="6" s="1"/>
  <c r="S676" i="6"/>
  <c r="L677" i="6"/>
  <c r="M677" i="6"/>
  <c r="O677" i="6"/>
  <c r="R677" i="6" s="1"/>
  <c r="P677" i="6"/>
  <c r="Q677" i="6" s="1"/>
  <c r="S677" i="6"/>
  <c r="L678" i="6"/>
  <c r="M678" i="6"/>
  <c r="S678" i="6"/>
  <c r="L679" i="6"/>
  <c r="M679" i="6"/>
  <c r="O679" i="6"/>
  <c r="R679" i="6" s="1"/>
  <c r="T679" i="6" s="1"/>
  <c r="U679" i="6" s="1"/>
  <c r="V679" i="6" s="1"/>
  <c r="W679" i="6" s="1"/>
  <c r="S679" i="6"/>
  <c r="L680" i="6"/>
  <c r="M680" i="6"/>
  <c r="O680" i="6"/>
  <c r="R680" i="6" s="1"/>
  <c r="P680" i="6"/>
  <c r="Q680" i="6" s="1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O688" i="6"/>
  <c r="R688" i="6" s="1"/>
  <c r="P688" i="6"/>
  <c r="Q688" i="6" s="1"/>
  <c r="S688" i="6"/>
  <c r="L689" i="6"/>
  <c r="M689" i="6"/>
  <c r="O689" i="6"/>
  <c r="R689" i="6" s="1"/>
  <c r="P689" i="6"/>
  <c r="Q689" i="6" s="1"/>
  <c r="S689" i="6"/>
  <c r="L690" i="6"/>
  <c r="M690" i="6"/>
  <c r="O690" i="6"/>
  <c r="R690" i="6" s="1"/>
  <c r="P690" i="6"/>
  <c r="Q690" i="6" s="1"/>
  <c r="S690" i="6"/>
  <c r="L691" i="6"/>
  <c r="M691" i="6"/>
  <c r="S691" i="6"/>
  <c r="L692" i="6"/>
  <c r="M692" i="6"/>
  <c r="O692" i="6"/>
  <c r="R692" i="6" s="1"/>
  <c r="T692" i="6" s="1"/>
  <c r="U692" i="6" s="1"/>
  <c r="V692" i="6" s="1"/>
  <c r="W692" i="6" s="1"/>
  <c r="P692" i="6"/>
  <c r="Q692" i="6" s="1"/>
  <c r="S692" i="6"/>
  <c r="L693" i="6"/>
  <c r="M693" i="6"/>
  <c r="O693" i="6"/>
  <c r="R693" i="6" s="1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O700" i="6"/>
  <c r="R700" i="6" s="1"/>
  <c r="P700" i="6"/>
  <c r="Q700" i="6" s="1"/>
  <c r="S700" i="6"/>
  <c r="L701" i="6"/>
  <c r="M701" i="6"/>
  <c r="O701" i="6"/>
  <c r="R701" i="6" s="1"/>
  <c r="P701" i="6"/>
  <c r="Q701" i="6" s="1"/>
  <c r="S701" i="6"/>
  <c r="L702" i="6"/>
  <c r="M702" i="6"/>
  <c r="O702" i="6"/>
  <c r="R702" i="6" s="1"/>
  <c r="P702" i="6"/>
  <c r="Q702" i="6" s="1"/>
  <c r="S702" i="6"/>
  <c r="L703" i="6"/>
  <c r="M703" i="6"/>
  <c r="S703" i="6"/>
  <c r="L704" i="6"/>
  <c r="M704" i="6"/>
  <c r="O704" i="6"/>
  <c r="R704" i="6" s="1"/>
  <c r="P704" i="6"/>
  <c r="Q704" i="6" s="1"/>
  <c r="S704" i="6"/>
  <c r="L705" i="6"/>
  <c r="M705" i="6"/>
  <c r="O705" i="6"/>
  <c r="R705" i="6" s="1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O712" i="6"/>
  <c r="R712" i="6" s="1"/>
  <c r="P712" i="6"/>
  <c r="Q712" i="6" s="1"/>
  <c r="S712" i="6"/>
  <c r="L713" i="6"/>
  <c r="M713" i="6"/>
  <c r="O713" i="6"/>
  <c r="R713" i="6" s="1"/>
  <c r="P713" i="6"/>
  <c r="Q713" i="6" s="1"/>
  <c r="S713" i="6"/>
  <c r="L714" i="6"/>
  <c r="M714" i="6"/>
  <c r="O714" i="6"/>
  <c r="R714" i="6" s="1"/>
  <c r="P714" i="6"/>
  <c r="Q714" i="6" s="1"/>
  <c r="S714" i="6"/>
  <c r="L715" i="6"/>
  <c r="M715" i="6"/>
  <c r="P715" i="6"/>
  <c r="Q715" i="6" s="1"/>
  <c r="S715" i="6"/>
  <c r="L716" i="6"/>
  <c r="M716" i="6"/>
  <c r="O716" i="6"/>
  <c r="R716" i="6" s="1"/>
  <c r="T716" i="6" s="1"/>
  <c r="U716" i="6" s="1"/>
  <c r="V716" i="6" s="1"/>
  <c r="W716" i="6" s="1"/>
  <c r="P716" i="6"/>
  <c r="Q716" i="6" s="1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O724" i="6"/>
  <c r="R724" i="6" s="1"/>
  <c r="P724" i="6"/>
  <c r="Q724" i="6" s="1"/>
  <c r="S724" i="6"/>
  <c r="L725" i="6"/>
  <c r="M725" i="6"/>
  <c r="O725" i="6"/>
  <c r="R725" i="6" s="1"/>
  <c r="T725" i="6" s="1"/>
  <c r="U725" i="6" s="1"/>
  <c r="V725" i="6" s="1"/>
  <c r="W725" i="6" s="1"/>
  <c r="P725" i="6"/>
  <c r="Q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P774" i="6"/>
  <c r="Q774" i="6" s="1"/>
  <c r="O774" i="6"/>
  <c r="R774" i="6"/>
  <c r="S774" i="6"/>
  <c r="L775" i="6"/>
  <c r="M775" i="6"/>
  <c r="P775" i="6"/>
  <c r="Q775" i="6" s="1"/>
  <c r="O775" i="6"/>
  <c r="R775" i="6" s="1"/>
  <c r="T775" i="6" s="1"/>
  <c r="U775" i="6" s="1"/>
  <c r="V775" i="6" s="1"/>
  <c r="W775" i="6" s="1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P784" i="6"/>
  <c r="Q784" i="6" s="1"/>
  <c r="O784" i="6"/>
  <c r="R784" i="6" s="1"/>
  <c r="S784" i="6"/>
  <c r="L785" i="6"/>
  <c r="M785" i="6"/>
  <c r="P785" i="6"/>
  <c r="Q785" i="6" s="1"/>
  <c r="O785" i="6"/>
  <c r="R785" i="6" s="1"/>
  <c r="S785" i="6"/>
  <c r="L786" i="6"/>
  <c r="M786" i="6"/>
  <c r="P786" i="6"/>
  <c r="O786" i="6"/>
  <c r="R786" i="6" s="1"/>
  <c r="Q786" i="6"/>
  <c r="S786" i="6"/>
  <c r="L787" i="6"/>
  <c r="M787" i="6"/>
  <c r="P787" i="6"/>
  <c r="Q787" i="6" s="1"/>
  <c r="O787" i="6"/>
  <c r="R787" i="6" s="1"/>
  <c r="S787" i="6"/>
  <c r="L788" i="6"/>
  <c r="M788" i="6"/>
  <c r="S788" i="6"/>
  <c r="L789" i="6"/>
  <c r="M789" i="6"/>
  <c r="P789" i="6"/>
  <c r="Q789" i="6" s="1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P796" i="6"/>
  <c r="Q796" i="6" s="1"/>
  <c r="O796" i="6"/>
  <c r="R796" i="6" s="1"/>
  <c r="S796" i="6"/>
  <c r="L797" i="6"/>
  <c r="M797" i="6"/>
  <c r="P797" i="6"/>
  <c r="Q797" i="6" s="1"/>
  <c r="O797" i="6"/>
  <c r="R797" i="6" s="1"/>
  <c r="S797" i="6"/>
  <c r="L798" i="6"/>
  <c r="M798" i="6"/>
  <c r="P798" i="6"/>
  <c r="Q798" i="6" s="1"/>
  <c r="S798" i="6"/>
  <c r="L799" i="6"/>
  <c r="M799" i="6"/>
  <c r="S799" i="6"/>
  <c r="L800" i="6"/>
  <c r="M800" i="6"/>
  <c r="S800" i="6"/>
  <c r="L801" i="6"/>
  <c r="M801" i="6"/>
  <c r="P801" i="6"/>
  <c r="Q801" i="6" s="1"/>
  <c r="O801" i="6"/>
  <c r="R801" i="6" s="1"/>
  <c r="S801" i="6"/>
  <c r="L802" i="6"/>
  <c r="M802" i="6"/>
  <c r="S802" i="6"/>
  <c r="L803" i="6"/>
  <c r="M803" i="6"/>
  <c r="S803" i="6"/>
  <c r="L804" i="6"/>
  <c r="M804" i="6"/>
  <c r="S804" i="6"/>
  <c r="L805" i="6"/>
  <c r="M805" i="6"/>
  <c r="P805" i="6"/>
  <c r="Q805" i="6" s="1"/>
  <c r="S805" i="6"/>
  <c r="L806" i="6"/>
  <c r="M806" i="6"/>
  <c r="S806" i="6"/>
  <c r="L807" i="6"/>
  <c r="M807" i="6"/>
  <c r="S807" i="6"/>
  <c r="L808" i="6"/>
  <c r="M808" i="6"/>
  <c r="S808" i="6"/>
  <c r="L809" i="6"/>
  <c r="M809" i="6"/>
  <c r="P809" i="6"/>
  <c r="Q809" i="6" s="1"/>
  <c r="O809" i="6"/>
  <c r="R809" i="6" s="1"/>
  <c r="S809" i="6"/>
  <c r="L810" i="6"/>
  <c r="M810" i="6"/>
  <c r="S810" i="6"/>
  <c r="L811" i="6"/>
  <c r="M811" i="6"/>
  <c r="P811" i="6"/>
  <c r="Q811" i="6" s="1"/>
  <c r="O811" i="6"/>
  <c r="R811" i="6" s="1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P820" i="6"/>
  <c r="O820" i="6"/>
  <c r="R820" i="6" s="1"/>
  <c r="Q820" i="6"/>
  <c r="S820" i="6"/>
  <c r="T820" i="6"/>
  <c r="U820" i="6" s="1"/>
  <c r="V820" i="6" s="1"/>
  <c r="W820" i="6" s="1"/>
  <c r="L821" i="6"/>
  <c r="M821" i="6"/>
  <c r="P821" i="6"/>
  <c r="Q821" i="6" s="1"/>
  <c r="O821" i="6"/>
  <c r="R821" i="6" s="1"/>
  <c r="T821" i="6" s="1"/>
  <c r="U821" i="6" s="1"/>
  <c r="V821" i="6" s="1"/>
  <c r="W821" i="6" s="1"/>
  <c r="S821" i="6"/>
  <c r="L822" i="6"/>
  <c r="M822" i="6"/>
  <c r="P822" i="6"/>
  <c r="O822" i="6"/>
  <c r="R822" i="6" s="1"/>
  <c r="Q822" i="6"/>
  <c r="S822" i="6"/>
  <c r="L823" i="6"/>
  <c r="M823" i="6"/>
  <c r="P823" i="6"/>
  <c r="Q823" i="6" s="1"/>
  <c r="O823" i="6"/>
  <c r="R823" i="6" s="1"/>
  <c r="S823" i="6"/>
  <c r="L824" i="6"/>
  <c r="M824" i="6"/>
  <c r="S824" i="6"/>
  <c r="L825" i="6"/>
  <c r="M825" i="6"/>
  <c r="O825" i="6"/>
  <c r="R825" i="6" s="1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P832" i="6"/>
  <c r="Q832" i="6" s="1"/>
  <c r="O832" i="6"/>
  <c r="R832" i="6" s="1"/>
  <c r="S832" i="6"/>
  <c r="L833" i="6"/>
  <c r="M833" i="6"/>
  <c r="P833" i="6"/>
  <c r="Q833" i="6" s="1"/>
  <c r="O833" i="6"/>
  <c r="R833" i="6"/>
  <c r="S833" i="6"/>
  <c r="L834" i="6"/>
  <c r="M834" i="6"/>
  <c r="P834" i="6"/>
  <c r="Q834" i="6" s="1"/>
  <c r="S834" i="6"/>
  <c r="L835" i="6"/>
  <c r="M835" i="6"/>
  <c r="P835" i="6"/>
  <c r="Q835" i="6" s="1"/>
  <c r="O835" i="6"/>
  <c r="R835" i="6" s="1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P844" i="6"/>
  <c r="Q844" i="6" s="1"/>
  <c r="O844" i="6"/>
  <c r="R844" i="6" s="1"/>
  <c r="S844" i="6"/>
  <c r="L845" i="6"/>
  <c r="M845" i="6"/>
  <c r="S845" i="6"/>
  <c r="L846" i="6"/>
  <c r="M846" i="6"/>
  <c r="O846" i="6"/>
  <c r="R846" i="6" s="1"/>
  <c r="S846" i="6"/>
  <c r="L847" i="6"/>
  <c r="M847" i="6"/>
  <c r="S847" i="6"/>
  <c r="L848" i="6"/>
  <c r="M848" i="6"/>
  <c r="S848" i="6"/>
  <c r="L849" i="6"/>
  <c r="M849" i="6"/>
  <c r="O849" i="6"/>
  <c r="R849" i="6" s="1"/>
  <c r="T849" i="6" s="1"/>
  <c r="U849" i="6" s="1"/>
  <c r="V849" i="6" s="1"/>
  <c r="W849" i="6" s="1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P856" i="6"/>
  <c r="Q856" i="6" s="1"/>
  <c r="O856" i="6"/>
  <c r="R856" i="6" s="1"/>
  <c r="S856" i="6"/>
  <c r="L857" i="6"/>
  <c r="M857" i="6"/>
  <c r="P857" i="6"/>
  <c r="Q857" i="6"/>
  <c r="S857" i="6"/>
  <c r="L858" i="6"/>
  <c r="M858" i="6"/>
  <c r="P858" i="6"/>
  <c r="Q858" i="6" s="1"/>
  <c r="O858" i="6"/>
  <c r="R858" i="6" s="1"/>
  <c r="S858" i="6"/>
  <c r="L859" i="6"/>
  <c r="M859" i="6"/>
  <c r="P859" i="6"/>
  <c r="Q859" i="6" s="1"/>
  <c r="S859" i="6"/>
  <c r="L860" i="6"/>
  <c r="M860" i="6"/>
  <c r="O860" i="6"/>
  <c r="R860" i="6" s="1"/>
  <c r="T860" i="6" s="1"/>
  <c r="U860" i="6" s="1"/>
  <c r="V860" i="6" s="1"/>
  <c r="W860" i="6" s="1"/>
  <c r="P860" i="6"/>
  <c r="Q860" i="6" s="1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O868" i="6"/>
  <c r="R868" i="6" s="1"/>
  <c r="T868" i="6" s="1"/>
  <c r="U868" i="6" s="1"/>
  <c r="V868" i="6" s="1"/>
  <c r="W868" i="6" s="1"/>
  <c r="P868" i="6"/>
  <c r="Q868" i="6" s="1"/>
  <c r="S868" i="6"/>
  <c r="L869" i="6"/>
  <c r="M869" i="6"/>
  <c r="O869" i="6"/>
  <c r="P869" i="6"/>
  <c r="Q869" i="6" s="1"/>
  <c r="R869" i="6"/>
  <c r="S869" i="6"/>
  <c r="L870" i="6"/>
  <c r="M870" i="6"/>
  <c r="O870" i="6"/>
  <c r="R870" i="6" s="1"/>
  <c r="T870" i="6" s="1"/>
  <c r="U870" i="6" s="1"/>
  <c r="V870" i="6" s="1"/>
  <c r="W870" i="6" s="1"/>
  <c r="P870" i="6"/>
  <c r="Q870" i="6" s="1"/>
  <c r="S870" i="6"/>
  <c r="L871" i="6"/>
  <c r="M871" i="6"/>
  <c r="O871" i="6"/>
  <c r="P871" i="6"/>
  <c r="Q871" i="6" s="1"/>
  <c r="R871" i="6"/>
  <c r="S871" i="6"/>
  <c r="L872" i="6"/>
  <c r="M872" i="6"/>
  <c r="O872" i="6"/>
  <c r="R872" i="6" s="1"/>
  <c r="P872" i="6"/>
  <c r="Q872" i="6" s="1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O881" i="6"/>
  <c r="R881" i="6" s="1"/>
  <c r="T881" i="6" s="1"/>
  <c r="U881" i="6" s="1"/>
  <c r="V881" i="6" s="1"/>
  <c r="W881" i="6" s="1"/>
  <c r="P881" i="6"/>
  <c r="Q881" i="6" s="1"/>
  <c r="S881" i="6"/>
  <c r="L882" i="6"/>
  <c r="M882" i="6"/>
  <c r="S882" i="6"/>
  <c r="L883" i="6"/>
  <c r="M883" i="6"/>
  <c r="O883" i="6"/>
  <c r="R883" i="6" s="1"/>
  <c r="T883" i="6" s="1"/>
  <c r="U883" i="6" s="1"/>
  <c r="V883" i="6" s="1"/>
  <c r="W883" i="6" s="1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O892" i="6"/>
  <c r="R892" i="6" s="1"/>
  <c r="T892" i="6" s="1"/>
  <c r="U892" i="6" s="1"/>
  <c r="V892" i="6" s="1"/>
  <c r="W892" i="6" s="1"/>
  <c r="P892" i="6"/>
  <c r="Q892" i="6" s="1"/>
  <c r="S892" i="6"/>
  <c r="L893" i="6"/>
  <c r="M893" i="6"/>
  <c r="O893" i="6"/>
  <c r="R893" i="6" s="1"/>
  <c r="P893" i="6"/>
  <c r="Q893" i="6"/>
  <c r="S893" i="6"/>
  <c r="L894" i="6"/>
  <c r="M894" i="6"/>
  <c r="S894" i="6"/>
  <c r="L895" i="6"/>
  <c r="M895" i="6"/>
  <c r="O895" i="6"/>
  <c r="R895" i="6" s="1"/>
  <c r="P895" i="6"/>
  <c r="Q895" i="6" s="1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O904" i="6"/>
  <c r="R904" i="6" s="1"/>
  <c r="P904" i="6"/>
  <c r="Q904" i="6" s="1"/>
  <c r="S904" i="6"/>
  <c r="L905" i="6"/>
  <c r="M905" i="6"/>
  <c r="O905" i="6"/>
  <c r="R905" i="6" s="1"/>
  <c r="P905" i="6"/>
  <c r="Q905" i="6" s="1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P913" i="6"/>
  <c r="Q913" i="6" s="1"/>
  <c r="S913" i="6"/>
  <c r="L914" i="6"/>
  <c r="M914" i="6"/>
  <c r="S914" i="6"/>
  <c r="L915" i="6"/>
  <c r="M915" i="6"/>
  <c r="S915" i="6"/>
  <c r="L916" i="6"/>
  <c r="M916" i="6"/>
  <c r="P916" i="6"/>
  <c r="Q916" i="6" s="1"/>
  <c r="S916" i="6"/>
  <c r="L917" i="6"/>
  <c r="M917" i="6"/>
  <c r="O917" i="6"/>
  <c r="R917" i="6" s="1"/>
  <c r="P917" i="6"/>
  <c r="Q917" i="6" s="1"/>
  <c r="S917" i="6"/>
  <c r="L918" i="6"/>
  <c r="M918" i="6"/>
  <c r="S918" i="6"/>
  <c r="L919" i="6"/>
  <c r="M919" i="6"/>
  <c r="O919" i="6"/>
  <c r="R919" i="6" s="1"/>
  <c r="P919" i="6"/>
  <c r="Q919" i="6" s="1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O928" i="6"/>
  <c r="R928" i="6" s="1"/>
  <c r="S928" i="6"/>
  <c r="L929" i="6"/>
  <c r="M929" i="6"/>
  <c r="S929" i="6"/>
  <c r="L930" i="6"/>
  <c r="M930" i="6"/>
  <c r="O930" i="6"/>
  <c r="R930" i="6" s="1"/>
  <c r="P930" i="6"/>
  <c r="Q930" i="6" s="1"/>
  <c r="S930" i="6"/>
  <c r="L931" i="6"/>
  <c r="M931" i="6"/>
  <c r="O931" i="6"/>
  <c r="R931" i="6" s="1"/>
  <c r="P931" i="6"/>
  <c r="Q931" i="6" s="1"/>
  <c r="S931" i="6"/>
  <c r="L932" i="6"/>
  <c r="M932" i="6"/>
  <c r="S932" i="6"/>
  <c r="L933" i="6"/>
  <c r="M933" i="6"/>
  <c r="O933" i="6"/>
  <c r="R933" i="6" s="1"/>
  <c r="T933" i="6" s="1"/>
  <c r="U933" i="6" s="1"/>
  <c r="V933" i="6" s="1"/>
  <c r="W933" i="6" s="1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P941" i="6"/>
  <c r="Q941" i="6" s="1"/>
  <c r="O941" i="6"/>
  <c r="R941" i="6" s="1"/>
  <c r="S941" i="6"/>
  <c r="L942" i="6"/>
  <c r="M942" i="6"/>
  <c r="S942" i="6"/>
  <c r="L943" i="6"/>
  <c r="M943" i="6"/>
  <c r="P943" i="6"/>
  <c r="Q943" i="6" s="1"/>
  <c r="O943" i="6"/>
  <c r="R943" i="6" s="1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P953" i="6"/>
  <c r="Q953" i="6" s="1"/>
  <c r="O953" i="6"/>
  <c r="R953" i="6" s="1"/>
  <c r="T953" i="6" s="1"/>
  <c r="U953" i="6" s="1"/>
  <c r="V953" i="6" s="1"/>
  <c r="W953" i="6" s="1"/>
  <c r="S953" i="6"/>
  <c r="L954" i="6"/>
  <c r="M954" i="6"/>
  <c r="P954" i="6"/>
  <c r="Q954" i="6" s="1"/>
  <c r="O954" i="6"/>
  <c r="R954" i="6" s="1"/>
  <c r="S954" i="6"/>
  <c r="L955" i="6"/>
  <c r="M955" i="6"/>
  <c r="S955" i="6"/>
  <c r="L956" i="6"/>
  <c r="M956" i="6"/>
  <c r="S956" i="6"/>
  <c r="L957" i="6"/>
  <c r="M957" i="6"/>
  <c r="P957" i="6"/>
  <c r="Q957" i="6" s="1"/>
  <c r="O957" i="6"/>
  <c r="R957" i="6" s="1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P967" i="6"/>
  <c r="Q967" i="6" s="1"/>
  <c r="O967" i="6"/>
  <c r="R967" i="6"/>
  <c r="T967" i="6" s="1"/>
  <c r="U967" i="6" s="1"/>
  <c r="V967" i="6" s="1"/>
  <c r="W967" i="6" s="1"/>
  <c r="S967" i="6"/>
  <c r="L968" i="6"/>
  <c r="M968" i="6"/>
  <c r="S968" i="6"/>
  <c r="L969" i="6"/>
  <c r="M969" i="6"/>
  <c r="P969" i="6"/>
  <c r="Q969" i="6" s="1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P977" i="6"/>
  <c r="Q977" i="6" s="1"/>
  <c r="O977" i="6"/>
  <c r="R977" i="6" s="1"/>
  <c r="T977" i="6" s="1"/>
  <c r="U977" i="6" s="1"/>
  <c r="V977" i="6" s="1"/>
  <c r="W977" i="6" s="1"/>
  <c r="S977" i="6"/>
  <c r="L978" i="6"/>
  <c r="M978" i="6"/>
  <c r="S978" i="6"/>
  <c r="L979" i="6"/>
  <c r="M979" i="6"/>
  <c r="P979" i="6"/>
  <c r="Q979" i="6" s="1"/>
  <c r="O979" i="6"/>
  <c r="R979" i="6" s="1"/>
  <c r="S979" i="6"/>
  <c r="L980" i="6"/>
  <c r="M980" i="6"/>
  <c r="S980" i="6"/>
  <c r="L981" i="6"/>
  <c r="M981" i="6"/>
  <c r="P981" i="6"/>
  <c r="Q981" i="6" s="1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P989" i="6"/>
  <c r="Q989" i="6" s="1"/>
  <c r="O989" i="6"/>
  <c r="R989" i="6" s="1"/>
  <c r="S989" i="6"/>
  <c r="T989" i="6"/>
  <c r="U989" i="6" s="1"/>
  <c r="V989" i="6" s="1"/>
  <c r="W989" i="6" s="1"/>
  <c r="L990" i="6"/>
  <c r="M990" i="6"/>
  <c r="S990" i="6"/>
  <c r="L991" i="6"/>
  <c r="M991" i="6"/>
  <c r="P991" i="6"/>
  <c r="Q991" i="6" s="1"/>
  <c r="O991" i="6"/>
  <c r="R991" i="6" s="1"/>
  <c r="T991" i="6" s="1"/>
  <c r="U991" i="6" s="1"/>
  <c r="V991" i="6" s="1"/>
  <c r="W991" i="6" s="1"/>
  <c r="S991" i="6"/>
  <c r="L992" i="6"/>
  <c r="M992" i="6"/>
  <c r="S992" i="6"/>
  <c r="L993" i="6"/>
  <c r="M993" i="6"/>
  <c r="P993" i="6"/>
  <c r="Q993" i="6" s="1"/>
  <c r="O993" i="6"/>
  <c r="R993" i="6" s="1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P1001" i="6"/>
  <c r="Q1001" i="6" s="1"/>
  <c r="O1001" i="6"/>
  <c r="R1001" i="6" s="1"/>
  <c r="T1001" i="6" s="1"/>
  <c r="U1001" i="6" s="1"/>
  <c r="V1001" i="6" s="1"/>
  <c r="W1001" i="6" s="1"/>
  <c r="S1001" i="6"/>
  <c r="L1002" i="6"/>
  <c r="M1002" i="6"/>
  <c r="P1002" i="6"/>
  <c r="Q1002" i="6" s="1"/>
  <c r="O1002" i="6"/>
  <c r="R1002" i="6" s="1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P1014" i="6"/>
  <c r="Q1014" i="6" s="1"/>
  <c r="O1014" i="6"/>
  <c r="R1014" i="6" s="1"/>
  <c r="S1014" i="6"/>
  <c r="L1015" i="6"/>
  <c r="M1015" i="6"/>
  <c r="S1015" i="6"/>
  <c r="L1016" i="6"/>
  <c r="M1016" i="6"/>
  <c r="P1016" i="6"/>
  <c r="O1016" i="6"/>
  <c r="R1016" i="6" s="1"/>
  <c r="Q1016" i="6"/>
  <c r="S1016" i="6"/>
  <c r="L1017" i="6"/>
  <c r="M1017" i="6"/>
  <c r="P1017" i="6"/>
  <c r="Q1017" i="6" s="1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P1024" i="6"/>
  <c r="Q1024" i="6" s="1"/>
  <c r="S1024" i="6"/>
  <c r="L1025" i="6"/>
  <c r="M1025" i="6"/>
  <c r="P1025" i="6"/>
  <c r="Q1025" i="6" s="1"/>
  <c r="O1025" i="6"/>
  <c r="R1025" i="6" s="1"/>
  <c r="S1025" i="6"/>
  <c r="L1026" i="6"/>
  <c r="M1026" i="6"/>
  <c r="O1026" i="6"/>
  <c r="R1026" i="6" s="1"/>
  <c r="T1026" i="6" s="1"/>
  <c r="U1026" i="6" s="1"/>
  <c r="V1026" i="6" s="1"/>
  <c r="W1026" i="6" s="1"/>
  <c r="P1026" i="6"/>
  <c r="Q1026" i="6" s="1"/>
  <c r="S1026" i="6"/>
  <c r="L1027" i="6"/>
  <c r="M1027" i="6"/>
  <c r="S1027" i="6"/>
  <c r="L1028" i="6"/>
  <c r="M1028" i="6"/>
  <c r="O1028" i="6"/>
  <c r="R1028" i="6" s="1"/>
  <c r="P1028" i="6"/>
  <c r="Q1028" i="6" s="1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O1037" i="6"/>
  <c r="R1037" i="6" s="1"/>
  <c r="T1037" i="6" s="1"/>
  <c r="U1037" i="6" s="1"/>
  <c r="V1037" i="6" s="1"/>
  <c r="W1037" i="6" s="1"/>
  <c r="P1037" i="6"/>
  <c r="Q1037" i="6" s="1"/>
  <c r="S1037" i="6"/>
  <c r="L1038" i="6"/>
  <c r="M1038" i="6"/>
  <c r="S1038" i="6"/>
  <c r="L1039" i="6"/>
  <c r="M1039" i="6"/>
  <c r="P1039" i="6"/>
  <c r="Q1039" i="6" s="1"/>
  <c r="O1039" i="6"/>
  <c r="R1039" i="6" s="1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O1048" i="6"/>
  <c r="R1048" i="6" s="1"/>
  <c r="T1048" i="6" s="1"/>
  <c r="U1048" i="6" s="1"/>
  <c r="V1048" i="6" s="1"/>
  <c r="W1048" i="6" s="1"/>
  <c r="P1048" i="6"/>
  <c r="Q1048" i="6" s="1"/>
  <c r="S1048" i="6"/>
  <c r="L1049" i="6"/>
  <c r="M1049" i="6"/>
  <c r="P1049" i="6"/>
  <c r="Q1049" i="6" s="1"/>
  <c r="O1049" i="6"/>
  <c r="R1049" i="6" s="1"/>
  <c r="S1049" i="6"/>
  <c r="L1050" i="6"/>
  <c r="M1050" i="6"/>
  <c r="O1050" i="6"/>
  <c r="R1050" i="6" s="1"/>
  <c r="T1050" i="6" s="1"/>
  <c r="U1050" i="6" s="1"/>
  <c r="V1050" i="6" s="1"/>
  <c r="W1050" i="6" s="1"/>
  <c r="S1050" i="6"/>
  <c r="L1051" i="6"/>
  <c r="M1051" i="6"/>
  <c r="O1051" i="6"/>
  <c r="R1051" i="6" s="1"/>
  <c r="P1051" i="6"/>
  <c r="Q1051" i="6" s="1"/>
  <c r="S1051" i="6"/>
  <c r="L1052" i="6"/>
  <c r="M1052" i="6"/>
  <c r="O1052" i="6"/>
  <c r="R1052" i="6" s="1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O1063" i="6"/>
  <c r="R1063" i="6" s="1"/>
  <c r="S1063" i="6"/>
  <c r="L1064" i="6"/>
  <c r="M1064" i="6"/>
  <c r="P1064" i="6"/>
  <c r="Q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O1069" i="6"/>
  <c r="R1069" i="6" s="1"/>
  <c r="T1069" i="6" s="1"/>
  <c r="U1069" i="6" s="1"/>
  <c r="V1069" i="6" s="1"/>
  <c r="W1069" i="6" s="1"/>
  <c r="P1069" i="6"/>
  <c r="Q1069" i="6" s="1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O1073" i="6"/>
  <c r="R1073" i="6" s="1"/>
  <c r="P1073" i="6"/>
  <c r="Q1073" i="6" s="1"/>
  <c r="S1073" i="6"/>
  <c r="L1074" i="6"/>
  <c r="M1074" i="6"/>
  <c r="P1074" i="6"/>
  <c r="Q1074" i="6" s="1"/>
  <c r="O1074" i="6"/>
  <c r="R1074" i="6" s="1"/>
  <c r="T1074" i="6" s="1"/>
  <c r="U1074" i="6" s="1"/>
  <c r="V1074" i="6" s="1"/>
  <c r="W1074" i="6" s="1"/>
  <c r="S1074" i="6"/>
  <c r="L1075" i="6"/>
  <c r="M1075" i="6"/>
  <c r="P1075" i="6"/>
  <c r="Q1075" i="6" s="1"/>
  <c r="O1075" i="6"/>
  <c r="R1075" i="6" s="1"/>
  <c r="S1075" i="6"/>
  <c r="L1076" i="6"/>
  <c r="M1076" i="6"/>
  <c r="S1076" i="6"/>
  <c r="L1077" i="6"/>
  <c r="M1077" i="6"/>
  <c r="P1077" i="6"/>
  <c r="Q1077" i="6" s="1"/>
  <c r="O1077" i="6"/>
  <c r="R1077" i="6" s="1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O1084" i="6"/>
  <c r="R1084" i="6" s="1"/>
  <c r="P1084" i="6"/>
  <c r="Q1084" i="6" s="1"/>
  <c r="S1084" i="6"/>
  <c r="L1085" i="6"/>
  <c r="M1085" i="6"/>
  <c r="P1085" i="6"/>
  <c r="Q1085" i="6" s="1"/>
  <c r="S1085" i="6"/>
  <c r="L1086" i="6"/>
  <c r="M1086" i="6"/>
  <c r="O1086" i="6"/>
  <c r="R1086" i="6" s="1"/>
  <c r="P1086" i="6"/>
  <c r="Q1086" i="6" s="1"/>
  <c r="S1086" i="6"/>
  <c r="L1087" i="6"/>
  <c r="M1087" i="6"/>
  <c r="O1087" i="6"/>
  <c r="R1087" i="6" s="1"/>
  <c r="S1087" i="6"/>
  <c r="L1088" i="6"/>
  <c r="M1088" i="6"/>
  <c r="S1088" i="6"/>
  <c r="L1089" i="6"/>
  <c r="M1089" i="6"/>
  <c r="O1089" i="6"/>
  <c r="P1089" i="6"/>
  <c r="Q1089" i="6"/>
  <c r="R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O1096" i="6"/>
  <c r="R1096" i="6" s="1"/>
  <c r="P1096" i="6"/>
  <c r="Q1096" i="6" s="1"/>
  <c r="S1096" i="6"/>
  <c r="L1097" i="6"/>
  <c r="M1097" i="6"/>
  <c r="O1097" i="6"/>
  <c r="R1097" i="6" s="1"/>
  <c r="P1097" i="6"/>
  <c r="Q1097" i="6" s="1"/>
  <c r="S1097" i="6"/>
  <c r="L1098" i="6"/>
  <c r="M1098" i="6"/>
  <c r="O1098" i="6"/>
  <c r="R1098" i="6" s="1"/>
  <c r="P1098" i="6"/>
  <c r="Q1098" i="6" s="1"/>
  <c r="S1098" i="6"/>
  <c r="L1099" i="6"/>
  <c r="M1099" i="6"/>
  <c r="O1099" i="6"/>
  <c r="R1099" i="6" s="1"/>
  <c r="P1099" i="6"/>
  <c r="Q1099" i="6" s="1"/>
  <c r="S1099" i="6"/>
  <c r="L1100" i="6"/>
  <c r="M1100" i="6"/>
  <c r="P1100" i="6"/>
  <c r="Q1100" i="6"/>
  <c r="S1100" i="6"/>
  <c r="L1101" i="6"/>
  <c r="M1101" i="6"/>
  <c r="O1101" i="6"/>
  <c r="R1101" i="6" s="1"/>
  <c r="P1101" i="6"/>
  <c r="Q1101" i="6" s="1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P1108" i="6"/>
  <c r="Q1108" i="6" s="1"/>
  <c r="O1108" i="6"/>
  <c r="R1108" i="6" s="1"/>
  <c r="S1108" i="6"/>
  <c r="L1109" i="6"/>
  <c r="M1109" i="6"/>
  <c r="P1109" i="6"/>
  <c r="Q1109" i="6" s="1"/>
  <c r="O1109" i="6"/>
  <c r="R1109" i="6" s="1"/>
  <c r="S1109" i="6"/>
  <c r="L1110" i="6"/>
  <c r="M1110" i="6"/>
  <c r="S1110" i="6"/>
  <c r="L1111" i="6"/>
  <c r="M1111" i="6"/>
  <c r="O1111" i="6"/>
  <c r="R1111" i="6" s="1"/>
  <c r="P1111" i="6"/>
  <c r="Q1111" i="6" s="1"/>
  <c r="S1111" i="6"/>
  <c r="L1112" i="6"/>
  <c r="M1112" i="6"/>
  <c r="S1112" i="6"/>
  <c r="L1113" i="6"/>
  <c r="M1113" i="6"/>
  <c r="O1113" i="6"/>
  <c r="R1113" i="6" s="1"/>
  <c r="P1113" i="6"/>
  <c r="Q1113" i="6" s="1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O1117" i="6"/>
  <c r="R1117" i="6" s="1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O1121" i="6"/>
  <c r="R1121" i="6" s="1"/>
  <c r="P1121" i="6"/>
  <c r="Q1121" i="6" s="1"/>
  <c r="S1121" i="6"/>
  <c r="L1122" i="6"/>
  <c r="M1122" i="6"/>
  <c r="P1122" i="6"/>
  <c r="Q1122" i="6" s="1"/>
  <c r="O1122" i="6"/>
  <c r="R1122" i="6" s="1"/>
  <c r="S1122" i="6"/>
  <c r="L1123" i="6"/>
  <c r="M1123" i="6"/>
  <c r="O1123" i="6"/>
  <c r="R1123" i="6" s="1"/>
  <c r="T1123" i="6" s="1"/>
  <c r="U1123" i="6" s="1"/>
  <c r="V1123" i="6" s="1"/>
  <c r="W1123" i="6" s="1"/>
  <c r="S1123" i="6"/>
  <c r="L1124" i="6"/>
  <c r="M1124" i="6"/>
  <c r="O1124" i="6"/>
  <c r="R1124" i="6" s="1"/>
  <c r="P1124" i="6"/>
  <c r="Q1124" i="6" s="1"/>
  <c r="S1124" i="6"/>
  <c r="L1125" i="6"/>
  <c r="M1125" i="6"/>
  <c r="P1125" i="6"/>
  <c r="Q1125" i="6" s="1"/>
  <c r="O1125" i="6"/>
  <c r="R1125" i="6" s="1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P1129" i="6"/>
  <c r="Q1129" i="6" s="1"/>
  <c r="S1129" i="6"/>
  <c r="L1130" i="6"/>
  <c r="M1130" i="6"/>
  <c r="S1130" i="6"/>
  <c r="L1131" i="6"/>
  <c r="M1131" i="6"/>
  <c r="S1131" i="6"/>
  <c r="L1132" i="6"/>
  <c r="M1132" i="6"/>
  <c r="O1132" i="6"/>
  <c r="R1132" i="6" s="1"/>
  <c r="S1132" i="6"/>
  <c r="L1133" i="6"/>
  <c r="M1133" i="6"/>
  <c r="O1133" i="6"/>
  <c r="R1133" i="6" s="1"/>
  <c r="P1133" i="6"/>
  <c r="Q1133" i="6" s="1"/>
  <c r="S1133" i="6"/>
  <c r="L1134" i="6"/>
  <c r="M1134" i="6"/>
  <c r="P1134" i="6"/>
  <c r="Q1134" i="6" s="1"/>
  <c r="S1134" i="6"/>
  <c r="L1135" i="6"/>
  <c r="M1135" i="6"/>
  <c r="O1135" i="6"/>
  <c r="R1135" i="6" s="1"/>
  <c r="S1135" i="6"/>
  <c r="L1136" i="6"/>
  <c r="M1136" i="6"/>
  <c r="O1136" i="6"/>
  <c r="R1136" i="6" s="1"/>
  <c r="T1136" i="6" s="1"/>
  <c r="U1136" i="6" s="1"/>
  <c r="V1136" i="6" s="1"/>
  <c r="W1136" i="6" s="1"/>
  <c r="P1136" i="6"/>
  <c r="Q1136" i="6" s="1"/>
  <c r="S1136" i="6"/>
  <c r="L1137" i="6"/>
  <c r="M1137" i="6"/>
  <c r="P1137" i="6"/>
  <c r="Q1137" i="6" s="1"/>
  <c r="O1137" i="6"/>
  <c r="R1137" i="6" s="1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P1144" i="6"/>
  <c r="Q1144" i="6" s="1"/>
  <c r="O1144" i="6"/>
  <c r="R1144" i="6" s="1"/>
  <c r="S1144" i="6"/>
  <c r="L1145" i="6"/>
  <c r="M1145" i="6"/>
  <c r="O1145" i="6"/>
  <c r="R1145" i="6" s="1"/>
  <c r="P1145" i="6"/>
  <c r="Q1145" i="6" s="1"/>
  <c r="S1145" i="6"/>
  <c r="L1146" i="6"/>
  <c r="M1146" i="6"/>
  <c r="P1146" i="6"/>
  <c r="Q1146" i="6" s="1"/>
  <c r="O1146" i="6"/>
  <c r="R1146" i="6" s="1"/>
  <c r="S1146" i="6"/>
  <c r="L1147" i="6"/>
  <c r="M1147" i="6"/>
  <c r="S1147" i="6"/>
  <c r="L1148" i="6"/>
  <c r="M1148" i="6"/>
  <c r="O1148" i="6"/>
  <c r="R1148" i="6" s="1"/>
  <c r="P1148" i="6"/>
  <c r="Q1148" i="6" s="1"/>
  <c r="S1148" i="6"/>
  <c r="L1149" i="6"/>
  <c r="M1149" i="6"/>
  <c r="P1149" i="6"/>
  <c r="Q1149" i="6" s="1"/>
  <c r="O1149" i="6"/>
  <c r="R1149" i="6" s="1"/>
  <c r="T1149" i="6" s="1"/>
  <c r="U1149" i="6" s="1"/>
  <c r="V1149" i="6" s="1"/>
  <c r="W1149" i="6" s="1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O1157" i="6"/>
  <c r="R1157" i="6" s="1"/>
  <c r="P1157" i="6"/>
  <c r="Q1157" i="6" s="1"/>
  <c r="S1157" i="6"/>
  <c r="L1158" i="6"/>
  <c r="M1158" i="6"/>
  <c r="P1158" i="6"/>
  <c r="Q1158" i="6" s="1"/>
  <c r="S1158" i="6"/>
  <c r="L1159" i="6"/>
  <c r="M1159" i="6"/>
  <c r="O1159" i="6"/>
  <c r="R1159" i="6" s="1"/>
  <c r="S1159" i="6"/>
  <c r="L1160" i="6"/>
  <c r="M1160" i="6"/>
  <c r="O1160" i="6"/>
  <c r="R1160" i="6" s="1"/>
  <c r="P1160" i="6"/>
  <c r="Q1160" i="6" s="1"/>
  <c r="S1160" i="6"/>
  <c r="L1161" i="6"/>
  <c r="M1161" i="6"/>
  <c r="P1161" i="6"/>
  <c r="Q1161" i="6" s="1"/>
  <c r="O1161" i="6"/>
  <c r="R1161" i="6" s="1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O1165" i="6"/>
  <c r="R1165" i="6" s="1"/>
  <c r="S1165" i="6"/>
  <c r="L1166" i="6"/>
  <c r="M1166" i="6"/>
  <c r="S1166" i="6"/>
  <c r="L1167" i="6"/>
  <c r="M1167" i="6"/>
  <c r="S1167" i="6"/>
  <c r="L1168" i="6"/>
  <c r="M1168" i="6"/>
  <c r="P1168" i="6"/>
  <c r="Q1168" i="6" s="1"/>
  <c r="O1168" i="6"/>
  <c r="R1168" i="6" s="1"/>
  <c r="T1168" i="6" s="1"/>
  <c r="U1168" i="6" s="1"/>
  <c r="V1168" i="6" s="1"/>
  <c r="W1168" i="6" s="1"/>
  <c r="S1168" i="6"/>
  <c r="L1169" i="6"/>
  <c r="M1169" i="6"/>
  <c r="O1169" i="6"/>
  <c r="R1169" i="6" s="1"/>
  <c r="P1169" i="6"/>
  <c r="Q1169" i="6" s="1"/>
  <c r="S1169" i="6"/>
  <c r="L1170" i="6"/>
  <c r="M1170" i="6"/>
  <c r="P1170" i="6"/>
  <c r="Q1170" i="6" s="1"/>
  <c r="O1170" i="6"/>
  <c r="R1170" i="6" s="1"/>
  <c r="S1170" i="6"/>
  <c r="L1171" i="6"/>
  <c r="M1171" i="6"/>
  <c r="S1171" i="6"/>
  <c r="L1172" i="6"/>
  <c r="M1172" i="6"/>
  <c r="O1172" i="6"/>
  <c r="R1172" i="6" s="1"/>
  <c r="P1172" i="6"/>
  <c r="Q1172" i="6" s="1"/>
  <c r="S1172" i="6"/>
  <c r="L1173" i="6"/>
  <c r="M1173" i="6"/>
  <c r="P1173" i="6"/>
  <c r="Q1173" i="6" s="1"/>
  <c r="S1173" i="6"/>
  <c r="L1174" i="6"/>
  <c r="M1174" i="6"/>
  <c r="S1174" i="6"/>
  <c r="L1175" i="6"/>
  <c r="M1175" i="6"/>
  <c r="S1175" i="6"/>
  <c r="L1176" i="6"/>
  <c r="M1176" i="6"/>
  <c r="S1176" i="6"/>
  <c r="L1177" i="6"/>
  <c r="M1177" i="6"/>
  <c r="S1177" i="6"/>
  <c r="L1178" i="6"/>
  <c r="M1178" i="6"/>
  <c r="S1178" i="6"/>
  <c r="L1179" i="6"/>
  <c r="M1179" i="6"/>
  <c r="S1179" i="6"/>
  <c r="L1180" i="6"/>
  <c r="M1180" i="6"/>
  <c r="O1180" i="6"/>
  <c r="R1180" i="6" s="1"/>
  <c r="S1180" i="6"/>
  <c r="L1181" i="6"/>
  <c r="M1181" i="6"/>
  <c r="O1181" i="6"/>
  <c r="R1181" i="6" s="1"/>
  <c r="P1181" i="6"/>
  <c r="Q1181" i="6" s="1"/>
  <c r="S1181" i="6"/>
  <c r="L1182" i="6"/>
  <c r="M1182" i="6"/>
  <c r="P1182" i="6"/>
  <c r="Q1182" i="6" s="1"/>
  <c r="S1182" i="6"/>
  <c r="L1183" i="6"/>
  <c r="M1183" i="6"/>
  <c r="S1183" i="6"/>
  <c r="L1184" i="6"/>
  <c r="M1184" i="6"/>
  <c r="O1184" i="6"/>
  <c r="R1184" i="6" s="1"/>
  <c r="T1184" i="6" s="1"/>
  <c r="U1184" i="6" s="1"/>
  <c r="V1184" i="6" s="1"/>
  <c r="W1184" i="6" s="1"/>
  <c r="P1184" i="6"/>
  <c r="Q1184" i="6" s="1"/>
  <c r="S1184" i="6"/>
  <c r="L1185" i="6"/>
  <c r="M1185" i="6"/>
  <c r="P1185" i="6"/>
  <c r="Q1185" i="6" s="1"/>
  <c r="O1185" i="6"/>
  <c r="R1185" i="6" s="1"/>
  <c r="S1185" i="6"/>
  <c r="L1186" i="6"/>
  <c r="M1186" i="6"/>
  <c r="S1186" i="6"/>
  <c r="L1187" i="6"/>
  <c r="M1187" i="6"/>
  <c r="S1187" i="6"/>
  <c r="L1188" i="6"/>
  <c r="M1188" i="6"/>
  <c r="S1188" i="6"/>
  <c r="L1189" i="6"/>
  <c r="M1189" i="6"/>
  <c r="S1189" i="6"/>
  <c r="L1190" i="6"/>
  <c r="M1190" i="6"/>
  <c r="S1190" i="6"/>
  <c r="L1191" i="6"/>
  <c r="M1191" i="6"/>
  <c r="S1191" i="6"/>
  <c r="L1192" i="6"/>
  <c r="M1192" i="6"/>
  <c r="P1192" i="6"/>
  <c r="Q1192" i="6" s="1"/>
  <c r="S1192" i="6"/>
  <c r="L1193" i="6"/>
  <c r="M1193" i="6"/>
  <c r="O1193" i="6"/>
  <c r="R1193" i="6" s="1"/>
  <c r="P1193" i="6"/>
  <c r="Q1193" i="6" s="1"/>
  <c r="S1193" i="6"/>
  <c r="L1194" i="6"/>
  <c r="M1194" i="6"/>
  <c r="P1194" i="6"/>
  <c r="Q1194" i="6" s="1"/>
  <c r="O1194" i="6"/>
  <c r="R1194" i="6" s="1"/>
  <c r="T1194" i="6" s="1"/>
  <c r="U1194" i="6" s="1"/>
  <c r="V1194" i="6" s="1"/>
  <c r="W1194" i="6" s="1"/>
  <c r="S1194" i="6"/>
  <c r="L1195" i="6"/>
  <c r="M1195" i="6"/>
  <c r="S1195" i="6"/>
  <c r="L1196" i="6"/>
  <c r="M1196" i="6"/>
  <c r="O1196" i="6"/>
  <c r="R1196" i="6" s="1"/>
  <c r="P1196" i="6"/>
  <c r="Q1196" i="6" s="1"/>
  <c r="S1196" i="6"/>
  <c r="L1197" i="6"/>
  <c r="M1197" i="6"/>
  <c r="O1197" i="6"/>
  <c r="R1197" i="6" s="1"/>
  <c r="S1197" i="6"/>
  <c r="L1198" i="6"/>
  <c r="M1198" i="6"/>
  <c r="S1198" i="6"/>
  <c r="L1199" i="6"/>
  <c r="M1199" i="6"/>
  <c r="S1199" i="6"/>
  <c r="L1200" i="6"/>
  <c r="M1200" i="6"/>
  <c r="S1200" i="6"/>
  <c r="L1201" i="6"/>
  <c r="M1201" i="6"/>
  <c r="S1201" i="6"/>
  <c r="L1202" i="6"/>
  <c r="M1202" i="6"/>
  <c r="S1202" i="6"/>
  <c r="L1203" i="6"/>
  <c r="M1203" i="6"/>
  <c r="S1203" i="6"/>
  <c r="L1204" i="6"/>
  <c r="M1204" i="6"/>
  <c r="S1204" i="6"/>
  <c r="L1205" i="6"/>
  <c r="M1205" i="6"/>
  <c r="O1205" i="6"/>
  <c r="R1205" i="6" s="1"/>
  <c r="P1205" i="6"/>
  <c r="Q1205" i="6" s="1"/>
  <c r="S1205" i="6"/>
  <c r="L1206" i="6"/>
  <c r="M1206" i="6"/>
  <c r="P1206" i="6"/>
  <c r="Q1206" i="6" s="1"/>
  <c r="S1206" i="6"/>
  <c r="L1207" i="6"/>
  <c r="M1207" i="6"/>
  <c r="O1207" i="6"/>
  <c r="R1207" i="6" s="1"/>
  <c r="P1207" i="6"/>
  <c r="Q1207" i="6" s="1"/>
  <c r="S1207" i="6"/>
  <c r="L1208" i="6"/>
  <c r="M1208" i="6"/>
  <c r="S1208" i="6"/>
  <c r="L1209" i="6"/>
  <c r="M1209" i="6"/>
  <c r="P1209" i="6"/>
  <c r="Q1209" i="6" s="1"/>
  <c r="O1209" i="6"/>
  <c r="R1209" i="6" s="1"/>
  <c r="T1209" i="6" s="1"/>
  <c r="U1209" i="6" s="1"/>
  <c r="V1209" i="6" s="1"/>
  <c r="W1209" i="6" s="1"/>
  <c r="S1209" i="6"/>
  <c r="L1210" i="6"/>
  <c r="M1210" i="6"/>
  <c r="S1210" i="6"/>
  <c r="L1211" i="6"/>
  <c r="M1211" i="6"/>
  <c r="S1211" i="6"/>
  <c r="L1212" i="6"/>
  <c r="M1212" i="6"/>
  <c r="S1212" i="6"/>
  <c r="L1213" i="6"/>
  <c r="M1213" i="6"/>
  <c r="P1213" i="6"/>
  <c r="Q1213" i="6" s="1"/>
  <c r="S1213" i="6"/>
  <c r="L1214" i="6"/>
  <c r="M1214" i="6"/>
  <c r="S1214" i="6"/>
  <c r="L1215" i="6"/>
  <c r="M1215" i="6"/>
  <c r="S1215" i="6"/>
  <c r="L1216" i="6"/>
  <c r="M1216" i="6"/>
  <c r="P1216" i="6"/>
  <c r="Q1216" i="6" s="1"/>
  <c r="O1216" i="6"/>
  <c r="R1216" i="6" s="1"/>
  <c r="S1216" i="6"/>
  <c r="L1217" i="6"/>
  <c r="M1217" i="6"/>
  <c r="O1217" i="6"/>
  <c r="R1217" i="6" s="1"/>
  <c r="P1217" i="6"/>
  <c r="Q1217" i="6" s="1"/>
  <c r="S1217" i="6"/>
  <c r="L1218" i="6"/>
  <c r="M1218" i="6"/>
  <c r="P1218" i="6"/>
  <c r="Q1218" i="6" s="1"/>
  <c r="O1218" i="6"/>
  <c r="R1218" i="6" s="1"/>
  <c r="T1218" i="6" s="1"/>
  <c r="U1218" i="6" s="1"/>
  <c r="V1218" i="6" s="1"/>
  <c r="W1218" i="6" s="1"/>
  <c r="S1218" i="6"/>
  <c r="L1219" i="6"/>
  <c r="M1219" i="6"/>
  <c r="O1219" i="6"/>
  <c r="R1219" i="6" s="1"/>
  <c r="P1219" i="6"/>
  <c r="Q1219" i="6" s="1"/>
  <c r="S1219" i="6"/>
  <c r="L1220" i="6"/>
  <c r="M1220" i="6"/>
  <c r="P1220" i="6"/>
  <c r="Q1220" i="6" s="1"/>
  <c r="S1220" i="6"/>
  <c r="L1221" i="6"/>
  <c r="M1221" i="6"/>
  <c r="P1221" i="6"/>
  <c r="Q1221" i="6" s="1"/>
  <c r="S1221" i="6"/>
  <c r="L1222" i="6"/>
  <c r="M1222" i="6"/>
  <c r="S1222" i="6"/>
  <c r="L1223" i="6"/>
  <c r="M1223" i="6"/>
  <c r="S1223" i="6"/>
  <c r="L1224" i="6"/>
  <c r="M1224" i="6"/>
  <c r="S1224" i="6"/>
  <c r="L1225" i="6"/>
  <c r="M1225" i="6"/>
  <c r="S1225" i="6"/>
  <c r="L1226" i="6"/>
  <c r="M1226" i="6"/>
  <c r="S1226" i="6"/>
  <c r="L1227" i="6"/>
  <c r="M1227" i="6"/>
  <c r="S1227" i="6"/>
  <c r="L1228" i="6"/>
  <c r="M1228" i="6"/>
  <c r="S1228" i="6"/>
  <c r="L1229" i="6"/>
  <c r="M1229" i="6"/>
  <c r="O1229" i="6"/>
  <c r="R1229" i="6" s="1"/>
  <c r="P1229" i="6"/>
  <c r="Q1229" i="6" s="1"/>
  <c r="S1229" i="6"/>
  <c r="L1230" i="6"/>
  <c r="M1230" i="6"/>
  <c r="P1230" i="6"/>
  <c r="Q1230" i="6" s="1"/>
  <c r="S1230" i="6"/>
  <c r="L1231" i="6"/>
  <c r="M1231" i="6"/>
  <c r="O1231" i="6"/>
  <c r="R1231" i="6" s="1"/>
  <c r="T1231" i="6" s="1"/>
  <c r="U1231" i="6" s="1"/>
  <c r="V1231" i="6" s="1"/>
  <c r="W1231" i="6" s="1"/>
  <c r="P1231" i="6"/>
  <c r="Q1231" i="6" s="1"/>
  <c r="S1231" i="6"/>
  <c r="L1232" i="6"/>
  <c r="M1232" i="6"/>
  <c r="O1232" i="6"/>
  <c r="R1232" i="6" s="1"/>
  <c r="S1232" i="6"/>
  <c r="L1233" i="6"/>
  <c r="M1233" i="6"/>
  <c r="P1233" i="6"/>
  <c r="Q1233" i="6" s="1"/>
  <c r="S1233" i="6"/>
  <c r="L1234" i="6"/>
  <c r="M1234" i="6"/>
  <c r="S1234" i="6"/>
  <c r="L1235" i="6"/>
  <c r="M1235" i="6"/>
  <c r="S1235" i="6"/>
  <c r="L1236" i="6"/>
  <c r="M1236" i="6"/>
  <c r="S1236" i="6"/>
  <c r="L1237" i="6"/>
  <c r="M1237" i="6"/>
  <c r="S1237" i="6"/>
  <c r="L1238" i="6"/>
  <c r="M1238" i="6"/>
  <c r="S1238" i="6"/>
  <c r="L1239" i="6"/>
  <c r="M1239" i="6"/>
  <c r="S1239" i="6"/>
  <c r="L1240" i="6"/>
  <c r="M1240" i="6"/>
  <c r="S1240" i="6"/>
  <c r="L1241" i="6"/>
  <c r="M1241" i="6"/>
  <c r="P1241" i="6"/>
  <c r="Q1241" i="6" s="1"/>
  <c r="S1241" i="6"/>
  <c r="L1242" i="6"/>
  <c r="M1242" i="6"/>
  <c r="O1242" i="6"/>
  <c r="R1242" i="6" s="1"/>
  <c r="T1242" i="6" s="1"/>
  <c r="U1242" i="6" s="1"/>
  <c r="V1242" i="6" s="1"/>
  <c r="W1242" i="6" s="1"/>
  <c r="P1242" i="6"/>
  <c r="Q1242" i="6" s="1"/>
  <c r="S1242" i="6"/>
  <c r="L1243" i="6"/>
  <c r="M1243" i="6"/>
  <c r="O1243" i="6"/>
  <c r="R1243" i="6" s="1"/>
  <c r="P1243" i="6"/>
  <c r="Q1243" i="6" s="1"/>
  <c r="S1243" i="6"/>
  <c r="L1244" i="6"/>
  <c r="M1244" i="6"/>
  <c r="O1244" i="6"/>
  <c r="R1244" i="6" s="1"/>
  <c r="P1244" i="6"/>
  <c r="Q1244" i="6" s="1"/>
  <c r="S1244" i="6"/>
  <c r="L1245" i="6"/>
  <c r="M1245" i="6"/>
  <c r="S1245" i="6"/>
  <c r="L1246" i="6"/>
  <c r="M1246" i="6"/>
  <c r="S1246" i="6"/>
  <c r="L1247" i="6"/>
  <c r="M1247" i="6"/>
  <c r="S1247" i="6"/>
  <c r="L1248" i="6"/>
  <c r="M1248" i="6"/>
  <c r="S1248" i="6"/>
  <c r="L1249" i="6"/>
  <c r="M1249" i="6"/>
  <c r="S1249" i="6"/>
  <c r="L1250" i="6"/>
  <c r="M1250" i="6"/>
  <c r="S1250" i="6"/>
  <c r="L1251" i="6"/>
  <c r="M1251" i="6"/>
  <c r="S1251" i="6"/>
  <c r="L1252" i="6"/>
  <c r="M1252" i="6"/>
  <c r="S1252" i="6"/>
  <c r="L1253" i="6"/>
  <c r="M1253" i="6"/>
  <c r="P1253" i="6"/>
  <c r="Q1253" i="6" s="1"/>
  <c r="O1253" i="6"/>
  <c r="R1253" i="6" s="1"/>
  <c r="T1253" i="6" s="1"/>
  <c r="U1253" i="6" s="1"/>
  <c r="V1253" i="6" s="1"/>
  <c r="W1253" i="6" s="1"/>
  <c r="S1253" i="6"/>
  <c r="L1254" i="6"/>
  <c r="M1254" i="6"/>
  <c r="O1254" i="6"/>
  <c r="R1254" i="6" s="1"/>
  <c r="P1254" i="6"/>
  <c r="Q1254" i="6" s="1"/>
  <c r="S1254" i="6"/>
  <c r="L1255" i="6"/>
  <c r="M1255" i="6"/>
  <c r="P1255" i="6"/>
  <c r="Q1255" i="6" s="1"/>
  <c r="S1255" i="6"/>
  <c r="L1256" i="6"/>
  <c r="M1256" i="6"/>
  <c r="O1256" i="6"/>
  <c r="R1256" i="6" s="1"/>
  <c r="P1256" i="6"/>
  <c r="Q1256" i="6" s="1"/>
  <c r="S1256" i="6"/>
  <c r="L1257" i="6"/>
  <c r="M1257" i="6"/>
  <c r="S1257" i="6"/>
  <c r="L1258" i="6"/>
  <c r="M1258" i="6"/>
  <c r="S1258" i="6"/>
  <c r="L1259" i="6"/>
  <c r="M1259" i="6"/>
  <c r="S1259" i="6"/>
  <c r="L1260" i="6"/>
  <c r="M1260" i="6"/>
  <c r="S1260" i="6"/>
  <c r="L1261" i="6"/>
  <c r="M1261" i="6"/>
  <c r="S1261" i="6"/>
  <c r="L1262" i="6"/>
  <c r="M1262" i="6"/>
  <c r="S1262" i="6"/>
  <c r="L1263" i="6"/>
  <c r="M1263" i="6"/>
  <c r="S1263" i="6"/>
  <c r="L1264" i="6"/>
  <c r="M1264" i="6"/>
  <c r="P1264" i="6"/>
  <c r="Q1264" i="6" s="1"/>
  <c r="S1264" i="6"/>
  <c r="T1264" i="6"/>
  <c r="U1264" i="6" s="1"/>
  <c r="V1264" i="6" s="1"/>
  <c r="W1264" i="6" s="1"/>
  <c r="L1265" i="6"/>
  <c r="M1265" i="6"/>
  <c r="O1265" i="6"/>
  <c r="R1265" i="6" s="1"/>
  <c r="P1265" i="6"/>
  <c r="Q1265" i="6" s="1"/>
  <c r="S1265" i="6"/>
  <c r="L1266" i="6"/>
  <c r="M1266" i="6"/>
  <c r="O1266" i="6"/>
  <c r="R1266" i="6" s="1"/>
  <c r="T1266" i="6" s="1"/>
  <c r="U1266" i="6" s="1"/>
  <c r="V1266" i="6" s="1"/>
  <c r="W1266" i="6" s="1"/>
  <c r="P1266" i="6"/>
  <c r="Q1266" i="6" s="1"/>
  <c r="S1266" i="6"/>
  <c r="L1267" i="6"/>
  <c r="M1267" i="6"/>
  <c r="O1267" i="6"/>
  <c r="R1267" i="6" s="1"/>
  <c r="P1267" i="6"/>
  <c r="Q1267" i="6" s="1"/>
  <c r="S1267" i="6"/>
  <c r="L1268" i="6"/>
  <c r="M1268" i="6"/>
  <c r="O1268" i="6"/>
  <c r="R1268" i="6" s="1"/>
  <c r="P1268" i="6"/>
  <c r="Q1268" i="6" s="1"/>
  <c r="S1268" i="6"/>
  <c r="L1269" i="6"/>
  <c r="M1269" i="6"/>
  <c r="S1269" i="6"/>
  <c r="L1270" i="6"/>
  <c r="M1270" i="6"/>
  <c r="S1270" i="6"/>
  <c r="L1271" i="6"/>
  <c r="M1271" i="6"/>
  <c r="S1271" i="6"/>
  <c r="L1272" i="6"/>
  <c r="M1272" i="6"/>
  <c r="S1272" i="6"/>
  <c r="L1273" i="6"/>
  <c r="M1273" i="6"/>
  <c r="S1273" i="6"/>
  <c r="L1274" i="6"/>
  <c r="M1274" i="6"/>
  <c r="S1274" i="6"/>
  <c r="L1275" i="6"/>
  <c r="M1275" i="6"/>
  <c r="S1275" i="6"/>
  <c r="L1276" i="6"/>
  <c r="M1276" i="6"/>
  <c r="O1276" i="6"/>
  <c r="R1276" i="6" s="1"/>
  <c r="S1276" i="6"/>
  <c r="L1277" i="6"/>
  <c r="M1277" i="6"/>
  <c r="O1277" i="6"/>
  <c r="R1277" i="6" s="1"/>
  <c r="P1277" i="6"/>
  <c r="Q1277" i="6" s="1"/>
  <c r="S1277" i="6"/>
  <c r="L1278" i="6"/>
  <c r="M1278" i="6"/>
  <c r="O1278" i="6"/>
  <c r="R1278" i="6" s="1"/>
  <c r="T1278" i="6" s="1"/>
  <c r="U1278" i="6" s="1"/>
  <c r="V1278" i="6" s="1"/>
  <c r="W1278" i="6" s="1"/>
  <c r="S1278" i="6"/>
  <c r="L1279" i="6"/>
  <c r="M1279" i="6"/>
  <c r="O1279" i="6"/>
  <c r="R1279" i="6" s="1"/>
  <c r="T1279" i="6" s="1"/>
  <c r="U1279" i="6" s="1"/>
  <c r="V1279" i="6" s="1"/>
  <c r="W1279" i="6" s="1"/>
  <c r="P1279" i="6"/>
  <c r="Q1279" i="6" s="1"/>
  <c r="S1279" i="6"/>
  <c r="L1280" i="6"/>
  <c r="M1280" i="6"/>
  <c r="O1280" i="6"/>
  <c r="R1280" i="6" s="1"/>
  <c r="P1280" i="6"/>
  <c r="Q1280" i="6" s="1"/>
  <c r="S1280" i="6"/>
  <c r="L1281" i="6"/>
  <c r="M1281" i="6"/>
  <c r="S1281" i="6"/>
  <c r="L1282" i="6"/>
  <c r="M1282" i="6"/>
  <c r="S1282" i="6"/>
  <c r="L1283" i="6"/>
  <c r="M1283" i="6"/>
  <c r="S1283" i="6"/>
  <c r="L1284" i="6"/>
  <c r="M1284" i="6"/>
  <c r="S1284" i="6"/>
  <c r="L1285" i="6"/>
  <c r="M1285" i="6"/>
  <c r="S1285" i="6"/>
  <c r="L1286" i="6"/>
  <c r="M1286" i="6"/>
  <c r="S1286" i="6"/>
  <c r="L1287" i="6"/>
  <c r="M1287" i="6"/>
  <c r="S1287" i="6"/>
  <c r="L1288" i="6"/>
  <c r="M1288" i="6"/>
  <c r="S1288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Q69" i="4" l="1"/>
  <c r="AG69" i="4" s="1"/>
  <c r="P997" i="6"/>
  <c r="Q997" i="6" s="1"/>
  <c r="O1262" i="6"/>
  <c r="R1262" i="6" s="1"/>
  <c r="O1273" i="6"/>
  <c r="R1273" i="6" s="1"/>
  <c r="T1273" i="6" s="1"/>
  <c r="U1273" i="6" s="1"/>
  <c r="V1273" i="6" s="1"/>
  <c r="W1273" i="6" s="1"/>
  <c r="P1208" i="6"/>
  <c r="Q1208" i="6" s="1"/>
  <c r="P706" i="6"/>
  <c r="Q706" i="6" s="1"/>
  <c r="P1269" i="6"/>
  <c r="Q1269" i="6" s="1"/>
  <c r="O1245" i="6"/>
  <c r="R1245" i="6" s="1"/>
  <c r="T1245" i="6" s="1"/>
  <c r="U1245" i="6" s="1"/>
  <c r="V1245" i="6" s="1"/>
  <c r="W1245" i="6" s="1"/>
  <c r="O1202" i="6"/>
  <c r="R1202" i="6" s="1"/>
  <c r="T1202" i="6" s="1"/>
  <c r="U1202" i="6" s="1"/>
  <c r="V1202" i="6" s="1"/>
  <c r="W1202" i="6" s="1"/>
  <c r="P1171" i="6"/>
  <c r="Q1171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P920" i="6"/>
  <c r="Q920" i="6" s="1"/>
  <c r="O847" i="6"/>
  <c r="R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190" i="6"/>
  <c r="Q1190" i="6" s="1"/>
  <c r="P1009" i="6"/>
  <c r="Q1009" i="6" s="1"/>
  <c r="O633" i="6"/>
  <c r="R633" i="6" s="1"/>
  <c r="P1281" i="6"/>
  <c r="Q1281" i="6" s="1"/>
  <c r="T1232" i="6"/>
  <c r="U1232" i="6" s="1"/>
  <c r="V1232" i="6" s="1"/>
  <c r="W1232" i="6" s="1"/>
  <c r="P1195" i="6"/>
  <c r="Q1195" i="6" s="1"/>
  <c r="P1183" i="6"/>
  <c r="Q1183" i="6" s="1"/>
  <c r="P1147" i="6"/>
  <c r="Q1147" i="6" s="1"/>
  <c r="O1114" i="6"/>
  <c r="R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O853" i="6"/>
  <c r="R853" i="6" s="1"/>
  <c r="T805" i="6"/>
  <c r="U805" i="6" s="1"/>
  <c r="V805" i="6" s="1"/>
  <c r="W805" i="6" s="1"/>
  <c r="O799" i="6"/>
  <c r="R799" i="6" s="1"/>
  <c r="P717" i="6"/>
  <c r="Q717" i="6" s="1"/>
  <c r="P709" i="6"/>
  <c r="Q709" i="6" s="1"/>
  <c r="O1287" i="6"/>
  <c r="R1287" i="6" s="1"/>
  <c r="T1287" i="6" s="1"/>
  <c r="U1287" i="6" s="1"/>
  <c r="V1287" i="6" s="1"/>
  <c r="W1287" i="6" s="1"/>
  <c r="P1179" i="6"/>
  <c r="Q1179" i="6" s="1"/>
  <c r="O1131" i="6"/>
  <c r="R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P1257" i="6"/>
  <c r="Q1257" i="6" s="1"/>
  <c r="O1239" i="6"/>
  <c r="R1239" i="6" s="1"/>
  <c r="T1239" i="6" s="1"/>
  <c r="U1239" i="6" s="1"/>
  <c r="V1239" i="6" s="1"/>
  <c r="W1239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201" i="6"/>
  <c r="R1201" i="6" s="1"/>
  <c r="T1201" i="6" s="1"/>
  <c r="U1201" i="6" s="1"/>
  <c r="V1201" i="6" s="1"/>
  <c r="W1201" i="6" s="1"/>
  <c r="P1201" i="6"/>
  <c r="Q120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P1275" i="6"/>
  <c r="Q1275" i="6" s="1"/>
  <c r="P1286" i="6"/>
  <c r="Q1286" i="6" s="1"/>
  <c r="P1238" i="6"/>
  <c r="Q1238" i="6" s="1"/>
  <c r="P1178" i="6"/>
  <c r="Q1178" i="6" s="1"/>
  <c r="O1167" i="6"/>
  <c r="R116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O1187" i="6"/>
  <c r="R1187" i="6" s="1"/>
  <c r="T1187" i="6" s="1"/>
  <c r="U1187" i="6" s="1"/>
  <c r="V1187" i="6" s="1"/>
  <c r="W1187" i="6" s="1"/>
  <c r="P1187" i="6"/>
  <c r="Q1187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P1189" i="6"/>
  <c r="Q1189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226" i="6"/>
  <c r="Q1226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1282" i="6"/>
  <c r="Q1282" i="6" s="1"/>
  <c r="O1203" i="6"/>
  <c r="R1203" i="6" s="1"/>
  <c r="T1203" i="6" s="1"/>
  <c r="U1203" i="6" s="1"/>
  <c r="V1203" i="6" s="1"/>
  <c r="W1203" i="6" s="1"/>
  <c r="P781" i="6"/>
  <c r="Q781" i="6" s="1"/>
  <c r="P1274" i="6"/>
  <c r="Q1274" i="6" s="1"/>
  <c r="O1237" i="6"/>
  <c r="R1237" i="6" s="1"/>
  <c r="T1237" i="6" s="1"/>
  <c r="U1237" i="6" s="1"/>
  <c r="V1237" i="6" s="1"/>
  <c r="W1237" i="6" s="1"/>
  <c r="O1285" i="6"/>
  <c r="R1285" i="6" s="1"/>
  <c r="T1285" i="6" s="1"/>
  <c r="U1285" i="6" s="1"/>
  <c r="V1285" i="6" s="1"/>
  <c r="W1285" i="6" s="1"/>
  <c r="T1256" i="6"/>
  <c r="U1256" i="6" s="1"/>
  <c r="V1256" i="6" s="1"/>
  <c r="W1256" i="6" s="1"/>
  <c r="P1251" i="6"/>
  <c r="Q1251" i="6" s="1"/>
  <c r="P1191" i="6"/>
  <c r="Q1191" i="6" s="1"/>
  <c r="P1177" i="6"/>
  <c r="Q1177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O1010" i="6"/>
  <c r="R1010" i="6" s="1"/>
  <c r="T1010" i="6" s="1"/>
  <c r="U1010" i="6" s="1"/>
  <c r="V1010" i="6" s="1"/>
  <c r="W1010" i="6" s="1"/>
  <c r="O949" i="6"/>
  <c r="R949" i="6" s="1"/>
  <c r="O939" i="6"/>
  <c r="R939" i="6" s="1"/>
  <c r="P914" i="6"/>
  <c r="Q914" i="6" s="1"/>
  <c r="P795" i="6"/>
  <c r="Q795" i="6" s="1"/>
  <c r="O783" i="6"/>
  <c r="R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P614" i="6"/>
  <c r="Q614" i="6" s="1"/>
  <c r="O723" i="6"/>
  <c r="R723" i="6" s="1"/>
  <c r="P663" i="6"/>
  <c r="Q663" i="6" s="1"/>
  <c r="O1225" i="6"/>
  <c r="R1225" i="6" s="1"/>
  <c r="T1225" i="6" s="1"/>
  <c r="U1225" i="6" s="1"/>
  <c r="V1225" i="6" s="1"/>
  <c r="W1225" i="6" s="1"/>
  <c r="P1225" i="6"/>
  <c r="Q1225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1263" i="6"/>
  <c r="R1263" i="6" s="1"/>
  <c r="T1263" i="6" s="1"/>
  <c r="U1263" i="6" s="1"/>
  <c r="V1263" i="6" s="1"/>
  <c r="W1263" i="6" s="1"/>
  <c r="O722" i="6"/>
  <c r="R722" i="6" s="1"/>
  <c r="T722" i="6" s="1"/>
  <c r="U722" i="6" s="1"/>
  <c r="V722" i="6" s="1"/>
  <c r="W722" i="6" s="1"/>
  <c r="O1214" i="6"/>
  <c r="R1214" i="6" s="1"/>
  <c r="T1214" i="6" s="1"/>
  <c r="U1214" i="6" s="1"/>
  <c r="V1214" i="6" s="1"/>
  <c r="W1214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P1250" i="6"/>
  <c r="Q1250" i="6" s="1"/>
  <c r="O1227" i="6"/>
  <c r="R1227" i="6" s="1"/>
  <c r="T1227" i="6" s="1"/>
  <c r="U1227" i="6" s="1"/>
  <c r="V1227" i="6" s="1"/>
  <c r="W1227" i="6" s="1"/>
  <c r="P1261" i="6"/>
  <c r="Q1261" i="6" s="1"/>
  <c r="O1215" i="6"/>
  <c r="R1215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1039" i="6"/>
  <c r="U1039" i="6" s="1"/>
  <c r="V1039" i="6" s="1"/>
  <c r="W1039" i="6" s="1"/>
  <c r="T941" i="6"/>
  <c r="U941" i="6" s="1"/>
  <c r="V941" i="6" s="1"/>
  <c r="W941" i="6" s="1"/>
  <c r="T1097" i="6"/>
  <c r="U1097" i="6" s="1"/>
  <c r="V1097" i="6" s="1"/>
  <c r="W1097" i="6" s="1"/>
  <c r="T631" i="6"/>
  <c r="U631" i="6" s="1"/>
  <c r="V631" i="6" s="1"/>
  <c r="W631" i="6" s="1"/>
  <c r="T1125" i="6"/>
  <c r="U1125" i="6" s="1"/>
  <c r="V1125" i="6" s="1"/>
  <c r="W1125" i="6" s="1"/>
  <c r="T1170" i="6"/>
  <c r="U1170" i="6" s="1"/>
  <c r="V1170" i="6" s="1"/>
  <c r="W1170" i="6" s="1"/>
  <c r="T723" i="6"/>
  <c r="U723" i="6" s="1"/>
  <c r="V723" i="6" s="1"/>
  <c r="W723" i="6" s="1"/>
  <c r="T1196" i="6"/>
  <c r="U1196" i="6" s="1"/>
  <c r="V1196" i="6" s="1"/>
  <c r="W1196" i="6" s="1"/>
  <c r="T1191" i="6"/>
  <c r="U1191" i="6" s="1"/>
  <c r="V1191" i="6" s="1"/>
  <c r="W1191" i="6" s="1"/>
  <c r="T1189" i="6"/>
  <c r="U1189" i="6" s="1"/>
  <c r="V1189" i="6" s="1"/>
  <c r="W1189" i="6" s="1"/>
  <c r="T1154" i="6"/>
  <c r="U1154" i="6" s="1"/>
  <c r="V1154" i="6" s="1"/>
  <c r="W1154" i="6" s="1"/>
  <c r="T997" i="6"/>
  <c r="U997" i="6" s="1"/>
  <c r="V997" i="6" s="1"/>
  <c r="W997" i="6" s="1"/>
  <c r="T979" i="6"/>
  <c r="U979" i="6" s="1"/>
  <c r="V979" i="6" s="1"/>
  <c r="W979" i="6" s="1"/>
  <c r="T825" i="6"/>
  <c r="U825" i="6" s="1"/>
  <c r="V825" i="6" s="1"/>
  <c r="W825" i="6" s="1"/>
  <c r="T930" i="6"/>
  <c r="U930" i="6" s="1"/>
  <c r="V930" i="6" s="1"/>
  <c r="W930" i="6" s="1"/>
  <c r="T628" i="6"/>
  <c r="U628" i="6" s="1"/>
  <c r="V628" i="6" s="1"/>
  <c r="W628" i="6" s="1"/>
  <c r="T1144" i="6"/>
  <c r="U1144" i="6" s="1"/>
  <c r="V1144" i="6" s="1"/>
  <c r="W1144" i="6" s="1"/>
  <c r="T705" i="6"/>
  <c r="U705" i="6" s="1"/>
  <c r="V705" i="6" s="1"/>
  <c r="W705" i="6" s="1"/>
  <c r="T687" i="6"/>
  <c r="U687" i="6" s="1"/>
  <c r="V687" i="6" s="1"/>
  <c r="W687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784" i="6"/>
  <c r="U784" i="6" s="1"/>
  <c r="V784" i="6" s="1"/>
  <c r="W784" i="6" s="1"/>
  <c r="T1215" i="6"/>
  <c r="U1215" i="6" s="1"/>
  <c r="V1215" i="6" s="1"/>
  <c r="W1215" i="6" s="1"/>
  <c r="T1213" i="6"/>
  <c r="U1213" i="6" s="1"/>
  <c r="V1213" i="6" s="1"/>
  <c r="W1213" i="6" s="1"/>
  <c r="T853" i="6"/>
  <c r="U853" i="6" s="1"/>
  <c r="V853" i="6" s="1"/>
  <c r="W853" i="6" s="1"/>
  <c r="T842" i="6"/>
  <c r="U842" i="6" s="1"/>
  <c r="V842" i="6" s="1"/>
  <c r="W842" i="6" s="1"/>
  <c r="T809" i="6"/>
  <c r="U809" i="6" s="1"/>
  <c r="V809" i="6" s="1"/>
  <c r="W809" i="6" s="1"/>
  <c r="T1276" i="6"/>
  <c r="U1276" i="6" s="1"/>
  <c r="V1276" i="6" s="1"/>
  <c r="W1276" i="6" s="1"/>
  <c r="T913" i="6"/>
  <c r="U913" i="6" s="1"/>
  <c r="V913" i="6" s="1"/>
  <c r="W913" i="6" s="1"/>
  <c r="T1131" i="6"/>
  <c r="U1131" i="6" s="1"/>
  <c r="V1131" i="6" s="1"/>
  <c r="W1131" i="6" s="1"/>
  <c r="T1109" i="6"/>
  <c r="U1109" i="6" s="1"/>
  <c r="V1109" i="6" s="1"/>
  <c r="W1109" i="6" s="1"/>
  <c r="T656" i="6"/>
  <c r="U656" i="6" s="1"/>
  <c r="V656" i="6" s="1"/>
  <c r="W656" i="6" s="1"/>
  <c r="T1146" i="6"/>
  <c r="U1146" i="6" s="1"/>
  <c r="V1146" i="6" s="1"/>
  <c r="W1146" i="6" s="1"/>
  <c r="T1133" i="6"/>
  <c r="U1133" i="6" s="1"/>
  <c r="V1133" i="6" s="1"/>
  <c r="W1133" i="6" s="1"/>
  <c r="T1268" i="6"/>
  <c r="U1268" i="6" s="1"/>
  <c r="V1268" i="6" s="1"/>
  <c r="W1268" i="6" s="1"/>
  <c r="T865" i="6"/>
  <c r="U865" i="6" s="1"/>
  <c r="V865" i="6" s="1"/>
  <c r="W865" i="6" s="1"/>
  <c r="T835" i="6"/>
  <c r="U835" i="6" s="1"/>
  <c r="V835" i="6" s="1"/>
  <c r="W835" i="6" s="1"/>
  <c r="T645" i="6"/>
  <c r="U645" i="6" s="1"/>
  <c r="V645" i="6" s="1"/>
  <c r="W645" i="6" s="1"/>
  <c r="T606" i="6"/>
  <c r="U606" i="6" s="1"/>
  <c r="V606" i="6" s="1"/>
  <c r="W606" i="6" s="1"/>
  <c r="T1284" i="6"/>
  <c r="U1284" i="6" s="1"/>
  <c r="V1284" i="6" s="1"/>
  <c r="W1284" i="6" s="1"/>
  <c r="T1056" i="6"/>
  <c r="U1056" i="6" s="1"/>
  <c r="V1056" i="6" s="1"/>
  <c r="W1056" i="6" s="1"/>
  <c r="T972" i="6"/>
  <c r="U972" i="6" s="1"/>
  <c r="V972" i="6" s="1"/>
  <c r="W972" i="6" s="1"/>
  <c r="T1099" i="6"/>
  <c r="U1099" i="6" s="1"/>
  <c r="V1099" i="6" s="1"/>
  <c r="W1099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572" i="6"/>
  <c r="U572" i="6" s="1"/>
  <c r="V572" i="6" s="1"/>
  <c r="W572" i="6" s="1"/>
  <c r="T611" i="6"/>
  <c r="U611" i="6" s="1"/>
  <c r="V611" i="6" s="1"/>
  <c r="W611" i="6" s="1"/>
  <c r="T1172" i="6"/>
  <c r="U1172" i="6" s="1"/>
  <c r="V1172" i="6" s="1"/>
  <c r="W1172" i="6" s="1"/>
  <c r="T1161" i="6"/>
  <c r="U1161" i="6" s="1"/>
  <c r="V1161" i="6" s="1"/>
  <c r="W1161" i="6" s="1"/>
  <c r="T1122" i="6"/>
  <c r="U1122" i="6" s="1"/>
  <c r="V1122" i="6" s="1"/>
  <c r="W1122" i="6" s="1"/>
  <c r="T1025" i="6"/>
  <c r="U1025" i="6" s="1"/>
  <c r="V1025" i="6" s="1"/>
  <c r="W1025" i="6" s="1"/>
  <c r="T987" i="6"/>
  <c r="U987" i="6" s="1"/>
  <c r="V987" i="6" s="1"/>
  <c r="W987" i="6" s="1"/>
  <c r="T954" i="6"/>
  <c r="U954" i="6" s="1"/>
  <c r="V954" i="6" s="1"/>
  <c r="W954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580" i="6"/>
  <c r="U580" i="6" s="1"/>
  <c r="V580" i="6" s="1"/>
  <c r="W580" i="6" s="1"/>
  <c r="T1150" i="6"/>
  <c r="U1150" i="6" s="1"/>
  <c r="V1150" i="6" s="1"/>
  <c r="W1150" i="6" s="1"/>
  <c r="T670" i="6"/>
  <c r="U670" i="6" s="1"/>
  <c r="V670" i="6" s="1"/>
  <c r="W670" i="6" s="1"/>
  <c r="T1265" i="6"/>
  <c r="U1265" i="6" s="1"/>
  <c r="V1265" i="6" s="1"/>
  <c r="W1265" i="6" s="1"/>
  <c r="T1238" i="6"/>
  <c r="U1238" i="6" s="1"/>
  <c r="V1238" i="6" s="1"/>
  <c r="W1238" i="6" s="1"/>
  <c r="T1137" i="6"/>
  <c r="U1137" i="6" s="1"/>
  <c r="V1137" i="6" s="1"/>
  <c r="W1137" i="6" s="1"/>
  <c r="T1119" i="6"/>
  <c r="U1119" i="6" s="1"/>
  <c r="V1119" i="6" s="1"/>
  <c r="W1119" i="6" s="1"/>
  <c r="T957" i="6"/>
  <c r="U957" i="6" s="1"/>
  <c r="V957" i="6" s="1"/>
  <c r="W957" i="6" s="1"/>
  <c r="T1130" i="6"/>
  <c r="U1130" i="6" s="1"/>
  <c r="V1130" i="6" s="1"/>
  <c r="W1130" i="6" s="1"/>
  <c r="T1094" i="6"/>
  <c r="U1094" i="6" s="1"/>
  <c r="V1094" i="6" s="1"/>
  <c r="W1094" i="6" s="1"/>
  <c r="T1049" i="6"/>
  <c r="U1049" i="6" s="1"/>
  <c r="V1049" i="6" s="1"/>
  <c r="W1049" i="6" s="1"/>
  <c r="T1016" i="6"/>
  <c r="U1016" i="6" s="1"/>
  <c r="V1016" i="6" s="1"/>
  <c r="W1016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50" i="6"/>
  <c r="U650" i="6" s="1"/>
  <c r="V650" i="6" s="1"/>
  <c r="W650" i="6" s="1"/>
  <c r="T616" i="6"/>
  <c r="U616" i="6" s="1"/>
  <c r="V616" i="6" s="1"/>
  <c r="W616" i="6" s="1"/>
  <c r="T1282" i="6"/>
  <c r="U1282" i="6" s="1"/>
  <c r="V1282" i="6" s="1"/>
  <c r="W1282" i="6" s="1"/>
  <c r="T1254" i="6"/>
  <c r="U1254" i="6" s="1"/>
  <c r="V1254" i="6" s="1"/>
  <c r="W1254" i="6" s="1"/>
  <c r="T1216" i="6"/>
  <c r="U1216" i="6" s="1"/>
  <c r="V1216" i="6" s="1"/>
  <c r="W1216" i="6" s="1"/>
  <c r="T1197" i="6"/>
  <c r="U1197" i="6" s="1"/>
  <c r="V1197" i="6" s="1"/>
  <c r="W1197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269" i="6"/>
  <c r="U1269" i="6" s="1"/>
  <c r="V1269" i="6" s="1"/>
  <c r="W1269" i="6" s="1"/>
  <c r="T1262" i="6"/>
  <c r="U1262" i="6" s="1"/>
  <c r="V1262" i="6" s="1"/>
  <c r="W1262" i="6" s="1"/>
  <c r="T1251" i="6"/>
  <c r="U1251" i="6" s="1"/>
  <c r="V1251" i="6" s="1"/>
  <c r="W1251" i="6" s="1"/>
  <c r="T1208" i="6"/>
  <c r="U1208" i="6" s="1"/>
  <c r="V1208" i="6" s="1"/>
  <c r="W1208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846" i="6"/>
  <c r="U846" i="6" s="1"/>
  <c r="V846" i="6" s="1"/>
  <c r="W846" i="6" s="1"/>
  <c r="T823" i="6"/>
  <c r="U823" i="6" s="1"/>
  <c r="V823" i="6" s="1"/>
  <c r="W823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86" i="6"/>
  <c r="U786" i="6" s="1"/>
  <c r="V786" i="6" s="1"/>
  <c r="W786" i="6" s="1"/>
  <c r="T700" i="6"/>
  <c r="U700" i="6" s="1"/>
  <c r="V700" i="6" s="1"/>
  <c r="W700" i="6" s="1"/>
  <c r="T1167" i="6"/>
  <c r="U1167" i="6" s="1"/>
  <c r="V1167" i="6" s="1"/>
  <c r="W1167" i="6" s="1"/>
  <c r="T867" i="6"/>
  <c r="U867" i="6" s="1"/>
  <c r="V867" i="6" s="1"/>
  <c r="W867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1206" i="6"/>
  <c r="U1206" i="6" s="1"/>
  <c r="V1206" i="6" s="1"/>
  <c r="W1206" i="6" s="1"/>
  <c r="T1075" i="6"/>
  <c r="U1075" i="6" s="1"/>
  <c r="V1075" i="6" s="1"/>
  <c r="W1075" i="6" s="1"/>
  <c r="T1022" i="6"/>
  <c r="U1022" i="6" s="1"/>
  <c r="V1022" i="6" s="1"/>
  <c r="W1022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837" i="6"/>
  <c r="U837" i="6" s="1"/>
  <c r="V837" i="6" s="1"/>
  <c r="W837" i="6" s="1"/>
  <c r="T801" i="6"/>
  <c r="U801" i="6" s="1"/>
  <c r="V801" i="6" s="1"/>
  <c r="W801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633" i="6"/>
  <c r="U633" i="6" s="1"/>
  <c r="V633" i="6" s="1"/>
  <c r="W633" i="6" s="1"/>
  <c r="T585" i="6"/>
  <c r="U585" i="6" s="1"/>
  <c r="V585" i="6" s="1"/>
  <c r="W585" i="6" s="1"/>
  <c r="T1267" i="6"/>
  <c r="U1267" i="6" s="1"/>
  <c r="V1267" i="6" s="1"/>
  <c r="W1267" i="6" s="1"/>
  <c r="T1275" i="6"/>
  <c r="U1275" i="6" s="1"/>
  <c r="V1275" i="6" s="1"/>
  <c r="W1275" i="6" s="1"/>
  <c r="T1182" i="6"/>
  <c r="U1182" i="6" s="1"/>
  <c r="V1182" i="6" s="1"/>
  <c r="W1182" i="6" s="1"/>
  <c r="T1113" i="6"/>
  <c r="U1113" i="6" s="1"/>
  <c r="V1113" i="6" s="1"/>
  <c r="W1113" i="6" s="1"/>
  <c r="T1096" i="6"/>
  <c r="U1096" i="6" s="1"/>
  <c r="V1096" i="6" s="1"/>
  <c r="W1096" i="6" s="1"/>
  <c r="T1054" i="6"/>
  <c r="U1054" i="6" s="1"/>
  <c r="V1054" i="6" s="1"/>
  <c r="W1054" i="6" s="1"/>
  <c r="T1002" i="6"/>
  <c r="U1002" i="6" s="1"/>
  <c r="V1002" i="6" s="1"/>
  <c r="W1002" i="6" s="1"/>
  <c r="T785" i="6"/>
  <c r="U785" i="6" s="1"/>
  <c r="V785" i="6" s="1"/>
  <c r="W785" i="6" s="1"/>
  <c r="T712" i="6"/>
  <c r="U712" i="6" s="1"/>
  <c r="V712" i="6" s="1"/>
  <c r="W712" i="6" s="1"/>
  <c r="T693" i="6"/>
  <c r="U693" i="6" s="1"/>
  <c r="V693" i="6" s="1"/>
  <c r="W693" i="6" s="1"/>
  <c r="T652" i="6"/>
  <c r="U652" i="6" s="1"/>
  <c r="V652" i="6" s="1"/>
  <c r="W652" i="6" s="1"/>
  <c r="T644" i="6"/>
  <c r="U644" i="6" s="1"/>
  <c r="V644" i="6" s="1"/>
  <c r="W644" i="6" s="1"/>
  <c r="T1277" i="6"/>
  <c r="U1277" i="6" s="1"/>
  <c r="V1277" i="6" s="1"/>
  <c r="W1277" i="6" s="1"/>
  <c r="T1063" i="6"/>
  <c r="U1063" i="6" s="1"/>
  <c r="V1063" i="6" s="1"/>
  <c r="W1063" i="6" s="1"/>
  <c r="T1051" i="6"/>
  <c r="U1051" i="6" s="1"/>
  <c r="V1051" i="6" s="1"/>
  <c r="W1051" i="6" s="1"/>
  <c r="T949" i="6"/>
  <c r="U949" i="6" s="1"/>
  <c r="V949" i="6" s="1"/>
  <c r="W949" i="6" s="1"/>
  <c r="T928" i="6"/>
  <c r="U928" i="6" s="1"/>
  <c r="V928" i="6" s="1"/>
  <c r="W928" i="6" s="1"/>
  <c r="T858" i="6"/>
  <c r="U858" i="6" s="1"/>
  <c r="V858" i="6" s="1"/>
  <c r="W858" i="6" s="1"/>
  <c r="T856" i="6"/>
  <c r="U856" i="6" s="1"/>
  <c r="V856" i="6" s="1"/>
  <c r="W856" i="6" s="1"/>
  <c r="T834" i="6"/>
  <c r="U834" i="6" s="1"/>
  <c r="V834" i="6" s="1"/>
  <c r="W834" i="6" s="1"/>
  <c r="T832" i="6"/>
  <c r="U832" i="6" s="1"/>
  <c r="V832" i="6" s="1"/>
  <c r="W832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701" i="6"/>
  <c r="U701" i="6" s="1"/>
  <c r="V701" i="6" s="1"/>
  <c r="W701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713" i="6"/>
  <c r="U713" i="6" s="1"/>
  <c r="V713" i="6" s="1"/>
  <c r="W713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1230" i="6"/>
  <c r="U1230" i="6" s="1"/>
  <c r="V1230" i="6" s="1"/>
  <c r="W1230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869" i="6"/>
  <c r="U869" i="6" s="1"/>
  <c r="V869" i="6" s="1"/>
  <c r="W869" i="6" s="1"/>
  <c r="T689" i="6"/>
  <c r="U689" i="6" s="1"/>
  <c r="V689" i="6" s="1"/>
  <c r="W689" i="6" s="1"/>
  <c r="T637" i="6"/>
  <c r="U637" i="6" s="1"/>
  <c r="V637" i="6" s="1"/>
  <c r="W637" i="6" s="1"/>
  <c r="T589" i="6"/>
  <c r="U589" i="6" s="1"/>
  <c r="V589" i="6" s="1"/>
  <c r="W589" i="6" s="1"/>
  <c r="T1185" i="6"/>
  <c r="U1185" i="6" s="1"/>
  <c r="V1185" i="6" s="1"/>
  <c r="W1185" i="6" s="1"/>
  <c r="T1178" i="6"/>
  <c r="U1178" i="6" s="1"/>
  <c r="V1178" i="6" s="1"/>
  <c r="W1178" i="6" s="1"/>
  <c r="T1148" i="6"/>
  <c r="U1148" i="6" s="1"/>
  <c r="V1148" i="6" s="1"/>
  <c r="W1148" i="6" s="1"/>
  <c r="T1135" i="6"/>
  <c r="U1135" i="6" s="1"/>
  <c r="V1135" i="6" s="1"/>
  <c r="W1135" i="6" s="1"/>
  <c r="T1117" i="6"/>
  <c r="U1117" i="6" s="1"/>
  <c r="V1117" i="6" s="1"/>
  <c r="W1117" i="6" s="1"/>
  <c r="T1052" i="6"/>
  <c r="U1052" i="6" s="1"/>
  <c r="V1052" i="6" s="1"/>
  <c r="W1052" i="6" s="1"/>
  <c r="T844" i="6"/>
  <c r="U844" i="6" s="1"/>
  <c r="V844" i="6" s="1"/>
  <c r="W844" i="6" s="1"/>
  <c r="T715" i="6"/>
  <c r="U715" i="6" s="1"/>
  <c r="V715" i="6" s="1"/>
  <c r="W715" i="6" s="1"/>
  <c r="T702" i="6"/>
  <c r="U702" i="6" s="1"/>
  <c r="V702" i="6" s="1"/>
  <c r="W702" i="6" s="1"/>
  <c r="T614" i="6"/>
  <c r="U614" i="6" s="1"/>
  <c r="V614" i="6" s="1"/>
  <c r="W614" i="6" s="1"/>
  <c r="T603" i="6"/>
  <c r="U603" i="6" s="1"/>
  <c r="V603" i="6" s="1"/>
  <c r="W603" i="6" s="1"/>
  <c r="T1270" i="6"/>
  <c r="U1270" i="6" s="1"/>
  <c r="V1270" i="6" s="1"/>
  <c r="W1270" i="6" s="1"/>
  <c r="T1246" i="6"/>
  <c r="U1246" i="6" s="1"/>
  <c r="V1246" i="6" s="1"/>
  <c r="W1246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243" i="6"/>
  <c r="U1243" i="6" s="1"/>
  <c r="V1243" i="6" s="1"/>
  <c r="W1243" i="6" s="1"/>
  <c r="T1180" i="6"/>
  <c r="U1180" i="6" s="1"/>
  <c r="V1180" i="6" s="1"/>
  <c r="W1180" i="6" s="1"/>
  <c r="T1143" i="6"/>
  <c r="U1143" i="6" s="1"/>
  <c r="V1143" i="6" s="1"/>
  <c r="W1143" i="6" s="1"/>
  <c r="T1064" i="6"/>
  <c r="U1064" i="6" s="1"/>
  <c r="V1064" i="6" s="1"/>
  <c r="W1064" i="6" s="1"/>
  <c r="T1221" i="6"/>
  <c r="U1221" i="6" s="1"/>
  <c r="V1221" i="6" s="1"/>
  <c r="W1221" i="6" s="1"/>
  <c r="T1195" i="6"/>
  <c r="U1195" i="6" s="1"/>
  <c r="V1195" i="6" s="1"/>
  <c r="W1195" i="6" s="1"/>
  <c r="T1132" i="6"/>
  <c r="U1132" i="6" s="1"/>
  <c r="V1132" i="6" s="1"/>
  <c r="W1132" i="6" s="1"/>
  <c r="T1084" i="6"/>
  <c r="U1084" i="6" s="1"/>
  <c r="V1084" i="6" s="1"/>
  <c r="W1084" i="6" s="1"/>
  <c r="T1077" i="6"/>
  <c r="U1077" i="6" s="1"/>
  <c r="V1077" i="6" s="1"/>
  <c r="W1077" i="6" s="1"/>
  <c r="T1033" i="6"/>
  <c r="U1033" i="6" s="1"/>
  <c r="V1033" i="6" s="1"/>
  <c r="W1033" i="6" s="1"/>
  <c r="T943" i="6"/>
  <c r="U943" i="6" s="1"/>
  <c r="V943" i="6" s="1"/>
  <c r="W94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854" i="6"/>
  <c r="U854" i="6" s="1"/>
  <c r="V854" i="6" s="1"/>
  <c r="W854" i="6" s="1"/>
  <c r="T796" i="6"/>
  <c r="U796" i="6" s="1"/>
  <c r="V796" i="6" s="1"/>
  <c r="W796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288" i="6"/>
  <c r="U1288" i="6" s="1"/>
  <c r="V1288" i="6" s="1"/>
  <c r="W1288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259" i="6"/>
  <c r="R1259" i="6" s="1"/>
  <c r="T1259" i="6" s="1"/>
  <c r="U1259" i="6" s="1"/>
  <c r="V1259" i="6" s="1"/>
  <c r="W1259" i="6" s="1"/>
  <c r="P1259" i="6"/>
  <c r="Q1259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O1211" i="6"/>
  <c r="R1211" i="6" s="1"/>
  <c r="T1211" i="6" s="1"/>
  <c r="U1211" i="6" s="1"/>
  <c r="V1211" i="6" s="1"/>
  <c r="W1211" i="6" s="1"/>
  <c r="P1056" i="6"/>
  <c r="Q1056" i="6" s="1"/>
  <c r="P948" i="6"/>
  <c r="Q948" i="6" s="1"/>
  <c r="P683" i="6"/>
  <c r="Q683" i="6" s="1"/>
  <c r="P1272" i="6"/>
  <c r="Q1272" i="6" s="1"/>
  <c r="O1272" i="6"/>
  <c r="R1272" i="6" s="1"/>
  <c r="T1272" i="6" s="1"/>
  <c r="U1272" i="6" s="1"/>
  <c r="V1272" i="6" s="1"/>
  <c r="W1272" i="6" s="1"/>
  <c r="P1140" i="6"/>
  <c r="Q1140" i="6" s="1"/>
  <c r="O1140" i="6"/>
  <c r="R1140" i="6" s="1"/>
  <c r="T1140" i="6" s="1"/>
  <c r="U1140" i="6" s="1"/>
  <c r="V1140" i="6" s="1"/>
  <c r="W1140" i="6" s="1"/>
  <c r="P1283" i="6"/>
  <c r="Q1283" i="6" s="1"/>
  <c r="O1283" i="6"/>
  <c r="R1283" i="6" s="1"/>
  <c r="T1283" i="6" s="1"/>
  <c r="U1283" i="6" s="1"/>
  <c r="V1283" i="6" s="1"/>
  <c r="W1283" i="6" s="1"/>
  <c r="P983" i="6"/>
  <c r="Q983" i="6" s="1"/>
  <c r="O983" i="6"/>
  <c r="R983" i="6" s="1"/>
  <c r="T983" i="6" s="1"/>
  <c r="U983" i="6" s="1"/>
  <c r="V983" i="6" s="1"/>
  <c r="W983" i="6" s="1"/>
  <c r="P1175" i="6"/>
  <c r="Q1175" i="6" s="1"/>
  <c r="P996" i="6"/>
  <c r="Q996" i="6" s="1"/>
  <c r="O1188" i="6"/>
  <c r="R1188" i="6" s="1"/>
  <c r="T1188" i="6" s="1"/>
  <c r="U1188" i="6" s="1"/>
  <c r="V1188" i="6" s="1"/>
  <c r="W1188" i="6" s="1"/>
  <c r="P1188" i="6"/>
  <c r="Q1188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P1235" i="6"/>
  <c r="Q1235" i="6" s="1"/>
  <c r="O1235" i="6"/>
  <c r="R1235" i="6" s="1"/>
  <c r="T1235" i="6" s="1"/>
  <c r="U1235" i="6" s="1"/>
  <c r="V1235" i="6" s="1"/>
  <c r="W1235" i="6" s="1"/>
  <c r="P1210" i="6"/>
  <c r="Q1210" i="6" s="1"/>
  <c r="O1210" i="6"/>
  <c r="R1210" i="6" s="1"/>
  <c r="T1210" i="6" s="1"/>
  <c r="U1210" i="6" s="1"/>
  <c r="V1210" i="6" s="1"/>
  <c r="W1210" i="6" s="1"/>
  <c r="P1260" i="6"/>
  <c r="Q1260" i="6" s="1"/>
  <c r="O1200" i="6"/>
  <c r="R1200" i="6" s="1"/>
  <c r="T1200" i="6" s="1"/>
  <c r="U1200" i="6" s="1"/>
  <c r="V1200" i="6" s="1"/>
  <c r="W1200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P1247" i="6"/>
  <c r="Q1247" i="6" s="1"/>
  <c r="O1247" i="6"/>
  <c r="R1247" i="6" s="1"/>
  <c r="T1247" i="6" s="1"/>
  <c r="U1247" i="6" s="1"/>
  <c r="V1247" i="6" s="1"/>
  <c r="W1247" i="6" s="1"/>
  <c r="O1103" i="6"/>
  <c r="R1103" i="6" s="1"/>
  <c r="T1103" i="6" s="1"/>
  <c r="U1103" i="6" s="1"/>
  <c r="V1103" i="6" s="1"/>
  <c r="W1103" i="6" s="1"/>
  <c r="P1103" i="6"/>
  <c r="Q1103" i="6" s="1"/>
  <c r="P1186" i="6"/>
  <c r="Q1186" i="6" s="1"/>
  <c r="O1186" i="6"/>
  <c r="R1186" i="6" s="1"/>
  <c r="T1186" i="6" s="1"/>
  <c r="U1186" i="6" s="1"/>
  <c r="V1186" i="6" s="1"/>
  <c r="W1186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1223" i="6"/>
  <c r="Q1223" i="6" s="1"/>
  <c r="O1223" i="6"/>
  <c r="R1223" i="6" s="1"/>
  <c r="T1223" i="6" s="1"/>
  <c r="U1223" i="6" s="1"/>
  <c r="V1223" i="6" s="1"/>
  <c r="W1223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P1284" i="6"/>
  <c r="Q1284" i="6" s="1"/>
  <c r="O887" i="6"/>
  <c r="R887" i="6" s="1"/>
  <c r="T887" i="6" s="1"/>
  <c r="U887" i="6" s="1"/>
  <c r="V887" i="6" s="1"/>
  <c r="W887" i="6" s="1"/>
  <c r="P611" i="6"/>
  <c r="Q611" i="6" s="1"/>
  <c r="P1271" i="6"/>
  <c r="Q127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224" i="6"/>
  <c r="Q1224" i="6" s="1"/>
  <c r="O1224" i="6"/>
  <c r="R1224" i="6" s="1"/>
  <c r="T1224" i="6" s="1"/>
  <c r="U1224" i="6" s="1"/>
  <c r="V1224" i="6" s="1"/>
  <c r="W1224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99" i="6"/>
  <c r="R1199" i="6" s="1"/>
  <c r="T1199" i="6" s="1"/>
  <c r="U1199" i="6" s="1"/>
  <c r="V1199" i="6" s="1"/>
  <c r="W1199" i="6" s="1"/>
  <c r="P1199" i="6"/>
  <c r="Q1199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1174" i="6"/>
  <c r="R1174" i="6" s="1"/>
  <c r="T1174" i="6" s="1"/>
  <c r="U1174" i="6" s="1"/>
  <c r="V1174" i="6" s="1"/>
  <c r="W1174" i="6" s="1"/>
  <c r="P1174" i="6"/>
  <c r="Q1174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P1212" i="6"/>
  <c r="Q1212" i="6" s="1"/>
  <c r="O1212" i="6"/>
  <c r="R1212" i="6" s="1"/>
  <c r="T1212" i="6" s="1"/>
  <c r="U1212" i="6" s="1"/>
  <c r="V1212" i="6" s="1"/>
  <c r="W121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T1244" i="6"/>
  <c r="U1244" i="6" s="1"/>
  <c r="V1244" i="6" s="1"/>
  <c r="W1244" i="6" s="1"/>
  <c r="T1280" i="6"/>
  <c r="U1280" i="6" s="1"/>
  <c r="V1280" i="6" s="1"/>
  <c r="W1280" i="6" s="1"/>
  <c r="P1258" i="6"/>
  <c r="Q1258" i="6" s="1"/>
  <c r="O1198" i="6"/>
  <c r="R1198" i="6" s="1"/>
  <c r="T1198" i="6" s="1"/>
  <c r="U1198" i="6" s="1"/>
  <c r="V1198" i="6" s="1"/>
  <c r="W1198" i="6" s="1"/>
  <c r="P1102" i="6"/>
  <c r="Q1102" i="6" s="1"/>
  <c r="P898" i="6"/>
  <c r="Q898" i="6" s="1"/>
  <c r="P658" i="6"/>
  <c r="Q658" i="6" s="1"/>
  <c r="P634" i="6"/>
  <c r="Q634" i="6" s="1"/>
  <c r="T1271" i="6"/>
  <c r="U1271" i="6" s="1"/>
  <c r="V1271" i="6" s="1"/>
  <c r="W1271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1288" i="6"/>
  <c r="Q1288" i="6" s="1"/>
  <c r="O1228" i="6"/>
  <c r="R1228" i="6" s="1"/>
  <c r="T1228" i="6" s="1"/>
  <c r="U1228" i="6" s="1"/>
  <c r="V1228" i="6" s="1"/>
  <c r="W1228" i="6" s="1"/>
  <c r="P694" i="6"/>
  <c r="Q694" i="6" s="1"/>
  <c r="P646" i="6"/>
  <c r="Q646" i="6" s="1"/>
  <c r="P1270" i="6"/>
  <c r="Q1270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T893" i="6"/>
  <c r="U893" i="6" s="1"/>
  <c r="V893" i="6" s="1"/>
  <c r="W893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207" i="6"/>
  <c r="U1207" i="6" s="1"/>
  <c r="V1207" i="6" s="1"/>
  <c r="W1207" i="6" s="1"/>
  <c r="T1183" i="6"/>
  <c r="U1183" i="6" s="1"/>
  <c r="V1183" i="6" s="1"/>
  <c r="W1183" i="6" s="1"/>
  <c r="T1181" i="6"/>
  <c r="U1181" i="6" s="1"/>
  <c r="V1181" i="6" s="1"/>
  <c r="W1181" i="6" s="1"/>
  <c r="O1252" i="6"/>
  <c r="R1252" i="6" s="1"/>
  <c r="T1252" i="6" s="1"/>
  <c r="U1252" i="6" s="1"/>
  <c r="V1252" i="6" s="1"/>
  <c r="W1252" i="6" s="1"/>
  <c r="P1252" i="6"/>
  <c r="Q1252" i="6" s="1"/>
  <c r="T1175" i="6"/>
  <c r="U1175" i="6" s="1"/>
  <c r="V1175" i="6" s="1"/>
  <c r="W1175" i="6" s="1"/>
  <c r="O1248" i="6"/>
  <c r="R1248" i="6" s="1"/>
  <c r="T1248" i="6" s="1"/>
  <c r="U1248" i="6" s="1"/>
  <c r="V1248" i="6" s="1"/>
  <c r="W1248" i="6" s="1"/>
  <c r="P1248" i="6"/>
  <c r="Q1248" i="6" s="1"/>
  <c r="T1219" i="6"/>
  <c r="U1219" i="6" s="1"/>
  <c r="V1219" i="6" s="1"/>
  <c r="W1219" i="6" s="1"/>
  <c r="T1169" i="6"/>
  <c r="U1169" i="6" s="1"/>
  <c r="V1169" i="6" s="1"/>
  <c r="W1169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T1205" i="6"/>
  <c r="U1205" i="6" s="1"/>
  <c r="V1205" i="6" s="1"/>
  <c r="W1205" i="6" s="1"/>
  <c r="O1068" i="6"/>
  <c r="R1068" i="6" s="1"/>
  <c r="T1068" i="6" s="1"/>
  <c r="U1068" i="6" s="1"/>
  <c r="V1068" i="6" s="1"/>
  <c r="W1068" i="6" s="1"/>
  <c r="P1068" i="6"/>
  <c r="Q1068" i="6" s="1"/>
  <c r="O1240" i="6"/>
  <c r="R1240" i="6" s="1"/>
  <c r="T1240" i="6" s="1"/>
  <c r="U1240" i="6" s="1"/>
  <c r="V1240" i="6" s="1"/>
  <c r="W1240" i="6" s="1"/>
  <c r="P1240" i="6"/>
  <c r="Q1240" i="6" s="1"/>
  <c r="T1171" i="6"/>
  <c r="U1171" i="6" s="1"/>
  <c r="V1171" i="6" s="1"/>
  <c r="W1171" i="6" s="1"/>
  <c r="O1236" i="6"/>
  <c r="R1236" i="6" s="1"/>
  <c r="T1236" i="6" s="1"/>
  <c r="U1236" i="6" s="1"/>
  <c r="V1236" i="6" s="1"/>
  <c r="W1236" i="6" s="1"/>
  <c r="P1236" i="6"/>
  <c r="Q1236" i="6" s="1"/>
  <c r="T1217" i="6"/>
  <c r="U1217" i="6" s="1"/>
  <c r="V1217" i="6" s="1"/>
  <c r="W1217" i="6" s="1"/>
  <c r="T1165" i="6"/>
  <c r="U1165" i="6" s="1"/>
  <c r="V1165" i="6" s="1"/>
  <c r="W1165" i="6" s="1"/>
  <c r="T1159" i="6"/>
  <c r="U1159" i="6" s="1"/>
  <c r="V1159" i="6" s="1"/>
  <c r="W1159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T1177" i="6"/>
  <c r="U1177" i="6" s="1"/>
  <c r="V1177" i="6" s="1"/>
  <c r="W1177" i="6" s="1"/>
  <c r="O1222" i="6"/>
  <c r="R1222" i="6" s="1"/>
  <c r="T1222" i="6" s="1"/>
  <c r="U1222" i="6" s="1"/>
  <c r="V1222" i="6" s="1"/>
  <c r="W1222" i="6" s="1"/>
  <c r="O1204" i="6"/>
  <c r="R1204" i="6" s="1"/>
  <c r="T1204" i="6" s="1"/>
  <c r="U1204" i="6" s="1"/>
  <c r="V1204" i="6" s="1"/>
  <c r="W1204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O1249" i="6"/>
  <c r="R1249" i="6" s="1"/>
  <c r="T1249" i="6" s="1"/>
  <c r="U1249" i="6" s="1"/>
  <c r="V1249" i="6" s="1"/>
  <c r="W1249" i="6" s="1"/>
  <c r="O1241" i="6"/>
  <c r="R1241" i="6" s="1"/>
  <c r="T1241" i="6" s="1"/>
  <c r="U1241" i="6" s="1"/>
  <c r="V1241" i="6" s="1"/>
  <c r="W1241" i="6" s="1"/>
  <c r="T1229" i="6"/>
  <c r="U1229" i="6" s="1"/>
  <c r="V1229" i="6" s="1"/>
  <c r="W1229" i="6" s="1"/>
  <c r="T1193" i="6"/>
  <c r="U1193" i="6" s="1"/>
  <c r="V1193" i="6" s="1"/>
  <c r="W1193" i="6" s="1"/>
  <c r="O1176" i="6"/>
  <c r="R1176" i="6" s="1"/>
  <c r="T1176" i="6" s="1"/>
  <c r="U1176" i="6" s="1"/>
  <c r="V1176" i="6" s="1"/>
  <c r="W1176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T1101" i="6"/>
  <c r="U1101" i="6" s="1"/>
  <c r="V1101" i="6" s="1"/>
  <c r="W1101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822" i="6"/>
  <c r="U822" i="6" s="1"/>
  <c r="V822" i="6" s="1"/>
  <c r="W822" i="6" s="1"/>
  <c r="T1114" i="6"/>
  <c r="U1114" i="6" s="1"/>
  <c r="V1114" i="6" s="1"/>
  <c r="W1114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T1108" i="6"/>
  <c r="U1108" i="6" s="1"/>
  <c r="V1108" i="6" s="1"/>
  <c r="W1108" i="6" s="1"/>
  <c r="O1030" i="6"/>
  <c r="R1030" i="6" s="1"/>
  <c r="T1030" i="6" s="1"/>
  <c r="U1030" i="6" s="1"/>
  <c r="V1030" i="6" s="1"/>
  <c r="W1030" i="6" s="1"/>
  <c r="P1030" i="6"/>
  <c r="Q1030" i="6" s="1"/>
  <c r="T993" i="6"/>
  <c r="U993" i="6" s="1"/>
  <c r="V993" i="6" s="1"/>
  <c r="W993" i="6" s="1"/>
  <c r="T833" i="6"/>
  <c r="U833" i="6" s="1"/>
  <c r="V833" i="6" s="1"/>
  <c r="W833" i="6" s="1"/>
  <c r="T1073" i="6"/>
  <c r="U1073" i="6" s="1"/>
  <c r="V1073" i="6" s="1"/>
  <c r="W1073" i="6" s="1"/>
  <c r="P1246" i="6"/>
  <c r="Q1246" i="6" s="1"/>
  <c r="P1234" i="6"/>
  <c r="Q1234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T1070" i="6"/>
  <c r="U1070" i="6" s="1"/>
  <c r="V1070" i="6" s="1"/>
  <c r="W1070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T939" i="6"/>
  <c r="U939" i="6" s="1"/>
  <c r="V939" i="6" s="1"/>
  <c r="W939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T1028" i="6"/>
  <c r="U1028" i="6" s="1"/>
  <c r="V1028" i="6" s="1"/>
  <c r="W1028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T1034" i="6"/>
  <c r="U1034" i="6" s="1"/>
  <c r="V1034" i="6" s="1"/>
  <c r="W1034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T799" i="6"/>
  <c r="U799" i="6" s="1"/>
  <c r="V799" i="6" s="1"/>
  <c r="W799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T925" i="6"/>
  <c r="U925" i="6" s="1"/>
  <c r="V925" i="6" s="1"/>
  <c r="W925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T811" i="6"/>
  <c r="U811" i="6" s="1"/>
  <c r="V811" i="6" s="1"/>
  <c r="W811" i="6" s="1"/>
  <c r="T783" i="6"/>
  <c r="U783" i="6" s="1"/>
  <c r="V783" i="6" s="1"/>
  <c r="W783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T931" i="6"/>
  <c r="U931" i="6" s="1"/>
  <c r="V931" i="6" s="1"/>
  <c r="W931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T895" i="6"/>
  <c r="U895" i="6" s="1"/>
  <c r="V895" i="6" s="1"/>
  <c r="W895" i="6" s="1"/>
  <c r="T847" i="6"/>
  <c r="U847" i="6" s="1"/>
  <c r="V847" i="6" s="1"/>
  <c r="W847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D70" i="4"/>
  <c r="D71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F72" i="4"/>
  <c r="AD71" i="4" l="1"/>
  <c r="AC71" i="4"/>
  <c r="AB71" i="4"/>
  <c r="AD70" i="4"/>
  <c r="AC70" i="4"/>
  <c r="AB70" i="4"/>
  <c r="AD67" i="4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1" i="4"/>
  <c r="E70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2" i="4"/>
  <c r="F92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2" i="4" l="1"/>
  <c r="F82" i="4" s="1"/>
  <c r="L18" i="9"/>
  <c r="M18" i="9" s="1"/>
  <c r="M2" i="9"/>
  <c r="J3" i="4"/>
  <c r="I72" i="4"/>
  <c r="H72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76" i="4" l="1"/>
  <c r="F91" i="4" s="1"/>
  <c r="F93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2" i="4"/>
  <c r="R72" i="4"/>
  <c r="M72" i="4"/>
  <c r="F81" i="4" s="1"/>
  <c r="F80" i="4"/>
  <c r="K72" i="4"/>
  <c r="F79" i="4" s="1"/>
  <c r="F77" i="4"/>
  <c r="F88" i="4" s="1"/>
  <c r="G72" i="4"/>
  <c r="F75" i="4" s="1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70" i="4"/>
  <c r="X71" i="4"/>
  <c r="Z71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71" i="4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2" i="4"/>
  <c r="J72" i="4"/>
  <c r="F78" i="4" s="1"/>
  <c r="F83" i="4" s="1"/>
  <c r="X5" i="4"/>
  <c r="Z5" i="4" s="1"/>
  <c r="X24" i="4"/>
  <c r="Z24" i="4" s="1"/>
  <c r="X33" i="4"/>
  <c r="Z33" i="4" s="1"/>
  <c r="X37" i="4"/>
  <c r="Z37" i="4" s="1"/>
  <c r="X56" i="4"/>
  <c r="Z56" i="4" s="1"/>
  <c r="X70" i="4"/>
  <c r="Z70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2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2" i="4"/>
  <c r="F84" i="4" s="1"/>
  <c r="F85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71" i="4"/>
  <c r="AG71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70" i="4"/>
  <c r="AG70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2" i="4"/>
  <c r="Z72" i="4"/>
  <c r="X72" i="4"/>
  <c r="L1" i="6"/>
  <c r="R4" i="6"/>
  <c r="O2" i="6"/>
  <c r="N2" i="6" s="1"/>
  <c r="K2" i="6"/>
  <c r="AF2" i="6" s="1"/>
  <c r="Q2" i="6"/>
  <c r="P2" i="6"/>
  <c r="AG72" i="4" l="1"/>
  <c r="Q72" i="4"/>
  <c r="G85" i="4" s="1"/>
  <c r="T4" i="6"/>
  <c r="R2" i="6"/>
  <c r="F87" i="4" s="1"/>
  <c r="Q1" i="6"/>
  <c r="AG2" i="6"/>
  <c r="AH2" i="6" s="1"/>
  <c r="R1" i="6" l="1"/>
  <c r="F89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<sst xmlns="http://schemas.openxmlformats.org/spreadsheetml/2006/main" count="9721" uniqueCount="897">
  <si>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</si>
  <si>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</si>
  <si>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</si>
  <si>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</si>
  <si>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</si>
  <si>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</si>
  <si>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</si>
  <si>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</si>
  <si>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</si>
  <si>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</si>
  <si>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</si>
  <si>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</si>
  <si>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</si>
  <si>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</si>
  <si>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</si>
  <si>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</si>
  <si>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</si>
  <si>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</si>
  <si>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</si>
  <si>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</si>
  <si>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</si>
  <si>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</si>
  <si>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</si>
  <si>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</si>
  <si>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</si>
  <si>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</si>
  <si>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</si>
  <si>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</si>
  <si>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</si>
  <si>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</si>
  <si>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</si>
  <si>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</si>
  <si>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</si>
  <si>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</si>
  <si>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</si>
  <si>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</si>
  <si>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</si>
  <si>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</si>
  <si>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</si>
  <si>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</si>
  <si>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</si>
  <si>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</si>
  <si>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</si>
  <si>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</si>
  <si>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</si>
  <si>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</si>
  <si>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</si>
  <si>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</si>
  <si>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</si>
  <si>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</si>
  <si>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</si>
  <si>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</si>
  <si>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</si>
  <si>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</si>
  <si>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</si>
  <si>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</si>
  <si>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</si>
  <si>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</si>
  <si>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</si>
  <si>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</si>
  <si>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</si>
  <si>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</si>
  <si>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</si>
  <si>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</si>
  <si>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</si>
  <si>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</si>
  <si>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</si>
  <si>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</si>
  <si>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</si>
  <si>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</si>
  <si>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</si>
  <si>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</si>
  <si>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</si>
  <si>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</si>
  <si>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</si>
  <si>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</si>
  <si>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</si>
  <si>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</si>
  <si>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</si>
  <si>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</si>
  <si>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</si>
  <si>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</si>
  <si>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</si>
  <si>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</si>
  <si>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</si>
  <si>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</si>
  <si>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</si>
  <si>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</si>
  <si>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</si>
  <si>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</si>
  <si>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</si>
  <si>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</si>
  <si>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</si>
  <si>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</si>
  <si>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</si>
  <si>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</si>
  <si>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</si>
  <si>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</si>
  <si>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</si>
  <si>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</si>
  <si>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</si>
  <si>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</si>
  <si>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</si>
  <si>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</si>
  <si>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</si>
  <si>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</si>
  <si>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</si>
  <si>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</si>
  <si>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</si>
  <si>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</si>
  <si>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</si>
  <si>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</si>
  <si>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</si>
  <si>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</si>
  <si>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</si>
  <si>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</si>
  <si>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</si>
  <si>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</si>
  <si>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</si>
  <si>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</si>
  <si>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</si>
  <si>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</si>
  <si>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</si>
  <si>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</si>
  <si>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</si>
  <si>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</si>
  <si>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</si>
  <si>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</si>
  <si>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</si>
  <si>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</si>
  <si>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</si>
  <si>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</si>
  <si>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</si>
  <si>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</si>
  <si>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</si>
  <si>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</si>
  <si>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</si>
  <si>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</si>
  <si>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</si>
  <si>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</si>
  <si>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</si>
  <si>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</si>
  <si>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</si>
  <si>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</si>
  <si>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</si>
  <si>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</si>
  <si>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</si>
  <si>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</si>
  <si>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</si>
  <si>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</si>
  <si>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</si>
  <si>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</si>
  <si>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</si>
  <si>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</si>
  <si>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</si>
  <si>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</si>
  <si>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</si>
  <si>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</si>
  <si>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</si>
  <si>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</si>
  <si>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</si>
  <si>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</si>
  <si>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</si>
  <si>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</si>
  <si>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</si>
  <si>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</si>
  <si>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</si>
  <si>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</si>
  <si>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</si>
  <si>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</si>
  <si>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</si>
  <si>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</si>
  <si>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</si>
  <si>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</si>
  <si>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</si>
  <si>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</si>
  <si>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</si>
  <si>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</si>
  <si>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</si>
  <si>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</si>
  <si>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</si>
  <si>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</si>
  <si>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</si>
  <si>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</si>
  <si>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</si>
  <si>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</si>
  <si>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</si>
  <si>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</si>
  <si>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</si>
  <si>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</si>
  <si>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</si>
  <si>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</si>
  <si>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</si>
  <si>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</si>
  <si>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</si>
  <si>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</si>
  <si>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</si>
  <si>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</si>
  <si>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</si>
  <si>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</si>
  <si>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</si>
  <si>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</si>
  <si>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</si>
  <si>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</si>
  <si>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</si>
  <si>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</si>
  <si>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</si>
  <si>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</si>
  <si>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</si>
  <si>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</si>
  <si>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</si>
  <si>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</si>
  <si>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</si>
  <si>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</si>
  <si>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</si>
  <si>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</si>
  <si>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</si>
  <si>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</si>
  <si>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</si>
  <si>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</si>
  <si>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</si>
  <si>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</si>
  <si>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</si>
  <si>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</si>
  <si>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</si>
  <si>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</si>
  <si>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</si>
  <si>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</si>
  <si>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</si>
  <si>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</si>
  <si>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</si>
  <si>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</si>
  <si>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</si>
  <si>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</si>
  <si>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</si>
  <si>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</si>
  <si>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</si>
  <si>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</si>
  <si>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</si>
  <si>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</si>
  <si>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</si>
  <si>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</si>
  <si>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</si>
  <si>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</si>
  <si>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</si>
  <si>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</si>
  <si>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</si>
  <si>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</si>
  <si>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</si>
  <si>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</si>
  <si>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</si>
  <si>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</si>
  <si>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</si>
  <si>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</si>
  <si>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</si>
  <si>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</si>
  <si>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</si>
  <si>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</si>
  <si>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</si>
  <si>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</si>
  <si>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</si>
  <si>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</si>
  <si>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</si>
  <si>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</si>
  <si>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</si>
  <si>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</si>
  <si>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</si>
  <si>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</si>
  <si>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</si>
  <si>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</si>
  <si>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</si>
  <si>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</si>
  <si>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</si>
  <si>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</si>
  <si>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</si>
  <si>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</si>
  <si>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</si>
  <si>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</si>
  <si>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</si>
  <si>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</si>
  <si>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</si>
  <si>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</si>
  <si>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</si>
  <si>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</si>
  <si>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</si>
  <si>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</si>
  <si>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</si>
  <si>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</si>
  <si>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</si>
  <si>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</si>
  <si>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</si>
  <si>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</si>
  <si>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</si>
  <si>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</si>
  <si>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</si>
  <si>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</si>
  <si>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</si>
  <si>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</si>
  <si>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</si>
  <si>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</si>
  <si>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</si>
  <si>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</si>
  <si>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</si>
  <si>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</si>
  <si>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</si>
  <si>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</si>
  <si>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</si>
  <si>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</si>
  <si>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</si>
  <si>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</si>
  <si>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</si>
  <si>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</si>
  <si>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</si>
  <si>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</si>
  <si>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</si>
  <si>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</si>
  <si>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</si>
  <si>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</si>
  <si>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</si>
  <si>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</si>
  <si>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</si>
  <si>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</si>
  <si>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</si>
  <si>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</si>
  <si>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</si>
  <si>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</si>
  <si>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</si>
  <si>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</si>
  <si>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</si>
  <si>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</si>
  <si>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</si>
  <si>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</si>
  <si>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</si>
  <si>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</si>
  <si>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</si>
  <si>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</si>
  <si>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</si>
  <si>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</si>
  <si>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</si>
  <si>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</si>
  <si>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</si>
  <si>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</si>
  <si>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</si>
  <si>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[60553] PARASIYA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</si>
  <si>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</si>
  <si>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</si>
  <si>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</si>
  <si>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</si>
  <si>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</si>
  <si>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</si>
  <si>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</si>
  <si>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</si>
  <si>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</si>
  <si>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</si>
  <si>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</si>
  <si>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</si>
  <si>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[64501] SAHUKA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</si>
  <si>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</si>
  <si>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</si>
  <si>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</si>
  <si>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</si>
  <si>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</si>
  <si>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</si>
  <si>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</si>
  <si>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</si>
  <si>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</si>
  <si>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</si>
  <si>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</si>
  <si>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</si>
  <si>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</si>
  <si>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</si>
  <si>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</si>
  <si>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</si>
  <si>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</si>
  <si>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</si>
  <si>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</si>
  <si>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</si>
  <si>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</si>
  <si>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[64556] KABILASPUR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</si>
  <si>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</si>
  <si>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</si>
  <si>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</si>
  <si>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</si>
  <si>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</si>
  <si>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</si>
  <si>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</si>
  <si>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</si>
  <si>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</si>
  <si>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</si>
  <si>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</si>
  <si>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</si>
  <si>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</si>
  <si>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</si>
  <si>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</si>
  <si>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</si>
  <si>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</si>
  <si>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</si>
  <si>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</si>
  <si>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</si>
  <si>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</si>
  <si>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</si>
  <si>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</si>
  <si>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</si>
  <si>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</si>
  <si>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</si>
  <si>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</si>
  <si>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</si>
  <si>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</si>
  <si>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</si>
  <si>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</si>
  <si>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</si>
  <si>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</si>
  <si>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</si>
  <si>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</si>
  <si>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</si>
  <si>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</si>
  <si>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</si>
  <si>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</si>
  <si>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</si>
  <si>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</si>
  <si>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</si>
  <si>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</si>
  <si>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</si>
  <si>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</si>
  <si>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</si>
  <si>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</si>
  <si>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</si>
  <si>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</si>
  <si>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</si>
  <si>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</si>
  <si>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</si>
  <si>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</si>
  <si>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</si>
  <si>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</si>
  <si>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</si>
  <si>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</si>
  <si>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</si>
  <si>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</si>
  <si>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</si>
  <si>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</si>
  <si>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</si>
  <si>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</si>
  <si>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</si>
  <si>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</si>
  <si>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</si>
  <si>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</si>
  <si>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</si>
  <si>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</si>
  <si>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</si>
  <si>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</si>
  <si>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</si>
  <si>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</si>
  <si>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</si>
  <si>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</si>
  <si>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</si>
  <si>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</si>
  <si>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</si>
  <si>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</si>
  <si>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</si>
  <si>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</si>
  <si>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</si>
  <si>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</si>
  <si>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</si>
  <si>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</si>
  <si>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</si>
  <si>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</si>
  <si>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</si>
  <si>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</si>
  <si>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</si>
  <si>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</si>
  <si>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</si>
  <si>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</si>
  <si>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</si>
  <si>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</si>
  <si>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</si>
  <si>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</si>
  <si>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</si>
  <si>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</si>
  <si>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</si>
  <si>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</si>
  <si>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</si>
  <si>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</si>
  <si>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</si>
  <si>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</si>
  <si>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</si>
  <si>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</si>
  <si>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</si>
  <si>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</si>
  <si>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</si>
  <si>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</si>
  <si>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</si>
  <si>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</si>
  <si>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</si>
  <si>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</si>
  <si>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</si>
  <si>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</si>
  <si>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</si>
  <si>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</si>
  <si>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</si>
  <si>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</si>
  <si>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</si>
  <si>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</si>
  <si>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</si>
  <si>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</si>
  <si>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</si>
  <si>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</si>
  <si>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</si>
  <si>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</si>
  <si>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</si>
  <si>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</si>
  <si>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</si>
  <si>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</si>
  <si>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</si>
  <si>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</si>
  <si>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</si>
  <si>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</si>
  <si>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</si>
  <si>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</si>
  <si>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</si>
  <si>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</si>
  <si>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</si>
  <si>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</si>
  <si>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</si>
  <si>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</si>
  <si>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</si>
  <si>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</si>
  <si>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</si>
  <si>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</si>
  <si>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</si>
  <si>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</si>
  <si>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</si>
  <si>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</si>
  <si>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</si>
  <si>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</si>
  <si>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</si>
  <si>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</si>
  <si>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</si>
  <si>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</si>
  <si>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</si>
  <si>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</si>
  <si>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</si>
  <si>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</si>
  <si>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</si>
  <si>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</si>
  <si>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</si>
  <si>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</si>
  <si>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</si>
  <si>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</si>
  <si>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</si>
  <si>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</si>
  <si>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</si>
  <si>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</si>
  <si>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</si>
  <si>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</si>
  <si>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</si>
  <si>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</si>
  <si>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</si>
  <si>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</si>
  <si>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</si>
  <si>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</si>
  <si>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</si>
  <si>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</si>
  <si>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</si>
  <si>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</si>
  <si>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</si>
  <si>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</si>
  <si>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</si>
  <si>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</si>
  <si>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</si>
  <si>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</si>
  <si>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</si>
  <si>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</si>
  <si>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</si>
  <si>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</si>
  <si>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</si>
  <si>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</si>
  <si>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</si>
  <si>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</si>
  <si>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</si>
  <si>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</si>
  <si>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</si>
  <si>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</si>
  <si>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</si>
  <si>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</si>
  <si>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</si>
  <si>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</si>
  <si>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</si>
  <si>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</si>
  <si>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</si>
  <si>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</si>
  <si>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</si>
  <si>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</si>
  <si>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</si>
  <si>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</si>
  <si>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</si>
  <si>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</si>
  <si>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</si>
  <si>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[64586] KUCHHALA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</si>
  <si>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</si>
  <si>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</si>
  <si>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</si>
  <si>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</si>
  <si>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</si>
  <si>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</si>
  <si>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</si>
  <si>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</si>
  <si>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</si>
  <si>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</si>
  <si>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</si>
  <si>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</si>
  <si>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</si>
  <si>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</si>
  <si>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</si>
  <si>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</si>
  <si>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</si>
  <si>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</si>
  <si>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</si>
  <si>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</si>
  <si>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</si>
  <si>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</si>
  <si>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</si>
  <si>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</si>
  <si>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</si>
  <si>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</si>
  <si>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</si>
  <si>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</si>
  <si>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</si>
  <si>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</si>
  <si>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</si>
  <si>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</si>
  <si>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</si>
  <si>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</si>
  <si>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</si>
  <si>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</si>
  <si>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</si>
  <si>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</si>
  <si>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</si>
  <si>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</si>
  <si>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</si>
  <si>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</si>
  <si>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</si>
  <si>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</si>
  <si>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</si>
  <si>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</si>
  <si>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</si>
  <si>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</si>
  <si>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</si>
  <si>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</si>
  <si>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</si>
  <si>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</si>
  <si>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</si>
  <si>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</si>
  <si>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</si>
  <si>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</si>
  <si>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</si>
  <si>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</si>
  <si>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</si>
  <si>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</si>
  <si>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</si>
  <si>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</si>
  <si>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</si>
  <si>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</si>
  <si>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</si>
  <si>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</si>
  <si>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</si>
  <si>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</si>
  <si>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</si>
  <si>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</si>
  <si>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</si>
  <si>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</si>
  <si>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</si>
  <si>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</si>
  <si>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</si>
  <si>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</si>
  <si>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</si>
  <si>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</si>
  <si>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</si>
  <si>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</si>
  <si>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</si>
  <si>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</si>
  <si>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</si>
  <si>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</si>
  <si>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</si>
  <si>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</si>
  <si>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</si>
  <si>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</si>
  <si>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</si>
  <si>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</si>
  <si>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</si>
  <si>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</si>
  <si>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</si>
  <si>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</si>
  <si>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</si>
  <si>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</si>
  <si>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</si>
  <si>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</si>
  <si>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</si>
  <si>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</si>
  <si>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</si>
  <si>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</si>
  <si>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</si>
  <si>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</si>
  <si>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</si>
  <si>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</si>
  <si>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</si>
  <si>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</si>
  <si>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</si>
  <si>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</si>
  <si>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</si>
  <si>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</si>
  <si>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64556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</si>
  <si>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</si>
  <si>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</si>
  <si>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</si>
  <si>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</si>
  <si>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</si>
  <si>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</si>
  <si>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</si>
  <si>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</si>
  <si>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</si>
  <si>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</si>
  <si>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</si>
  <si>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</si>
  <si>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</si>
  <si>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</si>
  <si>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</si>
  <si>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</si>
  <si>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</si>
  <si>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</si>
  <si>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</si>
  <si>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</si>
  <si>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</si>
  <si>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</si>
  <si>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</si>
  <si>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60553</t>
  </si>
  <si>
    <t>64543</t>
  </si>
  <si>
    <t>60614</t>
  </si>
  <si>
    <t>64573</t>
  </si>
  <si>
    <t>64562</t>
  </si>
  <si>
    <t>64501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</si>
  <si>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</si>
  <si>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</si>
  <si>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</si>
  <si>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</si>
  <si>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</si>
  <si>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</si>
  <si>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</si>
  <si>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</si>
  <si>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</si>
  <si>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</si>
  <si>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</si>
  <si>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64586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</si>
  <si>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</si>
  <si>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</si>
  <si>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</si>
  <si>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</si>
  <si>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</si>
  <si>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</si>
  <si>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</si>
  <si>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</si>
  <si>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</si>
  <si>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</si>
  <si>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</si>
  <si>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</si>
  <si>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</si>
  <si>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</si>
  <si>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</si>
  <si>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</si>
  <si>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</si>
  <si>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</si>
  <si>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</si>
  <si>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</si>
  <si>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</si>
  <si>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</si>
  <si>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</si>
  <si>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</si>
  <si>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</si>
  <si>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</si>
  <si>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</si>
  <si>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</si>
  <si>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</si>
  <si>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</si>
  <si>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</si>
  <si>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</si>
  <si>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</si>
  <si>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</si>
  <si>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</si>
  <si>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</si>
  <si>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</si>
  <si>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</si>
  <si>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</si>
  <si>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</si>
  <si>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</si>
  <si>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</si>
  <si>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</si>
  <si>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</si>
  <si>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</si>
  <si>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</si>
  <si>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</si>
  <si>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</si>
  <si>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</si>
  <si>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</si>
  <si>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</si>
  <si>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</si>
  <si>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</si>
  <si>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</si>
  <si>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</si>
  <si>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</si>
  <si>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</si>
  <si>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</si>
  <si>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</si>
  <si>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</si>
  <si>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</si>
  <si>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</si>
  <si>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</si>
  <si>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</si>
  <si>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</si>
  <si>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</si>
  <si>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</si>
  <si>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</si>
  <si>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</si>
  <si>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</si>
  <si>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</si>
  <si>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</si>
  <si>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</si>
  <si>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</si>
  <si>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</si>
  <si>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</si>
  <si>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</si>
  <si>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</si>
  <si>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</si>
  <si>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</si>
  <si>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</si>
  <si>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</si>
  <si>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</si>
  <si>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</si>
  <si>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</si>
  <si>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</si>
  <si>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</si>
  <si>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</si>
  <si>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</si>
  <si>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</si>
  <si>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</si>
  <si>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</si>
  <si>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</si>
  <si>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</si>
  <si>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</si>
  <si>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</si>
  <si>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</si>
  <si>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</si>
  <si>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</si>
  <si>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</si>
  <si>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</si>
  <si>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</si>
  <si>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</si>
  <si>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</si>
  <si>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</si>
  <si>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</si>
  <si>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</si>
  <si>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</si>
  <si>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</si>
  <si>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</si>
  <si>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</si>
  <si>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</si>
  <si>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</si>
  <si>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</si>
  <si>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</si>
  <si>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</si>
  <si>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</si>
  <si>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</si>
  <si>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</si>
  <si>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</si>
  <si>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</si>
  <si>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[64594] AKHOLI DSK</t>
  </si>
  <si>
    <t>[64600] BHAMBHHOR DSK</t>
  </si>
  <si>
    <t>64600</t>
  </si>
  <si>
    <t>64508</t>
  </si>
  <si>
    <t>64594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</si>
  <si>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</si>
  <si>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</si>
  <si>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</si>
  <si>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</si>
  <si>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</si>
  <si>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</si>
  <si>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</si>
  <si>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</si>
  <si>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</si>
  <si>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</si>
  <si>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</si>
  <si>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</si>
  <si>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</si>
  <si>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</si>
  <si>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</si>
  <si>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</si>
  <si>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</si>
  <si>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[60611] AKHOLI DSK</t>
  </si>
  <si>
    <t>60611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</si>
</sst>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58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5.639023842596" createdVersion="8" refreshedVersion="8" minRefreshableVersion="3" recordCount="1298" xr:uid="{B23550B6-B826-4D3E-A59A-CDE080B22CDC}">
  <cacheSource type="worksheet">
    <worksheetSource ref="A3:W1301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9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60526] CHANDESH DSK"/>
        <s v="[60553] PARASIYA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600] BHAMBHHOR DSK"/>
      </sharedItems>
    </cacheField>
    <cacheField name="Old Code" numFmtId="0">
      <sharedItems count="69">
        <s v="20101"/>
        <s v="20102"/>
        <s v="20104"/>
        <s v="20106"/>
        <s v="20107"/>
        <s v="20109"/>
        <s v="20111"/>
        <s v="20112"/>
        <s v="20115"/>
        <s v="20119"/>
        <s v="20120"/>
        <s v="20121"/>
        <s v="20122"/>
        <s v="20123"/>
        <s v="60526"/>
        <s v="60553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6"/>
        <s v="64559"/>
        <s v="64560"/>
        <s v="64562"/>
        <s v="64567"/>
        <s v="64569"/>
        <s v="64571"/>
        <s v="64573"/>
        <s v="64586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3" count="69">
        <n v="10620101"/>
        <n v="10620102"/>
        <n v="10620104"/>
        <n v="10620106"/>
        <n v="10620107"/>
        <n v="10620109"/>
        <n v="10620111"/>
        <n v="10620112"/>
        <n v="10620115"/>
        <n v="10620119"/>
        <n v="10620120"/>
        <n v="10620121"/>
        <n v="10620122"/>
        <n v="10620123"/>
        <n v="10620072"/>
        <n v="10620050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11"/>
        <n v="10620042"/>
        <n v="10620048"/>
        <n v="10620054"/>
        <n v="10620069"/>
        <n v="10620019"/>
        <n v="10620009"/>
        <n v="10620053"/>
        <n v="10620071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2570"/>
    </cacheField>
    <cacheField name="Fat" numFmtId="0">
      <sharedItems containsSemiMixedTypes="0" containsString="0" containsNumber="1" minValue="3" maxValue="9.1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3.7000000000000005E-2" maxValue="123.36"/>
    </cacheField>
    <cacheField name="Kg snf" numFmtId="164">
      <sharedItems containsSemiMixedTypes="0" containsString="0" containsNumber="1" minValue="8.1000000000000003E-2" maxValue="218.45"/>
    </cacheField>
    <cacheField name="Rate/Kg" numFmtId="43">
      <sharedItems containsSemiMixedTypes="0" containsString="0" containsNumber="1" minValue="34.751112000000006" maxValue="76.819999999999993"/>
    </cacheField>
    <cacheField name="Amount" numFmtId="165">
      <sharedItems containsSemiMixedTypes="0" containsString="0" containsNumber="1" minValue="37.948125900000008" maxValue="112173.25645500001"/>
    </cacheField>
    <cacheField name="FAT Rate" numFmtId="43">
      <sharedItems containsSemiMixedTypes="0" containsString="0" containsNumber="1" minValue="402.57869822485208" maxValue="505.3947368421052"/>
    </cacheField>
    <cacheField name="SNF Rate" numFmtId="43">
      <sharedItems containsSemiMixedTypes="0" containsString="0" containsNumber="1" minValue="268.38579881656807" maxValue="336.92982456140345"/>
    </cacheField>
    <cacheField name="Comm @ 1.75%" numFmtId="165">
      <sharedItems containsSemiMixedTypes="0" containsString="0" containsNumber="1" minValue="0.66409220325000018" maxValue="1963.0319879625004"/>
    </cacheField>
    <cacheField name="OH @ 3.75/kg" numFmtId="1">
      <sharedItems containsSemiMixedTypes="0" containsString="0" containsNumber="1" minValue="3.75" maxValue="9637.5"/>
    </cacheField>
    <cacheField name="Total Cost" numFmtId="165">
      <sharedItems containsSemiMixedTypes="0" containsString="0" containsNumber="1" minValue="42.362218103250008" maxValue="123773.78844296251"/>
    </cacheField>
    <cacheField name="Cost/Kg" numFmtId="43">
      <sharedItems containsSemiMixedTypes="0" containsString="0" containsNumber="1" minValue="39.109256460000005" maxValue="81.914349999999999"/>
    </cacheField>
    <cacheField name="FAT Rate2" numFmtId="43">
      <sharedItems containsSemiMixedTypes="0" containsString="0" containsNumber="1" minValue="442.90784911242605" maxValue="538.91019736842111"/>
    </cacheField>
    <cacheField name="SNF Rate2" numFmtId="43">
      <sharedItems containsSemiMixedTypes="0" containsString="0" containsNumber="1" minValue="295.27189940828401" maxValue="359.273464912280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8">
  <r>
    <s v="05/06/2026"/>
    <s v="M"/>
    <s v="[1062] RAMGADH"/>
    <s v="[8405] RAMGADH"/>
    <x v="0"/>
    <x v="0"/>
    <x v="0"/>
    <s v="B"/>
    <n v="15"/>
    <n v="7.3"/>
    <n v="8.6999999999999993"/>
    <n v="1.095"/>
    <n v="1.3049999999999999"/>
    <n v="59.735899999999994"/>
    <n v="896.03849999999989"/>
    <n v="455.99923664122133"/>
    <n v="303.99949109414757"/>
    <n v="15.680673749999999"/>
    <n v="56.25"/>
    <n v="967.96917374999987"/>
    <n v="64.531278249999986"/>
    <n v="492.60517748091593"/>
    <n v="328.40345165394393"/>
  </r>
  <r>
    <s v="05/06/2026"/>
    <s v="M"/>
    <s v="[1062] RAMGADH"/>
    <s v="[8405] RAMGADH"/>
    <x v="0"/>
    <x v="0"/>
    <x v="0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6/2026"/>
    <s v="M"/>
    <s v="[1062] RAMGADH"/>
    <s v="[8405] RAMGADH"/>
    <x v="0"/>
    <x v="0"/>
    <x v="0"/>
    <s v="B"/>
    <n v="12"/>
    <n v="7.6"/>
    <n v="8.8000000000000007"/>
    <n v="0.91199999999999992"/>
    <n v="1.056"/>
    <n v="62.825400000000002"/>
    <n v="753.90480000000002"/>
    <n v="466.5252475247525"/>
    <n v="311.01683168316833"/>
    <n v="13.193334000000002"/>
    <n v="45"/>
    <n v="812.09813400000007"/>
    <n v="67.674844500000006"/>
    <n v="502.53597400990105"/>
    <n v="335.02398267326737"/>
  </r>
  <r>
    <s v="06/06/2026"/>
    <s v="M"/>
    <s v="[1062] RAMGADH"/>
    <s v="[8405] RAMGADH"/>
    <x v="0"/>
    <x v="0"/>
    <x v="0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6/2026"/>
    <s v="E"/>
    <s v="[1062] RAMGADH"/>
    <s v="[8405] RAMGADH"/>
    <x v="0"/>
    <x v="0"/>
    <x v="0"/>
    <s v="C"/>
    <n v="11"/>
    <n v="4.8"/>
    <n v="8.3000000000000007"/>
    <n v="0.52800000000000002"/>
    <n v="0.91300000000000014"/>
    <n v="43.091153700000007"/>
    <n v="474.00269070000007"/>
    <n v="417.01116483870976"/>
    <n v="278.00744322580653"/>
    <n v="8.2950470872500013"/>
    <n v="41.25"/>
    <n v="523.54773778725007"/>
    <n v="47.595248889750003"/>
    <n v="460.5991828040323"/>
    <n v="307.06612186935484"/>
  </r>
  <r>
    <s v="07/06/2026"/>
    <s v="M"/>
    <s v="[1062] RAMGADH"/>
    <s v="[8405] RAMGADH"/>
    <x v="0"/>
    <x v="0"/>
    <x v="0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08/06/2026"/>
    <s v="M"/>
    <s v="[1062] RAMGADH"/>
    <s v="[8405] RAMGADH"/>
    <x v="0"/>
    <x v="0"/>
    <x v="0"/>
    <s v="C"/>
    <n v="17"/>
    <n v="4.0999999999999996"/>
    <n v="8.1999999999999993"/>
    <n v="0.69699999999999984"/>
    <n v="1.3939999999999997"/>
    <n v="39.894139799999998"/>
    <n v="678.20037659999991"/>
    <n v="417.01191428571434"/>
    <n v="278.00794285714289"/>
    <n v="11.868506590499999"/>
    <n v="63.75"/>
    <n v="753.81888319049995"/>
    <n v="44.3422872465"/>
    <n v="463.50822905749135"/>
    <n v="309.00548603832755"/>
  </r>
  <r>
    <s v="08/06/2026"/>
    <s v="E"/>
    <s v="[1062] RAMGADH"/>
    <s v="[8405] RAMGADH"/>
    <x v="0"/>
    <x v="0"/>
    <x v="0"/>
    <s v="C"/>
    <n v="11"/>
    <n v="3.8"/>
    <n v="8.1"/>
    <n v="0.41799999999999998"/>
    <n v="0.8909999999999999"/>
    <n v="38.365125900000002"/>
    <n v="422.01638490000005"/>
    <n v="417.01223804347831"/>
    <n v="278.00815869565218"/>
    <n v="7.3852867357500012"/>
    <n v="41.25"/>
    <n v="470.65167163575006"/>
    <n v="42.786515603250002"/>
    <n v="465.07082177445653"/>
    <n v="310.04721451630434"/>
  </r>
  <r>
    <s v="09/06/2026"/>
    <s v="M"/>
    <s v="[1062] RAMGADH"/>
    <s v="[8405] RAMGADH"/>
    <x v="0"/>
    <x v="0"/>
    <x v="0"/>
    <s v="C"/>
    <n v="18"/>
    <n v="4.7"/>
    <n v="8.1"/>
    <n v="0.84600000000000009"/>
    <n v="1.4579999999999997"/>
    <n v="42.118125900000003"/>
    <n v="758.12626620000003"/>
    <n v="417.01114752475246"/>
    <n v="278.00743168316831"/>
    <n v="13.267209658500002"/>
    <n v="67.5"/>
    <n v="838.8934758585001"/>
    <n v="46.605193103250002"/>
    <n v="461.43755547772275"/>
    <n v="307.62503698514848"/>
  </r>
  <r>
    <s v="10/06/2026"/>
    <s v="M"/>
    <s v="[1062] RAMGADH"/>
    <s v="[8405] RAMGADH"/>
    <x v="0"/>
    <x v="0"/>
    <x v="0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10/06/2026"/>
    <s v="M"/>
    <s v="[1062] RAMGADH"/>
    <s v="[8405] RAMGADH"/>
    <x v="0"/>
    <x v="0"/>
    <x v="0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0/06/2026"/>
    <s v="E"/>
    <s v="[1062] RAMGADH"/>
    <s v="[8405] RAMGADH"/>
    <x v="0"/>
    <x v="0"/>
    <x v="0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1/06/2026"/>
    <s v="M"/>
    <s v="[1062] RAMGADH"/>
    <s v="[8405] RAMGADH"/>
    <x v="0"/>
    <x v="0"/>
    <x v="0"/>
    <s v="C"/>
    <n v="12"/>
    <n v="4.9000000000000004"/>
    <n v="8.3000000000000007"/>
    <n v="0.58800000000000008"/>
    <n v="0.99600000000000011"/>
    <n v="43.508153700000008"/>
    <n v="522.0978444000001"/>
    <n v="417.01105782747612"/>
    <n v="278.00737188498408"/>
    <n v="9.1367122770000027"/>
    <n v="45"/>
    <n v="576.23455667700011"/>
    <n v="48.019546389750012"/>
    <n v="460.25124335223654"/>
    <n v="306.83416223482436"/>
  </r>
  <r>
    <s v="11/06/2026"/>
    <s v="E"/>
    <s v="[1062] RAMGADH"/>
    <s v="[8405] RAMGADH"/>
    <x v="0"/>
    <x v="0"/>
    <x v="0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5/06/2026"/>
    <s v="M"/>
    <s v="[1062] RAMGADH"/>
    <s v="[8404] CHANDESH"/>
    <x v="1"/>
    <x v="1"/>
    <x v="1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05/06/2026"/>
    <s v="E"/>
    <s v="[1062] RAMGADH"/>
    <s v="[8404] CHANDESH"/>
    <x v="1"/>
    <x v="1"/>
    <x v="1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06/06/2026"/>
    <s v="M"/>
    <s v="[1062] RAMGADH"/>
    <s v="[8404] CHANDESH"/>
    <x v="1"/>
    <x v="1"/>
    <x v="1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06/06/2026"/>
    <s v="E"/>
    <s v="[1062] RAMGADH"/>
    <s v="[8404] CHANDESH"/>
    <x v="1"/>
    <x v="1"/>
    <x v="1"/>
    <s v="C"/>
    <n v="16"/>
    <n v="4.5"/>
    <n v="8.1"/>
    <n v="0.72"/>
    <n v="1.296"/>
    <n v="41.284125900000006"/>
    <n v="660.5460144000001"/>
    <n v="417.01137272727277"/>
    <n v="278.00758181818185"/>
    <n v="11.559555252000003"/>
    <n v="60"/>
    <n v="732.1055696520001"/>
    <n v="45.756598103250006"/>
    <n v="462.18785962878792"/>
    <n v="308.12523975252526"/>
  </r>
  <r>
    <s v="07/06/2026"/>
    <s v="M"/>
    <s v="[1062] RAMGADH"/>
    <s v="[8404] CHANDESH"/>
    <x v="1"/>
    <x v="1"/>
    <x v="1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7/06/2026"/>
    <s v="E"/>
    <s v="[1062] RAMGADH"/>
    <s v="[8404] CHANDESH"/>
    <x v="1"/>
    <x v="1"/>
    <x v="1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08/06/2026"/>
    <s v="M"/>
    <s v="[1062] RAMGADH"/>
    <s v="[8404] CHANDESH"/>
    <x v="1"/>
    <x v="1"/>
    <x v="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8/06/2026"/>
    <s v="E"/>
    <s v="[1062] RAMGADH"/>
    <s v="[8404] CHANDESH"/>
    <x v="1"/>
    <x v="1"/>
    <x v="1"/>
    <s v="B"/>
    <n v="31"/>
    <n v="6.1"/>
    <n v="8.8000000000000007"/>
    <n v="1.891"/>
    <n v="2.7280000000000002"/>
    <n v="50.425650000000005"/>
    <n v="1563.1951500000002"/>
    <n v="421.38426183844012"/>
    <n v="280.92284122562677"/>
    <n v="27.355915125000006"/>
    <n v="116.25"/>
    <n v="1706.8010651250002"/>
    <n v="55.058098875000006"/>
    <n v="460.09553377437328"/>
    <n v="306.73035584958217"/>
  </r>
  <r>
    <s v="08/06/2026"/>
    <s v="E"/>
    <s v="[1062] RAMGADH"/>
    <s v="[8404] CHANDESH"/>
    <x v="1"/>
    <x v="1"/>
    <x v="1"/>
    <s v="C"/>
    <n v="64"/>
    <n v="3.1"/>
    <n v="8.1"/>
    <n v="1.984"/>
    <n v="5.1840000000000002"/>
    <n v="35.446125899999998"/>
    <n v="2268.5520575999999"/>
    <n v="417.01324588235298"/>
    <n v="278.0088305882353"/>
    <n v="39.699661008"/>
    <n v="240"/>
    <n v="2548.2517186079999"/>
    <n v="39.816433103249999"/>
    <n v="468.42862474411766"/>
    <n v="312.28574982941177"/>
  </r>
  <r>
    <s v="09/06/2026"/>
    <s v="M"/>
    <s v="[1062] RAMGADH"/>
    <s v="[8404] CHANDESH"/>
    <x v="1"/>
    <x v="1"/>
    <x v="1"/>
    <s v="B"/>
    <n v="11"/>
    <n v="6.4"/>
    <n v="8.6"/>
    <n v="0.70400000000000007"/>
    <n v="0.94599999999999995"/>
    <n v="52.371199999999995"/>
    <n v="576.08319999999992"/>
    <n v="431.6307692307692"/>
    <n v="287.75384615384615"/>
    <n v="10.081455999999999"/>
    <n v="41.25"/>
    <n v="627.41465599999992"/>
    <n v="57.03769599999999"/>
    <n v="470.09090109890104"/>
    <n v="313.39393406593405"/>
  </r>
  <r>
    <s v="09/06/2026"/>
    <s v="E"/>
    <s v="[1062] RAMGADH"/>
    <s v="[8404] CHANDESH"/>
    <x v="1"/>
    <x v="1"/>
    <x v="1"/>
    <s v="C"/>
    <n v="19"/>
    <n v="5"/>
    <n v="8.5"/>
    <n v="0.95"/>
    <n v="1.615"/>
    <n v="44.481181500000005"/>
    <n v="845.14244850000011"/>
    <n v="417.01107656250002"/>
    <n v="278.00738437500002"/>
    <n v="14.789992848750003"/>
    <n v="71.25"/>
    <n v="931.1824413487501"/>
    <n v="49.009602176250006"/>
    <n v="459.46502040234378"/>
    <n v="306.3100136015625"/>
  </r>
  <r>
    <s v="10/06/2026"/>
    <s v="M"/>
    <s v="[1062] RAMGADH"/>
    <s v="[8404] CHANDESH"/>
    <x v="1"/>
    <x v="1"/>
    <x v="1"/>
    <s v="B"/>
    <n v="16"/>
    <n v="8"/>
    <n v="8.8000000000000007"/>
    <n v="1.28"/>
    <n v="1.4080000000000001"/>
    <n v="66.131999999999991"/>
    <n v="1058.1119999999999"/>
    <n v="476.91346153846149"/>
    <n v="317.94230769230768"/>
    <n v="18.516959999999997"/>
    <n v="60"/>
    <n v="1136.6289599999998"/>
    <n v="71.039309999999986"/>
    <n v="512.30271634615372"/>
    <n v="341.53514423076916"/>
  </r>
  <r>
    <s v="10/06/2026"/>
    <s v="E"/>
    <s v="[1062] RAMGADH"/>
    <s v="[8404] CHANDESH"/>
    <x v="1"/>
    <x v="1"/>
    <x v="1"/>
    <s v="B"/>
    <n v="20"/>
    <n v="6.4"/>
    <n v="8.8000000000000007"/>
    <n v="1.28"/>
    <n v="1.76"/>
    <n v="52.9056"/>
    <n v="1058.1120000000001"/>
    <n v="431.29565217391303"/>
    <n v="287.53043478260867"/>
    <n v="18.516960000000005"/>
    <n v="75"/>
    <n v="1151.62896"/>
    <n v="57.581448000000002"/>
    <n v="469.41397826086956"/>
    <n v="312.94265217391302"/>
  </r>
  <r>
    <s v="11/06/2026"/>
    <s v="M"/>
    <s v="[1062] RAMGADH"/>
    <s v="[8404] CHANDESH"/>
    <x v="1"/>
    <x v="1"/>
    <x v="1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11/06/2026"/>
    <s v="M"/>
    <s v="[1062] RAMGADH"/>
    <s v="[8404] CHANDESH"/>
    <x v="1"/>
    <x v="1"/>
    <x v="1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6/2026"/>
    <s v="E"/>
    <s v="[1062] RAMGADH"/>
    <s v="[8404] CHANDESH"/>
    <x v="1"/>
    <x v="1"/>
    <x v="1"/>
    <s v="B"/>
    <n v="23"/>
    <n v="6"/>
    <n v="8.6"/>
    <n v="1.38"/>
    <n v="1.9779999999999998"/>
    <n v="49.097999999999999"/>
    <n v="1129.2539999999999"/>
    <n v="418.44886363636368"/>
    <n v="278.96590909090912"/>
    <n v="19.761945000000001"/>
    <n v="86.25"/>
    <n v="1235.2659449999999"/>
    <n v="53.707214999999998"/>
    <n v="457.7319460227273"/>
    <n v="305.15463068181822"/>
  </r>
  <r>
    <s v="05/06/2026"/>
    <s v="M"/>
    <s v="[1062] RAMGADH"/>
    <s v="[8403] MOHANIA"/>
    <x v="2"/>
    <x v="2"/>
    <x v="2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05/06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6/06/2026"/>
    <s v="M"/>
    <s v="[1062] RAMGADH"/>
    <s v="[8403] MOHANIA"/>
    <x v="2"/>
    <x v="2"/>
    <x v="2"/>
    <s v="C"/>
    <n v="28"/>
    <n v="3.4"/>
    <n v="8"/>
    <n v="0.95200000000000007"/>
    <n v="2.2400000000000002"/>
    <n v="36.419112000000005"/>
    <n v="1019.7351360000001"/>
    <n v="417.01273282442747"/>
    <n v="278.00848854961833"/>
    <n v="17.845364880000005"/>
    <n v="105"/>
    <n v="1142.58050088"/>
    <n v="40.806446460000004"/>
    <n v="467.24938694656487"/>
    <n v="311.49959129770991"/>
  </r>
  <r>
    <s v="06/06/2026"/>
    <s v="E"/>
    <s v="[1062] RAMGADH"/>
    <s v="[8403] MOHANIA"/>
    <x v="2"/>
    <x v="2"/>
    <x v="2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7/06/2026"/>
    <s v="M"/>
    <s v="[1062] RAMGADH"/>
    <s v="[8403] MOHANIA"/>
    <x v="2"/>
    <x v="2"/>
    <x v="2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07/06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8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8/06/2026"/>
    <s v="E"/>
    <s v="[1062] RAMGADH"/>
    <s v="[8403] MOHANIA"/>
    <x v="2"/>
    <x v="2"/>
    <x v="2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9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9/06/2026"/>
    <s v="E"/>
    <s v="[1062] RAMGADH"/>
    <s v="[8403] MOHANIA"/>
    <x v="2"/>
    <x v="2"/>
    <x v="2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0/06/2026"/>
    <s v="M"/>
    <s v="[1062] RAMGADH"/>
    <s v="[8403] MOHANIA"/>
    <x v="2"/>
    <x v="2"/>
    <x v="2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10/06/2026"/>
    <s v="E"/>
    <s v="[1062] RAMGADH"/>
    <s v="[8403] MOHANIA"/>
    <x v="2"/>
    <x v="2"/>
    <x v="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11/06/2026"/>
    <s v="M"/>
    <s v="[1062] RAMGADH"/>
    <s v="[8403] MOHANIA"/>
    <x v="2"/>
    <x v="2"/>
    <x v="2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11/06/2026"/>
    <s v="E"/>
    <s v="[1062] RAMGADH"/>
    <s v="[8403] MOHANIA"/>
    <x v="2"/>
    <x v="2"/>
    <x v="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5/06/2026"/>
    <s v="M"/>
    <s v="[1062] RAMGADH"/>
    <s v="[8403] MOHANIA"/>
    <x v="3"/>
    <x v="3"/>
    <x v="3"/>
    <s v="B"/>
    <n v="7"/>
    <n v="7.3"/>
    <n v="8.8000000000000007"/>
    <n v="0.51100000000000001"/>
    <n v="0.6160000000000001"/>
    <n v="60.34545"/>
    <n v="422.41814999999997"/>
    <n v="458.31987341772157"/>
    <n v="305.54658227848103"/>
    <n v="7.3923176250000004"/>
    <n v="26.25"/>
    <n v="456.060467625"/>
    <n v="65.151495374999996"/>
    <n v="494.82148386075949"/>
    <n v="329.88098924050632"/>
  </r>
  <r>
    <s v="05/06/2026"/>
    <s v="M"/>
    <s v="[1062] RAMGADH"/>
    <s v="[8403] MOHANIA"/>
    <x v="3"/>
    <x v="3"/>
    <x v="3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5/06/2026"/>
    <s v="E"/>
    <s v="[1062] RAMGADH"/>
    <s v="[8403] MOHANIA"/>
    <x v="3"/>
    <x v="3"/>
    <x v="3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06/06/2026"/>
    <s v="M"/>
    <s v="[1062] RAMGADH"/>
    <s v="[8403] MOHANIA"/>
    <x v="3"/>
    <x v="3"/>
    <x v="3"/>
    <s v="B"/>
    <n v="8"/>
    <n v="7.6"/>
    <n v="8.8000000000000007"/>
    <n v="0.60799999999999998"/>
    <n v="0.70400000000000007"/>
    <n v="62.825400000000002"/>
    <n v="502.60320000000002"/>
    <n v="466.5252475247525"/>
    <n v="311.01683168316833"/>
    <n v="8.7955560000000013"/>
    <n v="30"/>
    <n v="541.39875600000005"/>
    <n v="67.674844500000006"/>
    <n v="502.53597400990105"/>
    <n v="335.02398267326737"/>
  </r>
  <r>
    <s v="06/06/2026"/>
    <s v="M"/>
    <s v="[1062] RAMGADH"/>
    <s v="[8403] MOHANIA"/>
    <x v="3"/>
    <x v="3"/>
    <x v="3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6/06/2026"/>
    <s v="E"/>
    <s v="[1062] RAMGADH"/>
    <s v="[8403] MOHANIA"/>
    <x v="3"/>
    <x v="3"/>
    <x v="3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7/06/2026"/>
    <s v="M"/>
    <s v="[1062] RAMGADH"/>
    <s v="[8403] MOHANIA"/>
    <x v="3"/>
    <x v="3"/>
    <x v="3"/>
    <s v="B"/>
    <n v="7"/>
    <n v="7.7"/>
    <n v="8.8000000000000007"/>
    <n v="0.53900000000000003"/>
    <n v="0.6160000000000001"/>
    <n v="63.652050000000003"/>
    <n v="445.56434999999999"/>
    <n v="469.17972972972979"/>
    <n v="312.78648648648652"/>
    <n v="7.7973761250000004"/>
    <n v="26.25"/>
    <n v="479.61172612500002"/>
    <n v="68.515960875000005"/>
    <n v="505.03165264127773"/>
    <n v="336.68776842751851"/>
  </r>
  <r>
    <s v="07/06/2026"/>
    <s v="M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7/06/2026"/>
    <s v="E"/>
    <s v="[1062] RAMGADH"/>
    <s v="[8403] MOHANIA"/>
    <x v="3"/>
    <x v="3"/>
    <x v="3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8/06/2026"/>
    <s v="M"/>
    <s v="[1062] RAMGADH"/>
    <s v="[8403] MOHANIA"/>
    <x v="3"/>
    <x v="3"/>
    <x v="3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8/06/2026"/>
    <s v="M"/>
    <s v="[1062] RAMGADH"/>
    <s v="[8403] MOHANIA"/>
    <x v="3"/>
    <x v="3"/>
    <x v="3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08/06/2026"/>
    <s v="E"/>
    <s v="[1062] RAMGADH"/>
    <s v="[8403] MOHANIA"/>
    <x v="3"/>
    <x v="3"/>
    <x v="3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9/06/2026"/>
    <s v="M"/>
    <s v="[1062] RAMGADH"/>
    <s v="[8403] MOHANIA"/>
    <x v="3"/>
    <x v="3"/>
    <x v="3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09/06/2026"/>
    <s v="M"/>
    <s v="[1062] RAMGADH"/>
    <s v="[8403] MOHANIA"/>
    <x v="3"/>
    <x v="3"/>
    <x v="3"/>
    <s v="C"/>
    <n v="18"/>
    <n v="3.4"/>
    <n v="8.1"/>
    <n v="0.61199999999999999"/>
    <n v="1.4579999999999997"/>
    <n v="36.697125900000003"/>
    <n v="660.54826620000006"/>
    <n v="417.01279431818188"/>
    <n v="278.00852954545456"/>
    <n v="11.559594658500002"/>
    <n v="67.5"/>
    <n v="739.60786085850009"/>
    <n v="41.089325603250003"/>
    <n v="466.92415458238645"/>
    <n v="311.28276972159097"/>
  </r>
  <r>
    <s v="09/06/2026"/>
    <s v="E"/>
    <s v="[1062] RAMGADH"/>
    <s v="[8403] MOHANIA"/>
    <x v="3"/>
    <x v="3"/>
    <x v="3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0/06/2026"/>
    <s v="M"/>
    <s v="[1062] RAMGADH"/>
    <s v="[8403] MOHANIA"/>
    <x v="3"/>
    <x v="3"/>
    <x v="3"/>
    <s v="B"/>
    <n v="8"/>
    <n v="7.4"/>
    <n v="8.8000000000000007"/>
    <n v="0.59200000000000008"/>
    <n v="0.70400000000000007"/>
    <n v="61.172100000000007"/>
    <n v="489.37680000000006"/>
    <n v="461.09623115577887"/>
    <n v="307.39748743718593"/>
    <n v="8.5640940000000025"/>
    <n v="30"/>
    <n v="527.94089400000007"/>
    <n v="65.992611750000009"/>
    <n v="497.43174685929648"/>
    <n v="331.6211645728643"/>
  </r>
  <r>
    <s v="10/06/2026"/>
    <s v="M"/>
    <s v="[1062] RAMGADH"/>
    <s v="[8403] MOHANIA"/>
    <x v="3"/>
    <x v="3"/>
    <x v="3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10/06/2026"/>
    <s v="E"/>
    <s v="[1062] RAMGADH"/>
    <s v="[8403] MOHANIA"/>
    <x v="3"/>
    <x v="3"/>
    <x v="3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11/06/2026"/>
    <s v="M"/>
    <s v="[1062] RAMGADH"/>
    <s v="[8403] MOHANIA"/>
    <x v="3"/>
    <x v="3"/>
    <x v="3"/>
    <s v="B"/>
    <n v="7"/>
    <n v="7.6"/>
    <n v="8.8000000000000007"/>
    <n v="0.53199999999999992"/>
    <n v="0.6160000000000001"/>
    <n v="62.825400000000002"/>
    <n v="439.77780000000001"/>
    <n v="466.5252475247525"/>
    <n v="311.01683168316833"/>
    <n v="7.6961115000000007"/>
    <n v="26.25"/>
    <n v="473.72391149999999"/>
    <n v="67.674844499999992"/>
    <n v="502.53597400990094"/>
    <n v="335.02398267326731"/>
  </r>
  <r>
    <s v="11/06/2026"/>
    <s v="M"/>
    <s v="[1062] RAMGADH"/>
    <s v="[8403] MOHANIA"/>
    <x v="3"/>
    <x v="3"/>
    <x v="3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11/06/2026"/>
    <s v="E"/>
    <s v="[1062] RAMGADH"/>
    <s v="[8403] MOHANIA"/>
    <x v="3"/>
    <x v="3"/>
    <x v="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5/06/2026"/>
    <s v="M"/>
    <s v="[1062] RAMGADH"/>
    <s v="[8403] MOHANIA"/>
    <x v="4"/>
    <x v="4"/>
    <x v="4"/>
    <s v="C"/>
    <n v="8"/>
    <n v="4.5999999999999996"/>
    <n v="8.1"/>
    <n v="0.36799999999999999"/>
    <n v="0.64800000000000002"/>
    <n v="41.701125900000001"/>
    <n v="333.60900720000001"/>
    <n v="417.011259"/>
    <n v="278.00750599999998"/>
    <n v="5.838157626000001"/>
    <n v="30"/>
    <n v="369.44716482600001"/>
    <n v="46.180895603250001"/>
    <n v="461.80895603249996"/>
    <n v="307.87263735499999"/>
  </r>
  <r>
    <s v="05/06/2026"/>
    <s v="E"/>
    <s v="[1062] RAMGADH"/>
    <s v="[8403] MOHANIA"/>
    <x v="4"/>
    <x v="4"/>
    <x v="4"/>
    <s v="C"/>
    <n v="8"/>
    <n v="4.0999999999999996"/>
    <n v="8.1"/>
    <n v="0.32799999999999996"/>
    <n v="0.64800000000000002"/>
    <n v="39.6161259"/>
    <n v="316.9290072"/>
    <n v="417.01185157894736"/>
    <n v="278.00790105263155"/>
    <n v="5.5462576260000009"/>
    <n v="30"/>
    <n v="352.475264826"/>
    <n v="44.05940810325"/>
    <n v="463.78324319210526"/>
    <n v="309.18882879473682"/>
  </r>
  <r>
    <s v="06/06/2026"/>
    <s v="M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6/06/2026"/>
    <s v="E"/>
    <s v="[1062] RAMGADH"/>
    <s v="[8403] MOHANIA"/>
    <x v="4"/>
    <x v="4"/>
    <x v="4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07/06/2026"/>
    <s v="M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7/06/2026"/>
    <s v="E"/>
    <s v="[1062] RAMGADH"/>
    <s v="[8403] MOHANIA"/>
    <x v="4"/>
    <x v="4"/>
    <x v="4"/>
    <s v="C"/>
    <n v="8"/>
    <n v="4.8"/>
    <n v="8.3000000000000007"/>
    <n v="0.38400000000000001"/>
    <n v="0.66400000000000003"/>
    <n v="43.091153700000007"/>
    <n v="344.72922960000005"/>
    <n v="417.01116483870976"/>
    <n v="278.00744322580653"/>
    <n v="6.0327615180000018"/>
    <n v="30"/>
    <n v="380.76199111800008"/>
    <n v="47.59524888975001"/>
    <n v="460.59918280403235"/>
    <n v="307.0661218693549"/>
  </r>
  <r>
    <s v="08/06/2026"/>
    <s v="M"/>
    <s v="[1062] RAMGADH"/>
    <s v="[8403] MOHANIA"/>
    <x v="4"/>
    <x v="4"/>
    <x v="4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08/06/2026"/>
    <s v="E"/>
    <s v="[1062] RAMGADH"/>
    <s v="[8403] MOHANIA"/>
    <x v="4"/>
    <x v="4"/>
    <x v="4"/>
    <s v="C"/>
    <n v="14"/>
    <n v="4.0999999999999996"/>
    <n v="8.1"/>
    <n v="0.57399999999999995"/>
    <n v="1.1339999999999999"/>
    <n v="39.6161259"/>
    <n v="554.62576260000003"/>
    <n v="417.01185157894736"/>
    <n v="278.00790105263155"/>
    <n v="9.7059508455000021"/>
    <n v="52.5"/>
    <n v="616.83171344549999"/>
    <n v="44.05940810325"/>
    <n v="463.78324319210526"/>
    <n v="309.18882879473682"/>
  </r>
  <r>
    <s v="09/06/2026"/>
    <s v="M"/>
    <s v="[1062] RAMGADH"/>
    <s v="[8403] MOHANIA"/>
    <x v="4"/>
    <x v="4"/>
    <x v="4"/>
    <s v="C"/>
    <n v="14"/>
    <n v="4.7"/>
    <n v="8.1999999999999993"/>
    <n v="0.65799999999999992"/>
    <n v="1.1479999999999999"/>
    <n v="42.3961398"/>
    <n v="593.54595719999998"/>
    <n v="417.01121114754102"/>
    <n v="278.00747409836066"/>
    <n v="10.387054251"/>
    <n v="52.5"/>
    <n v="656.43301145099997"/>
    <n v="46.888072246499995"/>
    <n v="461.19415324426228"/>
    <n v="307.46276882950821"/>
  </r>
  <r>
    <s v="09/06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0/06/2026"/>
    <s v="M"/>
    <s v="[1062] RAMGADH"/>
    <s v="[8403] MOHANIA"/>
    <x v="4"/>
    <x v="4"/>
    <x v="4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10/06/2026"/>
    <s v="E"/>
    <s v="[1062] RAMGADH"/>
    <s v="[8403] MOHANIA"/>
    <x v="4"/>
    <x v="4"/>
    <x v="4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1/06/2026"/>
    <s v="M"/>
    <s v="[1062] RAMGADH"/>
    <s v="[8403] MOHANIA"/>
    <x v="4"/>
    <x v="4"/>
    <x v="4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1/06/2026"/>
    <s v="E"/>
    <s v="[1062] RAMGADH"/>
    <s v="[8403] MOHANIA"/>
    <x v="4"/>
    <x v="4"/>
    <x v="4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06/06/2026"/>
    <s v="E"/>
    <s v="[1062] RAMGADH"/>
    <s v="[8404] CHANDESH"/>
    <x v="5"/>
    <x v="5"/>
    <x v="5"/>
    <s v="B"/>
    <n v="500"/>
    <n v="5.6"/>
    <n v="8.4"/>
    <n v="28"/>
    <n v="42"/>
    <n v="45.357199999999999"/>
    <n v="22678.6"/>
    <n v="404.97500000000002"/>
    <n v="269.98333333333335"/>
    <n v="396.87549999999999"/>
    <n v="1875"/>
    <n v="24950.4755"/>
    <n v="49.900950999999999"/>
    <n v="445.54420535714291"/>
    <n v="297.02947023809526"/>
  </r>
  <r>
    <s v="06/06/2026"/>
    <s v="E"/>
    <s v="[1062] RAMGADH"/>
    <s v="[8404] CHANDESH"/>
    <x v="5"/>
    <x v="5"/>
    <x v="5"/>
    <s v="C"/>
    <n v="200"/>
    <n v="4"/>
    <n v="8.3000000000000007"/>
    <n v="8"/>
    <n v="16.600000000000001"/>
    <n v="39.755153700000008"/>
    <n v="7951.030740000002"/>
    <n v="417.01210174825178"/>
    <n v="278.00806783216785"/>
    <n v="139.14303795000004"/>
    <n v="750"/>
    <n v="8840.1737779500017"/>
    <n v="44.200868889750012"/>
    <n v="463.64547786451061"/>
    <n v="309.09698524300705"/>
  </r>
  <r>
    <s v="08/06/2026"/>
    <s v="M"/>
    <s v="[1062] RAMGADH"/>
    <s v="[8404] CHANDESH"/>
    <x v="5"/>
    <x v="5"/>
    <x v="5"/>
    <s v="B"/>
    <n v="300"/>
    <n v="5.6"/>
    <n v="8.4"/>
    <n v="16.8"/>
    <n v="25.2"/>
    <n v="45.357199999999999"/>
    <n v="13607.16"/>
    <n v="404.97500000000002"/>
    <n v="269.98333333333335"/>
    <n v="238.12530000000001"/>
    <n v="1125"/>
    <n v="14970.2853"/>
    <n v="49.900950999999999"/>
    <n v="445.54420535714291"/>
    <n v="297.02947023809526"/>
  </r>
  <r>
    <s v="08/06/2026"/>
    <s v="M"/>
    <s v="[1062] RAMGADH"/>
    <s v="[8404] CHANDESH"/>
    <x v="5"/>
    <x v="5"/>
    <x v="5"/>
    <s v="C"/>
    <n v="100"/>
    <n v="4"/>
    <n v="8.5"/>
    <n v="4"/>
    <n v="8.5"/>
    <n v="40.311181500000004"/>
    <n v="4031.1181500000002"/>
    <n v="417.0122224137931"/>
    <n v="278.00814827586208"/>
    <n v="70.544567625000013"/>
    <n v="375"/>
    <n v="4476.6627176250004"/>
    <n v="44.766627176250005"/>
    <n v="463.10303975431032"/>
    <n v="308.7353598362069"/>
  </r>
  <r>
    <s v="08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8/06/2026"/>
    <s v="E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9/06/2026"/>
    <s v="E"/>
    <s v="[1062] RAMGADH"/>
    <s v="[8404] CHANDESH"/>
    <x v="5"/>
    <x v="5"/>
    <x v="5"/>
    <s v="B"/>
    <n v="1000"/>
    <n v="5.6"/>
    <n v="8.4"/>
    <n v="56"/>
    <n v="84"/>
    <n v="45.357199999999999"/>
    <n v="45357.2"/>
    <n v="404.97500000000002"/>
    <n v="269.98333333333335"/>
    <n v="793.75099999999998"/>
    <n v="3750"/>
    <n v="49900.951000000001"/>
    <n v="49.900950999999999"/>
    <n v="445.54420535714291"/>
    <n v="297.02947023809526"/>
  </r>
  <r>
    <s v="09/06/2026"/>
    <s v="E"/>
    <s v="[1062] RAMGADH"/>
    <s v="[8404] CHANDESH"/>
    <x v="5"/>
    <x v="5"/>
    <x v="5"/>
    <s v="C"/>
    <n v="300"/>
    <n v="4"/>
    <n v="8.5"/>
    <n v="12"/>
    <n v="25.5"/>
    <n v="40.311181500000004"/>
    <n v="12093.354450000001"/>
    <n v="417.0122224137931"/>
    <n v="278.00814827586208"/>
    <n v="211.63370287500004"/>
    <n v="1125"/>
    <n v="13429.988152875001"/>
    <n v="44.766627176250005"/>
    <n v="463.10303975431032"/>
    <n v="308.7353598362069"/>
  </r>
  <r>
    <s v="10/06/2026"/>
    <s v="M"/>
    <s v="[1062] RAMGADH"/>
    <s v="[8404] CHANDESH"/>
    <x v="5"/>
    <x v="5"/>
    <x v="5"/>
    <s v="B"/>
    <n v="800"/>
    <n v="5.6"/>
    <n v="8.4"/>
    <n v="44.8"/>
    <n v="67.2"/>
    <n v="45.357199999999999"/>
    <n v="36285.760000000002"/>
    <n v="404.97500000000002"/>
    <n v="269.98333333333335"/>
    <n v="635.00080000000014"/>
    <n v="3000"/>
    <n v="39920.760800000004"/>
    <n v="49.900951000000006"/>
    <n v="445.54420535714297"/>
    <n v="297.02947023809531"/>
  </r>
  <r>
    <s v="10/06/2026"/>
    <s v="M"/>
    <s v="[1062] RAMGADH"/>
    <s v="[8404] CHANDESH"/>
    <x v="5"/>
    <x v="5"/>
    <x v="5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10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0/06/2026"/>
    <s v="E"/>
    <s v="[1062] RAMGADH"/>
    <s v="[8404] CHANDESH"/>
    <x v="5"/>
    <x v="5"/>
    <x v="5"/>
    <s v="C"/>
    <n v="410"/>
    <n v="4"/>
    <n v="8.5"/>
    <n v="16.399999999999999"/>
    <n v="34.85"/>
    <n v="40.311181500000004"/>
    <n v="16527.584415000001"/>
    <n v="417.0122224137931"/>
    <n v="278.00814827586208"/>
    <n v="289.23272726250002"/>
    <n v="1537.5"/>
    <n v="18354.317142262502"/>
    <n v="44.766627176250005"/>
    <n v="463.10303975431032"/>
    <n v="308.7353598362069"/>
  </r>
  <r>
    <s v="11/06/2026"/>
    <s v="M"/>
    <s v="[1062] RAMGADH"/>
    <s v="[8404] CHANDESH"/>
    <x v="5"/>
    <x v="5"/>
    <x v="5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s v="11/06/2026"/>
    <s v="M"/>
    <s v="[1062] RAMGADH"/>
    <s v="[8404] CHANDESH"/>
    <x v="5"/>
    <x v="5"/>
    <x v="5"/>
    <s v="C"/>
    <n v="400"/>
    <n v="4"/>
    <n v="8.1"/>
    <n v="16"/>
    <n v="32.4"/>
    <n v="39.199125899999999"/>
    <n v="15679.65036"/>
    <n v="417.01197765957443"/>
    <n v="278.00798510638293"/>
    <n v="274.39388130000003"/>
    <n v="1500"/>
    <n v="17454.044241299998"/>
    <n v="43.635110603249998"/>
    <n v="464.20330428989359"/>
    <n v="309.46886952659571"/>
  </r>
  <r>
    <s v="11/06/2026"/>
    <s v="E"/>
    <s v="[1062] RAMGADH"/>
    <s v="[8404] CHANDESH"/>
    <x v="5"/>
    <x v="5"/>
    <x v="5"/>
    <s v="B"/>
    <n v="2000"/>
    <n v="5.6"/>
    <n v="8.4"/>
    <n v="112"/>
    <n v="168"/>
    <n v="45.357199999999999"/>
    <n v="90714.4"/>
    <n v="404.97500000000002"/>
    <n v="269.98333333333335"/>
    <n v="1587.502"/>
    <n v="7500"/>
    <n v="99801.902000000002"/>
    <n v="49.900950999999999"/>
    <n v="445.54420535714291"/>
    <n v="297.02947023809526"/>
  </r>
  <r>
    <s v="11/06/2026"/>
    <s v="E"/>
    <s v="[1062] RAMGADH"/>
    <s v="[8404] CHANDESH"/>
    <x v="5"/>
    <x v="5"/>
    <x v="5"/>
    <s v="C"/>
    <n v="400"/>
    <n v="4"/>
    <n v="8.1999999999999993"/>
    <n v="16"/>
    <n v="32.799999999999997"/>
    <n v="39.477139800000003"/>
    <n v="15790.855920000002"/>
    <n v="417.0120401408451"/>
    <n v="278.00802676056338"/>
    <n v="276.33997860000005"/>
    <n v="1500"/>
    <n v="17567.195898600003"/>
    <n v="43.917989746500005"/>
    <n v="463.92242689964797"/>
    <n v="309.28161793309863"/>
  </r>
  <r>
    <s v="09/06/2026"/>
    <s v="E"/>
    <s v="[1062] RAMGADH"/>
    <s v="[8405] RAMGADH"/>
    <x v="6"/>
    <x v="6"/>
    <x v="6"/>
    <s v="C"/>
    <n v="200"/>
    <n v="4"/>
    <n v="8.5"/>
    <n v="8"/>
    <n v="17"/>
    <n v="40.311181500000004"/>
    <n v="8062.2363000000005"/>
    <n v="417.0122224137931"/>
    <n v="278.00814827586208"/>
    <n v="141.08913525000003"/>
    <n v="750"/>
    <n v="8953.3254352500007"/>
    <n v="44.766627176250005"/>
    <n v="463.10303975431032"/>
    <n v="308.7353598362069"/>
  </r>
  <r>
    <s v="05/06/2026"/>
    <s v="M"/>
    <s v="[1062] RAMGADH"/>
    <s v="[8405] RAMGADH"/>
    <x v="7"/>
    <x v="7"/>
    <x v="7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5/06/2026"/>
    <s v="E"/>
    <s v="[1062] RAMGADH"/>
    <s v="[8405] RAMGADH"/>
    <x v="7"/>
    <x v="7"/>
    <x v="7"/>
    <s v="C"/>
    <n v="14"/>
    <n v="3.3"/>
    <n v="8.4"/>
    <n v="0.46199999999999997"/>
    <n v="1.1760000000000002"/>
    <n v="37.114167600000009"/>
    <n v="519.59834640000008"/>
    <n v="417.01311910112372"/>
    <n v="278.00874606741581"/>
    <n v="9.0929710620000019"/>
    <n v="52.5"/>
    <n v="581.19131746200014"/>
    <n v="41.513665533000008"/>
    <n v="466.4456801460675"/>
    <n v="310.96378676404498"/>
  </r>
  <r>
    <s v="06/06/2026"/>
    <s v="M"/>
    <s v="[1062] RAMGADH"/>
    <s v="[8405] RAMGADH"/>
    <x v="7"/>
    <x v="7"/>
    <x v="7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6/06/2026"/>
    <s v="E"/>
    <s v="[1062] RAMGADH"/>
    <s v="[8405] RAMGADH"/>
    <x v="7"/>
    <x v="7"/>
    <x v="7"/>
    <s v="C"/>
    <n v="9"/>
    <n v="3"/>
    <n v="8.1999999999999993"/>
    <n v="0.27"/>
    <n v="0.73799999999999999"/>
    <n v="35.307139800000002"/>
    <n v="317.76425820000003"/>
    <n v="417.01346220472442"/>
    <n v="278.00897480314961"/>
    <n v="5.5608745185000013"/>
    <n v="33.75"/>
    <n v="357.07513271850002"/>
    <n v="39.675014746500004"/>
    <n v="468.6025363759843"/>
    <n v="312.40169091732287"/>
  </r>
  <r>
    <s v="07/06/2026"/>
    <s v="M"/>
    <s v="[1062] RAMGADH"/>
    <s v="[8405] RAMGADH"/>
    <x v="7"/>
    <x v="7"/>
    <x v="7"/>
    <s v="C"/>
    <n v="12"/>
    <n v="3.8"/>
    <n v="8.4"/>
    <n v="0.45599999999999996"/>
    <n v="1.008"/>
    <n v="39.19916760000001"/>
    <n v="470.39001120000012"/>
    <n v="417.01242127659583"/>
    <n v="278.00828085106389"/>
    <n v="8.2318251960000026"/>
    <n v="45"/>
    <n v="523.62183639600016"/>
    <n v="43.635153033000016"/>
    <n v="464.20375567021296"/>
    <n v="309.46917044680862"/>
  </r>
  <r>
    <s v="07/06/2026"/>
    <s v="E"/>
    <s v="[1062] RAMGADH"/>
    <s v="[8405] RAMGADH"/>
    <x v="7"/>
    <x v="7"/>
    <x v="7"/>
    <s v="C"/>
    <n v="13"/>
    <n v="3.4"/>
    <n v="8"/>
    <n v="0.44199999999999995"/>
    <n v="1.04"/>
    <n v="36.419112000000005"/>
    <n v="473.44845600000008"/>
    <n v="417.01273282442747"/>
    <n v="278.00848854961833"/>
    <n v="8.2853479800000027"/>
    <n v="48.75"/>
    <n v="530.48380398000006"/>
    <n v="40.806446460000004"/>
    <n v="467.24938694656487"/>
    <n v="311.49959129770991"/>
  </r>
  <r>
    <s v="08/06/2026"/>
    <s v="M"/>
    <s v="[1062] RAMGADH"/>
    <s v="[8405] RAMGADH"/>
    <x v="7"/>
    <x v="7"/>
    <x v="7"/>
    <s v="C"/>
    <n v="9"/>
    <n v="4.7"/>
    <n v="8.4"/>
    <n v="0.42300000000000004"/>
    <n v="0.75600000000000012"/>
    <n v="42.95216760000001"/>
    <n v="386.56950840000007"/>
    <n v="417.01133592233015"/>
    <n v="278.00755728155343"/>
    <n v="6.764966397000002"/>
    <n v="33.75"/>
    <n v="427.0844747970001"/>
    <n v="47.453830533000009"/>
    <n v="460.71680129126219"/>
    <n v="307.14453419417481"/>
  </r>
  <r>
    <s v="08/06/2026"/>
    <s v="E"/>
    <s v="[1062] RAMGADH"/>
    <s v="[8405] RAMGADH"/>
    <x v="7"/>
    <x v="7"/>
    <x v="7"/>
    <s v="C"/>
    <n v="14"/>
    <n v="3.2"/>
    <n v="8.4"/>
    <n v="0.44800000000000006"/>
    <n v="1.1760000000000002"/>
    <n v="36.697167600000007"/>
    <n v="513.76034640000012"/>
    <n v="417.01326818181826"/>
    <n v="278.00884545454551"/>
    <n v="8.9908060620000025"/>
    <n v="52.5"/>
    <n v="575.25115246200016"/>
    <n v="41.089368033000014"/>
    <n v="466.92463673863654"/>
    <n v="311.28309115909104"/>
  </r>
  <r>
    <s v="09/06/2026"/>
    <s v="M"/>
    <s v="[1062] RAMGADH"/>
    <s v="[8405] RAMGADH"/>
    <x v="7"/>
    <x v="7"/>
    <x v="7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9/06/2026"/>
    <s v="E"/>
    <s v="[1062] RAMGADH"/>
    <s v="[8405] RAMGADH"/>
    <x v="7"/>
    <x v="7"/>
    <x v="7"/>
    <s v="C"/>
    <n v="13"/>
    <n v="3.5"/>
    <n v="8.4"/>
    <n v="0.45500000000000002"/>
    <n v="1.0920000000000001"/>
    <n v="37.948167600000005"/>
    <n v="493.32617880000009"/>
    <n v="417.01283076923085"/>
    <n v="278.00855384615392"/>
    <n v="8.6332081290000033"/>
    <n v="48.75"/>
    <n v="550.70938692900006"/>
    <n v="42.362260533000004"/>
    <n v="465.51934651648355"/>
    <n v="310.34623101098902"/>
  </r>
  <r>
    <s v="10/06/2026"/>
    <s v="M"/>
    <s v="[1062] RAMGADH"/>
    <s v="[8405] RAMGADH"/>
    <x v="7"/>
    <x v="7"/>
    <x v="7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10/06/2026"/>
    <s v="E"/>
    <s v="[1062] RAMGADH"/>
    <s v="[8405] RAMGADH"/>
    <x v="7"/>
    <x v="7"/>
    <x v="7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11/06/2026"/>
    <s v="M"/>
    <s v="[1062] RAMGADH"/>
    <s v="[8405] RAMGADH"/>
    <x v="7"/>
    <x v="7"/>
    <x v="7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11/06/2026"/>
    <s v="E"/>
    <s v="[1062] RAMGADH"/>
    <s v="[8405] RAMGADH"/>
    <x v="7"/>
    <x v="7"/>
    <x v="7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5/06/2026"/>
    <s v="M"/>
    <s v="[1062] RAMGADH"/>
    <s v="[8403] MOHANIA"/>
    <x v="8"/>
    <x v="8"/>
    <x v="8"/>
    <s v="C"/>
    <n v="36"/>
    <n v="3.7"/>
    <n v="8.1"/>
    <n v="1.3320000000000001"/>
    <n v="2.9159999999999995"/>
    <n v="37.948125900000008"/>
    <n v="1366.1325324000004"/>
    <n v="417.01237252747262"/>
    <n v="278.00824835164843"/>
    <n v="23.90731931700001"/>
    <n v="135"/>
    <n v="1525.0398517170004"/>
    <n v="42.362218103250008"/>
    <n v="465.51888025549459"/>
    <n v="310.34592017032975"/>
  </r>
  <r>
    <s v="05/06/2026"/>
    <s v="E"/>
    <s v="[1062] RAMGADH"/>
    <s v="[8403] MOHANIA"/>
    <x v="8"/>
    <x v="8"/>
    <x v="8"/>
    <s v="C"/>
    <n v="50"/>
    <n v="3.6"/>
    <n v="8.1"/>
    <n v="1.8"/>
    <n v="4.05"/>
    <n v="37.531125900000006"/>
    <n v="1876.5562950000003"/>
    <n v="417.01251000000008"/>
    <n v="278.00834000000003"/>
    <n v="32.839735162500006"/>
    <n v="187.5"/>
    <n v="2096.8960301625002"/>
    <n v="41.937920603250006"/>
    <n v="465.97689559166673"/>
    <n v="310.6512637277778"/>
  </r>
  <r>
    <s v="06/06/2026"/>
    <s v="M"/>
    <s v="[1062] RAMGADH"/>
    <s v="[8403] MOHANIA"/>
    <x v="8"/>
    <x v="8"/>
    <x v="8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06/06/2026"/>
    <s v="E"/>
    <s v="[1062] RAMGADH"/>
    <s v="[8403] MOHANIA"/>
    <x v="8"/>
    <x v="8"/>
    <x v="8"/>
    <s v="C"/>
    <n v="48"/>
    <n v="3.8"/>
    <n v="8.1"/>
    <n v="1.8239999999999998"/>
    <n v="3.8879999999999995"/>
    <n v="38.365125900000002"/>
    <n v="1841.5260432"/>
    <n v="417.01223804347831"/>
    <n v="278.00815869565218"/>
    <n v="32.226705756000001"/>
    <n v="180"/>
    <n v="2053.7527489559998"/>
    <n v="42.786515603249995"/>
    <n v="465.07082177445648"/>
    <n v="310.04721451630434"/>
  </r>
  <r>
    <s v="07/06/2026"/>
    <s v="M"/>
    <s v="[1062] RAMGADH"/>
    <s v="[8403] MOHANIA"/>
    <x v="8"/>
    <x v="8"/>
    <x v="8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07/06/2026"/>
    <s v="E"/>
    <s v="[1062] RAMGADH"/>
    <s v="[8403] MOHANIA"/>
    <x v="8"/>
    <x v="8"/>
    <x v="8"/>
    <s v="C"/>
    <n v="45"/>
    <n v="3.8"/>
    <n v="8.1"/>
    <n v="1.71"/>
    <n v="3.645"/>
    <n v="38.365125900000002"/>
    <n v="1726.4306655"/>
    <n v="417.01223804347831"/>
    <n v="278.00815869565218"/>
    <n v="30.212536646250005"/>
    <n v="168.75"/>
    <n v="1925.3932021462501"/>
    <n v="42.786515603250002"/>
    <n v="465.07082177445653"/>
    <n v="310.04721451630434"/>
  </r>
  <r>
    <s v="08/06/2026"/>
    <s v="M"/>
    <s v="[1062] RAMGADH"/>
    <s v="[8403] MOHANIA"/>
    <x v="8"/>
    <x v="8"/>
    <x v="8"/>
    <s v="C"/>
    <n v="43"/>
    <n v="3.9"/>
    <n v="8.1"/>
    <n v="1.6769999999999998"/>
    <n v="3.4830000000000001"/>
    <n v="38.782125900000004"/>
    <n v="1667.6314137000002"/>
    <n v="417.01210645161296"/>
    <n v="278.00807096774196"/>
    <n v="29.183549739750006"/>
    <n v="161.25"/>
    <n v="1858.06496343975"/>
    <n v="43.210813103250004"/>
    <n v="464.63239895967746"/>
    <n v="309.75493263978495"/>
  </r>
  <r>
    <s v="08/06/2026"/>
    <s v="E"/>
    <s v="[1062] RAMGADH"/>
    <s v="[8403] MOHANIA"/>
    <x v="8"/>
    <x v="8"/>
    <x v="8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9/06/2026"/>
    <s v="M"/>
    <s v="[1062] RAMGADH"/>
    <s v="[8403] MOHANIA"/>
    <x v="8"/>
    <x v="8"/>
    <x v="8"/>
    <s v="C"/>
    <n v="44"/>
    <n v="4"/>
    <n v="8.1"/>
    <n v="1.76"/>
    <n v="3.5639999999999996"/>
    <n v="39.199125899999999"/>
    <n v="1724.7615395999999"/>
    <n v="417.01197765957443"/>
    <n v="278.00798510638293"/>
    <n v="30.183326943000001"/>
    <n v="165"/>
    <n v="1919.944866543"/>
    <n v="43.635110603249998"/>
    <n v="464.20330428989359"/>
    <n v="309.46886952659571"/>
  </r>
  <r>
    <s v="09/06/2026"/>
    <s v="E"/>
    <s v="[1062] RAMGADH"/>
    <s v="[8403] MOHANIA"/>
    <x v="8"/>
    <x v="8"/>
    <x v="8"/>
    <s v="C"/>
    <n v="53"/>
    <n v="3.7"/>
    <n v="8.1"/>
    <n v="1.9610000000000003"/>
    <n v="4.2929999999999993"/>
    <n v="37.948125900000008"/>
    <n v="2011.2506727000005"/>
    <n v="417.01237252747262"/>
    <n v="278.00824835164843"/>
    <n v="35.196886772250011"/>
    <n v="198.75"/>
    <n v="2245.1975594722503"/>
    <n v="42.362218103250008"/>
    <n v="465.51888025549459"/>
    <n v="310.34592017032975"/>
  </r>
  <r>
    <s v="10/06/2026"/>
    <s v="M"/>
    <s v="[1062] RAMGADH"/>
    <s v="[8403] MOHANIA"/>
    <x v="8"/>
    <x v="8"/>
    <x v="8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0/06/2026"/>
    <s v="M"/>
    <s v="[1062] RAMGADH"/>
    <s v="[8403] MOHANIA"/>
    <x v="8"/>
    <x v="8"/>
    <x v="8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10/06/2026"/>
    <s v="E"/>
    <s v="[1062] RAMGADH"/>
    <s v="[8403] MOHANIA"/>
    <x v="8"/>
    <x v="8"/>
    <x v="8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0/06/2026"/>
    <s v="E"/>
    <s v="[1062] RAMGADH"/>
    <s v="[8403] MOHANIA"/>
    <x v="8"/>
    <x v="8"/>
    <x v="8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1/06/2026"/>
    <s v="M"/>
    <s v="[1062] RAMGADH"/>
    <s v="[8403] MOHANIA"/>
    <x v="8"/>
    <x v="8"/>
    <x v="8"/>
    <s v="C"/>
    <n v="46"/>
    <n v="3.8"/>
    <n v="8.1999999999999993"/>
    <n v="1.7479999999999998"/>
    <n v="3.7719999999999998"/>
    <n v="38.6431398"/>
    <n v="1777.5844308000001"/>
    <n v="417.01230000000004"/>
    <n v="278.00820000000004"/>
    <n v="31.107727539000003"/>
    <n v="172.5"/>
    <n v="1981.1921583390001"/>
    <n v="43.069394746500002"/>
    <n v="464.77764114928061"/>
    <n v="309.85176076618706"/>
  </r>
  <r>
    <s v="11/06/2026"/>
    <s v="E"/>
    <s v="[1062] RAMGADH"/>
    <s v="[8403] MOHANIA"/>
    <x v="8"/>
    <x v="8"/>
    <x v="8"/>
    <s v="C"/>
    <n v="51"/>
    <n v="3.7"/>
    <n v="8.1999999999999993"/>
    <n v="1.8870000000000002"/>
    <n v="4.1819999999999995"/>
    <n v="38.226139799999999"/>
    <n v="1949.5331297999999"/>
    <n v="417.01243418181815"/>
    <n v="278.00828945454543"/>
    <n v="34.116829771500001"/>
    <n v="191.25"/>
    <n v="2174.8999595714999"/>
    <n v="42.645097246500001"/>
    <n v="465.21924268909089"/>
    <n v="310.14616179272724"/>
  </r>
  <r>
    <s v="08/06/2026"/>
    <s v="E"/>
    <s v="[1062] RAMGADH"/>
    <s v="[8401] DURGAWATI"/>
    <x v="9"/>
    <x v="9"/>
    <x v="9"/>
    <s v="C"/>
    <n v="2570"/>
    <n v="4.8"/>
    <n v="8.5"/>
    <n v="123.36"/>
    <n v="218.45"/>
    <n v="43.647181500000002"/>
    <n v="112173.25645500001"/>
    <n v="417.0112882165605"/>
    <n v="278.00752547770702"/>
    <n v="1963.0319879625004"/>
    <n v="9637.5"/>
    <n v="123773.78844296251"/>
    <n v="48.161007176250003"/>
    <n v="460.13701123805731"/>
    <n v="306.75800749203819"/>
  </r>
  <r>
    <s v="11/06/2026"/>
    <s v="E"/>
    <s v="[1062] RAMGADH"/>
    <s v="[8401] DURGAWATI"/>
    <x v="9"/>
    <x v="9"/>
    <x v="9"/>
    <s v="C"/>
    <n v="2100"/>
    <n v="4.2"/>
    <n v="8.3000000000000007"/>
    <n v="88.2"/>
    <n v="174.3"/>
    <n v="40.589153700000004"/>
    <n v="85237.222770000008"/>
    <n v="417.01185308219181"/>
    <n v="278.00790205479456"/>
    <n v="1491.6513984750002"/>
    <n v="7875"/>
    <n v="94603.874168475013"/>
    <n v="45.049463889750008"/>
    <n v="462.83695777140417"/>
    <n v="308.5579718476028"/>
  </r>
  <r>
    <s v="05/06/2026"/>
    <s v="M"/>
    <s v="[1062] RAMGADH"/>
    <s v="[8402] RAMPUR"/>
    <x v="10"/>
    <x v="10"/>
    <x v="10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6/06/2026"/>
    <s v="E"/>
    <s v="[1062] RAMGADH"/>
    <s v="[8402] RAMPUR"/>
    <x v="10"/>
    <x v="10"/>
    <x v="10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06/06/2026"/>
    <s v="E"/>
    <s v="[1062] RAMGADH"/>
    <s v="[8402] RAMPUR"/>
    <x v="10"/>
    <x v="10"/>
    <x v="10"/>
    <s v="C"/>
    <n v="9"/>
    <n v="4.5"/>
    <n v="8.1"/>
    <n v="0.40500000000000003"/>
    <n v="0.72899999999999987"/>
    <n v="41.284125900000006"/>
    <n v="371.55713310000004"/>
    <n v="417.01137272727277"/>
    <n v="278.00758181818185"/>
    <n v="6.5022498292500011"/>
    <n v="33.75"/>
    <n v="411.80938292925003"/>
    <n v="45.756598103250006"/>
    <n v="462.18785962878792"/>
    <n v="308.12523975252526"/>
  </r>
  <r>
    <s v="07/06/2026"/>
    <s v="M"/>
    <s v="[1062] RAMGADH"/>
    <s v="[8402] RAMPUR"/>
    <x v="10"/>
    <x v="10"/>
    <x v="10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7/06/2026"/>
    <s v="E"/>
    <s v="[1062] RAMGADH"/>
    <s v="[8402] RAMPUR"/>
    <x v="10"/>
    <x v="10"/>
    <x v="10"/>
    <s v="B"/>
    <n v="13"/>
    <n v="7.3"/>
    <n v="8.8000000000000007"/>
    <n v="0.94899999999999995"/>
    <n v="1.1440000000000001"/>
    <n v="60.34545"/>
    <n v="784.49085000000002"/>
    <n v="458.31987341772157"/>
    <n v="305.54658227848103"/>
    <n v="13.728589875000001"/>
    <n v="48.75"/>
    <n v="846.96943987500003"/>
    <n v="65.151495374999996"/>
    <n v="494.82148386075949"/>
    <n v="329.88098924050632"/>
  </r>
  <r>
    <s v="07/06/2026"/>
    <s v="E"/>
    <s v="[1062] RAMGADH"/>
    <s v="[8402] RAMPUR"/>
    <x v="10"/>
    <x v="10"/>
    <x v="10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8/06/2026"/>
    <s v="E"/>
    <s v="[1062] RAMGADH"/>
    <s v="[8402] RAMPUR"/>
    <x v="10"/>
    <x v="10"/>
    <x v="10"/>
    <s v="B"/>
    <n v="18"/>
    <n v="5.8"/>
    <n v="8.6999999999999993"/>
    <n v="1.0439999999999998"/>
    <n v="1.5659999999999998"/>
    <n v="47.461399999999998"/>
    <n v="854.30520000000001"/>
    <n v="409.15000000000003"/>
    <n v="272.76666666666671"/>
    <n v="14.950341000000002"/>
    <n v="67.5"/>
    <n v="936.75554099999999"/>
    <n v="52.041974500000002"/>
    <n v="448.6377112068966"/>
    <n v="299.09180747126442"/>
  </r>
  <r>
    <s v="09/06/2026"/>
    <s v="M"/>
    <s v="[1062] RAMGADH"/>
    <s v="[8402] RAMPUR"/>
    <x v="10"/>
    <x v="10"/>
    <x v="10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09/06/2026"/>
    <s v="E"/>
    <s v="[1062] RAMGADH"/>
    <s v="[8402] RAMPUR"/>
    <x v="10"/>
    <x v="10"/>
    <x v="10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09/06/2026"/>
    <s v="E"/>
    <s v="[1062] RAMGADH"/>
    <s v="[8402] RAMPUR"/>
    <x v="10"/>
    <x v="10"/>
    <x v="10"/>
    <s v="C"/>
    <n v="9"/>
    <n v="4.7"/>
    <n v="8.1999999999999993"/>
    <n v="0.42300000000000004"/>
    <n v="0.73799999999999999"/>
    <n v="42.3961398"/>
    <n v="381.56525820000002"/>
    <n v="417.01121114754102"/>
    <n v="278.00747409836066"/>
    <n v="6.6773920185000009"/>
    <n v="33.75"/>
    <n v="421.99265021849999"/>
    <n v="46.888072246500002"/>
    <n v="461.19415324426234"/>
    <n v="307.46276882950821"/>
  </r>
  <r>
    <s v="10/06/2026"/>
    <s v="M"/>
    <s v="[1062] RAMGADH"/>
    <s v="[8402] RAMPUR"/>
    <x v="10"/>
    <x v="10"/>
    <x v="10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10/06/2026"/>
    <s v="E"/>
    <s v="[1062] RAMGADH"/>
    <s v="[8402] RAMPUR"/>
    <x v="10"/>
    <x v="10"/>
    <x v="10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10/06/2026"/>
    <s v="E"/>
    <s v="[1062] RAMGADH"/>
    <s v="[8402] RAMPUR"/>
    <x v="10"/>
    <x v="10"/>
    <x v="10"/>
    <s v="C"/>
    <n v="7"/>
    <n v="5.2"/>
    <n v="8.3000000000000007"/>
    <n v="0.36399999999999999"/>
    <n v="0.58100000000000007"/>
    <n v="44.759153700000006"/>
    <n v="313.31407590000003"/>
    <n v="417.01074875776402"/>
    <n v="278.00716583850937"/>
    <n v="5.4829963282500014"/>
    <n v="26.25"/>
    <n v="345.04707222825004"/>
    <n v="49.292438889750009"/>
    <n v="459.24632505978269"/>
    <n v="306.16421670652181"/>
  </r>
  <r>
    <s v="11/06/2026"/>
    <s v="M"/>
    <s v="[1062] RAMGADH"/>
    <s v="[8402] RAMPUR"/>
    <x v="10"/>
    <x v="10"/>
    <x v="10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11/06/2026"/>
    <s v="E"/>
    <s v="[1062] RAMGADH"/>
    <s v="[8402] RAMPUR"/>
    <x v="10"/>
    <x v="10"/>
    <x v="10"/>
    <s v="B"/>
    <n v="15"/>
    <n v="5.7"/>
    <n v="8.5"/>
    <n v="0.85499999999999998"/>
    <n v="1.2749999999999999"/>
    <n v="46.167149999999999"/>
    <n v="692.50725"/>
    <n v="406.16260997067451"/>
    <n v="270.77507331378303"/>
    <n v="12.118876875000002"/>
    <n v="56.25"/>
    <n v="760.87612687499995"/>
    <n v="50.725075124999996"/>
    <n v="446.2616579912023"/>
    <n v="297.50777199413488"/>
  </r>
  <r>
    <s v="05/06/2026"/>
    <s v="M"/>
    <s v="[1062] RAMGADH"/>
    <s v="[8404] CHANDESH"/>
    <x v="11"/>
    <x v="11"/>
    <x v="11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05/06/2026"/>
    <s v="M"/>
    <s v="[1062] RAMGADH"/>
    <s v="[8404] CHANDESH"/>
    <x v="11"/>
    <x v="11"/>
    <x v="11"/>
    <s v="C"/>
    <n v="72"/>
    <n v="3.5"/>
    <n v="8"/>
    <n v="2.52"/>
    <n v="5.76"/>
    <n v="36.836112000000007"/>
    <n v="2652.2000640000006"/>
    <n v="417.01258867924531"/>
    <n v="278.00839245283021"/>
    <n v="46.413501120000014"/>
    <n v="270"/>
    <n v="2968.6135651200007"/>
    <n v="41.230743960000012"/>
    <n v="466.76313916981138"/>
    <n v="311.17542611320761"/>
  </r>
  <r>
    <s v="05/06/2026"/>
    <s v="E"/>
    <s v="[1062] RAMGADH"/>
    <s v="[8404] CHANDESH"/>
    <x v="11"/>
    <x v="11"/>
    <x v="11"/>
    <s v="B"/>
    <n v="19"/>
    <n v="5.6"/>
    <n v="8.5"/>
    <n v="1.0639999999999998"/>
    <n v="1.615"/>
    <n v="45.357199999999999"/>
    <n v="861.78679999999997"/>
    <n v="402.57869822485208"/>
    <n v="268.38579881656807"/>
    <n v="15.081269000000001"/>
    <n v="71.25"/>
    <n v="948.11806899999999"/>
    <n v="49.900950999999999"/>
    <n v="442.90784911242605"/>
    <n v="295.27189940828401"/>
  </r>
  <r>
    <s v="05/06/2026"/>
    <s v="E"/>
    <s v="[1062] RAMGADH"/>
    <s v="[8404] CHANDESH"/>
    <x v="11"/>
    <x v="11"/>
    <x v="11"/>
    <s v="C"/>
    <n v="66"/>
    <n v="3.4"/>
    <n v="8"/>
    <n v="2.2440000000000002"/>
    <n v="5.28"/>
    <n v="36.419112000000005"/>
    <n v="2403.6613920000004"/>
    <n v="417.01273282442747"/>
    <n v="278.00848854961833"/>
    <n v="42.064074360000014"/>
    <n v="247.5"/>
    <n v="2693.2254663600006"/>
    <n v="40.806446460000011"/>
    <n v="467.24938694656493"/>
    <n v="311.49959129770997"/>
  </r>
  <r>
    <s v="06/06/2026"/>
    <s v="M"/>
    <s v="[1062] RAMGADH"/>
    <s v="[8404] CHANDESH"/>
    <x v="11"/>
    <x v="11"/>
    <x v="11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06/06/2026"/>
    <s v="M"/>
    <s v="[1062] RAMGADH"/>
    <s v="[8404] CHANDESH"/>
    <x v="11"/>
    <x v="11"/>
    <x v="11"/>
    <s v="C"/>
    <n v="74"/>
    <n v="3.4"/>
    <n v="8"/>
    <n v="2.516"/>
    <n v="5.92"/>
    <n v="36.419112000000005"/>
    <n v="2695.0142880000003"/>
    <n v="417.01273282442747"/>
    <n v="278.00848854961833"/>
    <n v="47.162750040000013"/>
    <n v="277.5"/>
    <n v="3019.6770380400003"/>
    <n v="40.806446460000004"/>
    <n v="467.24938694656487"/>
    <n v="311.49959129770991"/>
  </r>
  <r>
    <s v="06/06/2026"/>
    <s v="E"/>
    <s v="[1062] RAMGADH"/>
    <s v="[8404] CHANDESH"/>
    <x v="11"/>
    <x v="11"/>
    <x v="11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6/06/2026"/>
    <s v="E"/>
    <s v="[1062] RAMGADH"/>
    <s v="[8404] CHANDESH"/>
    <x v="11"/>
    <x v="11"/>
    <x v="11"/>
    <s v="C"/>
    <n v="66"/>
    <n v="4"/>
    <n v="8.1"/>
    <n v="2.64"/>
    <n v="5.3460000000000001"/>
    <n v="39.199125899999999"/>
    <n v="2587.1423093999997"/>
    <n v="417.01197765957443"/>
    <n v="278.00798510638293"/>
    <n v="45.274990414499996"/>
    <n v="247.5"/>
    <n v="2879.9172998144995"/>
    <n v="43.635110603249991"/>
    <n v="464.20330428989354"/>
    <n v="309.46886952659571"/>
  </r>
  <r>
    <s v="07/06/2026"/>
    <s v="M"/>
    <s v="[1062] RAMGADH"/>
    <s v="[8404] CHANDESH"/>
    <x v="11"/>
    <x v="11"/>
    <x v="11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07/06/2026"/>
    <s v="M"/>
    <s v="[1062] RAMGADH"/>
    <s v="[8404] CHANDESH"/>
    <x v="11"/>
    <x v="11"/>
    <x v="11"/>
    <s v="C"/>
    <n v="59"/>
    <n v="3.6"/>
    <n v="8.1999999999999993"/>
    <n v="2.1240000000000001"/>
    <n v="4.8379999999999992"/>
    <n v="37.809139800000004"/>
    <n v="2230.7392482"/>
    <n v="417.01257132352941"/>
    <n v="278.00838088235292"/>
    <n v="39.037936843500006"/>
    <n v="221.25"/>
    <n v="2491.0271850435001"/>
    <n v="42.220799746499999"/>
    <n v="465.6705854393382"/>
    <n v="310.44705695955878"/>
  </r>
  <r>
    <s v="07/06/2026"/>
    <s v="E"/>
    <s v="[1062] RAMGADH"/>
    <s v="[8404] CHANDESH"/>
    <x v="11"/>
    <x v="11"/>
    <x v="11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07/06/2026"/>
    <s v="E"/>
    <s v="[1062] RAMGADH"/>
    <s v="[8404] CHANDESH"/>
    <x v="11"/>
    <x v="11"/>
    <x v="11"/>
    <s v="C"/>
    <n v="54"/>
    <n v="3.7"/>
    <n v="8.1999999999999993"/>
    <n v="1.9980000000000002"/>
    <n v="4.4279999999999999"/>
    <n v="38.226139799999999"/>
    <n v="2064.2115491999998"/>
    <n v="417.01243418181815"/>
    <n v="278.00828945454543"/>
    <n v="36.123702111"/>
    <n v="202.5"/>
    <n v="2302.8352513109999"/>
    <n v="42.645097246500001"/>
    <n v="465.21924268909089"/>
    <n v="310.14616179272724"/>
  </r>
  <r>
    <s v="08/06/2026"/>
    <s v="M"/>
    <s v="[1062] RAMGADH"/>
    <s v="[8404] CHANDESH"/>
    <x v="11"/>
    <x v="11"/>
    <x v="11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08/06/2026"/>
    <s v="M"/>
    <s v="[1062] RAMGADH"/>
    <s v="[8404] CHANDESH"/>
    <x v="11"/>
    <x v="11"/>
    <x v="11"/>
    <s v="C"/>
    <n v="68"/>
    <n v="3.6"/>
    <n v="8.1999999999999993"/>
    <n v="2.448"/>
    <n v="5.5759999999999987"/>
    <n v="37.809139800000004"/>
    <n v="2571.0215064000004"/>
    <n v="417.01257132352941"/>
    <n v="278.00838088235292"/>
    <n v="44.992876362000011"/>
    <n v="255"/>
    <n v="2871.0143827620004"/>
    <n v="42.220799746500006"/>
    <n v="465.67058543933825"/>
    <n v="310.44705695955884"/>
  </r>
  <r>
    <s v="08/06/2026"/>
    <s v="E"/>
    <s v="[1062] RAMGADH"/>
    <s v="[8404] CHANDESH"/>
    <x v="11"/>
    <x v="11"/>
    <x v="11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8/06/2026"/>
    <s v="E"/>
    <s v="[1062] RAMGADH"/>
    <s v="[8404] CHANDESH"/>
    <x v="11"/>
    <x v="11"/>
    <x v="11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9/06/2026"/>
    <s v="M"/>
    <s v="[1062] RAMGADH"/>
    <s v="[8404] CHANDESH"/>
    <x v="11"/>
    <x v="11"/>
    <x v="11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09/06/2026"/>
    <s v="M"/>
    <s v="[1062] RAMGADH"/>
    <s v="[8404] CHANDESH"/>
    <x v="11"/>
    <x v="11"/>
    <x v="11"/>
    <s v="C"/>
    <n v="59"/>
    <n v="4"/>
    <n v="8.1999999999999993"/>
    <n v="2.36"/>
    <n v="4.8379999999999992"/>
    <n v="39.477139800000003"/>
    <n v="2329.1512482000003"/>
    <n v="417.0120401408451"/>
    <n v="278.00802676056338"/>
    <n v="40.76014684350001"/>
    <n v="221.25"/>
    <n v="2591.1613950435003"/>
    <n v="43.917989746500005"/>
    <n v="463.92242689964797"/>
    <n v="309.28161793309863"/>
  </r>
  <r>
    <s v="09/06/2026"/>
    <s v="E"/>
    <s v="[1062] RAMGADH"/>
    <s v="[8404] CHANDESH"/>
    <x v="11"/>
    <x v="11"/>
    <x v="11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09/06/2026"/>
    <s v="E"/>
    <s v="[1062] RAMGADH"/>
    <s v="[8404] CHANDESH"/>
    <x v="11"/>
    <x v="11"/>
    <x v="11"/>
    <s v="C"/>
    <n v="56"/>
    <n v="3.7"/>
    <n v="8.4"/>
    <n v="2.0720000000000001"/>
    <n v="4.7040000000000006"/>
    <n v="38.782167600000008"/>
    <n v="2171.8013856000007"/>
    <n v="417.01255483870978"/>
    <n v="278.00836989247318"/>
    <n v="38.006524248000012"/>
    <n v="210"/>
    <n v="2419.8079098480007"/>
    <n v="43.210855533000014"/>
    <n v="464.63285519354855"/>
    <n v="309.75523679569903"/>
  </r>
  <r>
    <s v="10/06/2026"/>
    <s v="M"/>
    <s v="[1062] RAMGADH"/>
    <s v="[8404] CHANDESH"/>
    <x v="11"/>
    <x v="11"/>
    <x v="11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0/06/2026"/>
    <s v="M"/>
    <s v="[1062] RAMGADH"/>
    <s v="[8404] CHANDESH"/>
    <x v="11"/>
    <x v="11"/>
    <x v="11"/>
    <s v="C"/>
    <n v="73"/>
    <n v="3.7"/>
    <n v="8.1"/>
    <n v="2.7010000000000001"/>
    <n v="5.9129999999999994"/>
    <n v="37.948125900000008"/>
    <n v="2770.2131907000007"/>
    <n v="417.01237252747262"/>
    <n v="278.00824835164843"/>
    <n v="48.478730837250019"/>
    <n v="273.75"/>
    <n v="3092.4419215372509"/>
    <n v="42.362218103250015"/>
    <n v="465.51888025549471"/>
    <n v="310.3459201703298"/>
  </r>
  <r>
    <s v="10/06/2026"/>
    <s v="E"/>
    <s v="[1062] RAMGADH"/>
    <s v="[8404] CHANDESH"/>
    <x v="11"/>
    <x v="11"/>
    <x v="11"/>
    <s v="B"/>
    <n v="6"/>
    <n v="6.2"/>
    <n v="9"/>
    <n v="0.37200000000000005"/>
    <n v="0.54"/>
    <n v="51.77"/>
    <n v="310.62"/>
    <n v="424.34426229508199"/>
    <n v="282.89617486338801"/>
    <n v="5.4358500000000003"/>
    <n v="22.5"/>
    <n v="338.55585000000002"/>
    <n v="56.425975000000001"/>
    <n v="462.50799180327868"/>
    <n v="308.33866120218579"/>
  </r>
  <r>
    <s v="10/06/2026"/>
    <s v="E"/>
    <s v="[1062] RAMGADH"/>
    <s v="[8404] CHANDESH"/>
    <x v="11"/>
    <x v="11"/>
    <x v="11"/>
    <s v="C"/>
    <n v="52"/>
    <n v="3.4"/>
    <n v="8"/>
    <n v="1.7679999999999998"/>
    <n v="4.16"/>
    <n v="36.419112000000005"/>
    <n v="1893.7938240000003"/>
    <n v="417.01273282442747"/>
    <n v="278.00848854961833"/>
    <n v="33.141391920000011"/>
    <n v="195"/>
    <n v="2121.9352159200002"/>
    <n v="40.806446460000004"/>
    <n v="467.24938694656487"/>
    <n v="311.49959129770991"/>
  </r>
  <r>
    <s v="11/06/2026"/>
    <s v="M"/>
    <s v="[1062] RAMGADH"/>
    <s v="[8404] CHANDESH"/>
    <x v="11"/>
    <x v="11"/>
    <x v="11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11/06/2026"/>
    <s v="M"/>
    <s v="[1062] RAMGADH"/>
    <s v="[8404] CHANDESH"/>
    <x v="11"/>
    <x v="11"/>
    <x v="11"/>
    <s v="C"/>
    <n v="72"/>
    <n v="3.7"/>
    <n v="8.1999999999999993"/>
    <n v="2.6640000000000001"/>
    <n v="5.9039999999999999"/>
    <n v="38.226139799999999"/>
    <n v="2752.2820655999999"/>
    <n v="417.01243418181815"/>
    <n v="278.00828945454543"/>
    <n v="48.164936148000002"/>
    <n v="270"/>
    <n v="3070.4470017479998"/>
    <n v="42.645097246500001"/>
    <n v="465.21924268909089"/>
    <n v="310.14616179272724"/>
  </r>
  <r>
    <s v="11/06/2026"/>
    <s v="E"/>
    <s v="[1062] RAMGADH"/>
    <s v="[8404] CHANDESH"/>
    <x v="11"/>
    <x v="11"/>
    <x v="11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11/06/2026"/>
    <s v="E"/>
    <s v="[1062] RAMGADH"/>
    <s v="[8404] CHANDESH"/>
    <x v="11"/>
    <x v="11"/>
    <x v="11"/>
    <s v="C"/>
    <n v="57"/>
    <n v="3.8"/>
    <n v="8.4"/>
    <n v="2.1659999999999999"/>
    <n v="4.7880000000000003"/>
    <n v="39.19916760000001"/>
    <n v="2234.3525532000003"/>
    <n v="417.01242127659583"/>
    <n v="278.00828085106389"/>
    <n v="39.101169681000009"/>
    <n v="213.75"/>
    <n v="2487.2037228810004"/>
    <n v="43.635153033000009"/>
    <n v="464.20375567021284"/>
    <n v="309.46917044680856"/>
  </r>
  <r>
    <s v="05/06/2026"/>
    <s v="M"/>
    <s v="[1062] RAMGADH"/>
    <s v="[8402] RAMPUR"/>
    <x v="12"/>
    <x v="12"/>
    <x v="1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6/06/2026"/>
    <s v="M"/>
    <s v="[1062] RAMGADH"/>
    <s v="[8402] RAMPUR"/>
    <x v="12"/>
    <x v="12"/>
    <x v="1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7/06/2026"/>
    <s v="M"/>
    <s v="[1062] RAMGADH"/>
    <s v="[8402] RAMPUR"/>
    <x v="12"/>
    <x v="12"/>
    <x v="1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8/06/2026"/>
    <s v="M"/>
    <s v="[1062] RAMGADH"/>
    <s v="[8402] RAMPUR"/>
    <x v="12"/>
    <x v="12"/>
    <x v="1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9/06/2026"/>
    <s v="M"/>
    <s v="[1062] RAMGADH"/>
    <s v="[8402] RAMPUR"/>
    <x v="12"/>
    <x v="12"/>
    <x v="12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0/06/2026"/>
    <s v="M"/>
    <s v="[1062] RAMGADH"/>
    <s v="[8402] RAMPUR"/>
    <x v="12"/>
    <x v="12"/>
    <x v="12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1/06/2026"/>
    <s v="M"/>
    <s v="[1062] RAMGADH"/>
    <s v="[8402] RAMPUR"/>
    <x v="12"/>
    <x v="12"/>
    <x v="1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6/2026"/>
    <s v="M"/>
    <s v="[1062] RAMGADH"/>
    <s v="[8403] MOHANIA"/>
    <x v="13"/>
    <x v="13"/>
    <x v="13"/>
    <s v="C"/>
    <n v="23"/>
    <n v="3.5"/>
    <n v="8"/>
    <n v="0.80500000000000005"/>
    <n v="1.84"/>
    <n v="36.836112000000007"/>
    <n v="847.23057600000016"/>
    <n v="417.01258867924531"/>
    <n v="278.00839245283021"/>
    <n v="14.826535080000005"/>
    <n v="86.25"/>
    <n v="948.30711108000014"/>
    <n v="41.230743960000005"/>
    <n v="466.76313916981132"/>
    <n v="311.17542611320755"/>
  </r>
  <r>
    <s v="05/06/2026"/>
    <s v="E"/>
    <s v="[1062] RAMGADH"/>
    <s v="[8403] MOHANIA"/>
    <x v="13"/>
    <x v="13"/>
    <x v="13"/>
    <s v="C"/>
    <n v="10"/>
    <n v="3.1"/>
    <n v="8"/>
    <n v="0.31"/>
    <n v="0.8"/>
    <n v="35.168112000000008"/>
    <n v="351.68112000000008"/>
    <n v="417.01318577075102"/>
    <n v="278.00879051383401"/>
    <n v="6.1544196000000015"/>
    <n v="37.5"/>
    <n v="395.33553960000006"/>
    <n v="39.533553960000006"/>
    <n v="468.77731968379447"/>
    <n v="312.51821312252963"/>
  </r>
  <r>
    <s v="06/06/2026"/>
    <s v="M"/>
    <s v="[1062] RAMGADH"/>
    <s v="[8403] MOHANIA"/>
    <x v="13"/>
    <x v="13"/>
    <x v="13"/>
    <s v="C"/>
    <n v="20"/>
    <n v="4"/>
    <n v="8"/>
    <n v="0.8"/>
    <n v="1.6"/>
    <n v="38.921112000000008"/>
    <n v="778.4222400000001"/>
    <n v="417.01191428571434"/>
    <n v="278.00794285714289"/>
    <n v="13.622389200000002"/>
    <n v="75"/>
    <n v="867.04462920000014"/>
    <n v="43.352231460000006"/>
    <n v="464.48819421428578"/>
    <n v="309.65879614285717"/>
  </r>
  <r>
    <s v="06/06/2026"/>
    <s v="E"/>
    <s v="[1062] RAMGADH"/>
    <s v="[8403] MOHANIA"/>
    <x v="13"/>
    <x v="13"/>
    <x v="13"/>
    <s v="C"/>
    <n v="11"/>
    <n v="3.3"/>
    <n v="8"/>
    <n v="0.36299999999999999"/>
    <n v="0.88"/>
    <n v="36.002112000000004"/>
    <n v="396.02323200000006"/>
    <n v="417.01288030888031"/>
    <n v="278.00858687258687"/>
    <n v="6.9304065600000015"/>
    <n v="41.25"/>
    <n v="444.20363856000006"/>
    <n v="40.382148960000002"/>
    <n v="467.74689915057911"/>
    <n v="311.83126610038607"/>
  </r>
  <r>
    <s v="07/06/2026"/>
    <s v="M"/>
    <s v="[1062] RAMGADH"/>
    <s v="[8403] MOHANIA"/>
    <x v="13"/>
    <x v="13"/>
    <x v="13"/>
    <s v="C"/>
    <n v="21"/>
    <n v="3.9"/>
    <n v="8"/>
    <n v="0.81899999999999995"/>
    <n v="1.68"/>
    <n v="38.504112000000006"/>
    <n v="808.58635200000015"/>
    <n v="417.0120433212997"/>
    <n v="278.00802888086645"/>
    <n v="14.150261160000005"/>
    <n v="78.75"/>
    <n v="901.48661316000016"/>
    <n v="42.927933960000004"/>
    <n v="464.92347249097475"/>
    <n v="309.94898166064985"/>
  </r>
  <r>
    <s v="07/06/2026"/>
    <s v="E"/>
    <s v="[1062] RAMGADH"/>
    <s v="[8403] MOHANIA"/>
    <x v="13"/>
    <x v="13"/>
    <x v="13"/>
    <s v="C"/>
    <n v="12"/>
    <n v="3.4"/>
    <n v="8"/>
    <n v="0.40799999999999997"/>
    <n v="0.96"/>
    <n v="36.419112000000005"/>
    <n v="437.02934400000004"/>
    <n v="417.01273282442747"/>
    <n v="278.00848854961833"/>
    <n v="7.648013520000001"/>
    <n v="45"/>
    <n v="489.67735752000004"/>
    <n v="40.806446460000004"/>
    <n v="467.24938694656487"/>
    <n v="311.49959129770991"/>
  </r>
  <r>
    <s v="08/06/2026"/>
    <s v="M"/>
    <s v="[1062] RAMGADH"/>
    <s v="[8403] MOHANIA"/>
    <x v="13"/>
    <x v="13"/>
    <x v="13"/>
    <s v="C"/>
    <n v="24"/>
    <n v="3.9"/>
    <n v="8"/>
    <n v="0.93599999999999994"/>
    <n v="1.92"/>
    <n v="38.504112000000006"/>
    <n v="924.09868800000015"/>
    <n v="417.0120433212997"/>
    <n v="278.00802888086645"/>
    <n v="16.171727040000004"/>
    <n v="90"/>
    <n v="1030.2704150400002"/>
    <n v="42.927933960000011"/>
    <n v="464.92347249097486"/>
    <n v="309.94898166064991"/>
  </r>
  <r>
    <s v="08/06/2026"/>
    <s v="E"/>
    <s v="[1062] RAMGADH"/>
    <s v="[8403] MOHANIA"/>
    <x v="13"/>
    <x v="13"/>
    <x v="13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09/06/2026"/>
    <s v="M"/>
    <s v="[1062] RAMGADH"/>
    <s v="[8403] MOHANIA"/>
    <x v="13"/>
    <x v="13"/>
    <x v="13"/>
    <s v="C"/>
    <n v="25"/>
    <n v="4.0999999999999996"/>
    <n v="8.1"/>
    <n v="1.0249999999999999"/>
    <n v="2.0249999999999999"/>
    <n v="39.6161259"/>
    <n v="990.40314750000005"/>
    <n v="417.01185157894736"/>
    <n v="278.00790105263155"/>
    <n v="17.332055081250001"/>
    <n v="93.75"/>
    <n v="1101.48520258125"/>
    <n v="44.05940810325"/>
    <n v="463.78324319210526"/>
    <n v="309.18882879473682"/>
  </r>
  <r>
    <s v="09/06/2026"/>
    <s v="E"/>
    <s v="[1062] RAMGADH"/>
    <s v="[8403] MOHANIA"/>
    <x v="13"/>
    <x v="13"/>
    <x v="13"/>
    <s v="C"/>
    <n v="11"/>
    <n v="3"/>
    <n v="8.1"/>
    <n v="0.33"/>
    <n v="0.8909999999999999"/>
    <n v="35.029125900000004"/>
    <n v="385.32038490000002"/>
    <n v="417.01340357142868"/>
    <n v="278.00893571428577"/>
    <n v="6.7431067357500014"/>
    <n v="41.25"/>
    <n v="433.31349163575004"/>
    <n v="39.392135603250004"/>
    <n v="468.9539952767858"/>
    <n v="312.63599685119055"/>
  </r>
  <r>
    <s v="10/06/2026"/>
    <s v="M"/>
    <s v="[1062] RAMGADH"/>
    <s v="[8403] MOHANIA"/>
    <x v="13"/>
    <x v="13"/>
    <x v="13"/>
    <s v="C"/>
    <n v="32"/>
    <n v="4.5"/>
    <n v="8.1"/>
    <n v="1.44"/>
    <n v="2.5920000000000001"/>
    <n v="41.284125900000006"/>
    <n v="1321.0920288000002"/>
    <n v="417.01137272727277"/>
    <n v="278.00758181818185"/>
    <n v="23.119110504000005"/>
    <n v="120"/>
    <n v="1464.2111393040002"/>
    <n v="45.756598103250006"/>
    <n v="462.18785962878792"/>
    <n v="308.12523975252526"/>
  </r>
  <r>
    <s v="10/06/2026"/>
    <s v="E"/>
    <s v="[1062] RAMGADH"/>
    <s v="[8403] MOHANIA"/>
    <x v="13"/>
    <x v="13"/>
    <x v="13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11/06/2026"/>
    <s v="M"/>
    <s v="[1062] RAMGADH"/>
    <s v="[8403] MOHANIA"/>
    <x v="13"/>
    <x v="13"/>
    <x v="13"/>
    <s v="C"/>
    <n v="28"/>
    <n v="4.0999999999999996"/>
    <n v="8.1"/>
    <n v="1.1479999999999999"/>
    <n v="2.2679999999999998"/>
    <n v="39.6161259"/>
    <n v="1109.2515252000001"/>
    <n v="417.01185157894736"/>
    <n v="278.00790105263155"/>
    <n v="19.411901691000004"/>
    <n v="105"/>
    <n v="1233.663426891"/>
    <n v="44.05940810325"/>
    <n v="463.78324319210526"/>
    <n v="309.18882879473682"/>
  </r>
  <r>
    <s v="11/06/2026"/>
    <s v="E"/>
    <s v="[1062] RAMGADH"/>
    <s v="[8403] MOHANIA"/>
    <x v="13"/>
    <x v="13"/>
    <x v="13"/>
    <s v="C"/>
    <n v="11"/>
    <n v="3.1"/>
    <n v="8"/>
    <n v="0.34100000000000003"/>
    <n v="0.88"/>
    <n v="35.168112000000008"/>
    <n v="386.84923200000009"/>
    <n v="417.01318577075102"/>
    <n v="278.00879051383401"/>
    <n v="6.7698615600000025"/>
    <n v="41.25"/>
    <n v="434.86909356000007"/>
    <n v="39.533553960000006"/>
    <n v="468.77731968379447"/>
    <n v="312.51821312252963"/>
  </r>
  <r>
    <s v="05/06/2026"/>
    <s v="M"/>
    <s v="[1062] RAMGADH"/>
    <s v="[8404] CHANDESH"/>
    <x v="14"/>
    <x v="14"/>
    <x v="14"/>
    <s v="B"/>
    <n v="4"/>
    <n v="8.8000000000000007"/>
    <n v="9"/>
    <n v="0.35200000000000004"/>
    <n v="0.36"/>
    <n v="73.48"/>
    <n v="293.92"/>
    <n v="496.48648648648646"/>
    <n v="330.99099099099095"/>
    <n v="5.1436000000000011"/>
    <n v="15"/>
    <n v="314.06360000000001"/>
    <n v="78.515900000000002"/>
    <n v="530.51283783783776"/>
    <n v="353.67522522522518"/>
  </r>
  <r>
    <s v="05/06/2026"/>
    <s v="E"/>
    <s v="[1062] RAMGADH"/>
    <s v="[8404] CHANDESH"/>
    <x v="14"/>
    <x v="14"/>
    <x v="14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06/06/2026"/>
    <s v="E"/>
    <s v="[1062] RAMGADH"/>
    <s v="[8404] CHANDESH"/>
    <x v="14"/>
    <x v="14"/>
    <x v="1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7/06/2026"/>
    <s v="M"/>
    <s v="[1062] RAMGADH"/>
    <s v="[8404] CHANDESH"/>
    <x v="14"/>
    <x v="14"/>
    <x v="14"/>
    <s v="B"/>
    <n v="3"/>
    <n v="9.1999999999999993"/>
    <n v="9"/>
    <n v="0.27599999999999997"/>
    <n v="0.27"/>
    <n v="76.819999999999993"/>
    <n v="230.45999999999998"/>
    <n v="505.3947368421052"/>
    <n v="336.92982456140345"/>
    <n v="4.0330500000000002"/>
    <n v="11.25"/>
    <n v="245.74304999999998"/>
    <n v="81.914349999999999"/>
    <n v="538.91019736842111"/>
    <n v="359.27346491228076"/>
  </r>
  <r>
    <s v="07/06/2026"/>
    <s v="E"/>
    <s v="[1062] RAMGADH"/>
    <s v="[8404] CHANDESH"/>
    <x v="14"/>
    <x v="14"/>
    <x v="14"/>
    <s v="C"/>
    <n v="9"/>
    <n v="4.3"/>
    <n v="8.1"/>
    <n v="0.38699999999999996"/>
    <n v="0.72899999999999987"/>
    <n v="40.450125900000003"/>
    <n v="364.05113310000002"/>
    <n v="417.01160721649489"/>
    <n v="278.00773814432995"/>
    <n v="6.3708948292500009"/>
    <n v="33.75"/>
    <n v="404.17202792925002"/>
    <n v="44.908003103250003"/>
    <n v="462.96910415721652"/>
    <n v="308.64606943814437"/>
  </r>
  <r>
    <s v="08/06/2026"/>
    <s v="E"/>
    <s v="[1062] RAMGADH"/>
    <s v="[8404] CHANDESH"/>
    <x v="14"/>
    <x v="14"/>
    <x v="14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09/06/2026"/>
    <s v="M"/>
    <s v="[1062] RAMGADH"/>
    <s v="[8404] CHANDESH"/>
    <x v="14"/>
    <x v="14"/>
    <x v="14"/>
    <s v="B"/>
    <n v="2"/>
    <n v="9"/>
    <n v="9"/>
    <n v="0.18"/>
    <n v="0.18"/>
    <n v="75.149999999999991"/>
    <n v="150.29999999999998"/>
    <n v="500.99999999999994"/>
    <n v="333.99999999999994"/>
    <n v="2.6302499999999998"/>
    <n v="7.5"/>
    <n v="160.43024999999997"/>
    <n v="80.215124999999986"/>
    <n v="534.76749999999993"/>
    <n v="356.5116666666666"/>
  </r>
  <r>
    <s v="09/06/2026"/>
    <s v="E"/>
    <s v="[1062] RAMGADH"/>
    <s v="[8404] CHANDESH"/>
    <x v="14"/>
    <x v="14"/>
    <x v="14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10/06/2026"/>
    <s v="E"/>
    <s v="[1062] RAMGADH"/>
    <s v="[8404] CHANDESH"/>
    <x v="14"/>
    <x v="14"/>
    <x v="1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1/06/2026"/>
    <s v="M"/>
    <s v="[1062] RAMGADH"/>
    <s v="[8404] CHANDESH"/>
    <x v="14"/>
    <x v="14"/>
    <x v="14"/>
    <s v="B"/>
    <n v="4"/>
    <n v="9"/>
    <n v="9"/>
    <n v="0.36"/>
    <n v="0.36"/>
    <n v="75.149999999999991"/>
    <n v="300.59999999999997"/>
    <n v="500.99999999999994"/>
    <n v="333.99999999999994"/>
    <n v="5.2604999999999995"/>
    <n v="15"/>
    <n v="320.86049999999994"/>
    <n v="80.215124999999986"/>
    <n v="534.76749999999993"/>
    <n v="356.5116666666666"/>
  </r>
  <r>
    <s v="11/06/2026"/>
    <s v="E"/>
    <s v="[1062] RAMGADH"/>
    <s v="[8404] CHANDESH"/>
    <x v="14"/>
    <x v="14"/>
    <x v="14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05/06/2026"/>
    <s v="M"/>
    <s v="[1062] RAMGADH"/>
    <s v="[8404] CHANDESH"/>
    <x v="15"/>
    <x v="15"/>
    <x v="15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6/06/2026"/>
    <s v="M"/>
    <s v="[1062] RAMGADH"/>
    <s v="[8404] CHANDESH"/>
    <x v="15"/>
    <x v="15"/>
    <x v="15"/>
    <s v="C"/>
    <n v="1"/>
    <n v="3.7"/>
    <n v="8.1"/>
    <n v="3.7000000000000005E-2"/>
    <n v="8.1000000000000003E-2"/>
    <n v="37.948125900000008"/>
    <n v="37.948125900000008"/>
    <n v="417.01237252747262"/>
    <n v="278.00824835164843"/>
    <n v="0.66409220325000018"/>
    <n v="3.75"/>
    <n v="42.362218103250008"/>
    <n v="42.362218103250008"/>
    <n v="465.51888025549459"/>
    <n v="310.34592017032975"/>
  </r>
  <r>
    <s v="06/06/2026"/>
    <s v="E"/>
    <s v="[1062] RAMGADH"/>
    <s v="[8404] CHANDESH"/>
    <x v="15"/>
    <x v="15"/>
    <x v="15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7/06/2026"/>
    <s v="M"/>
    <s v="[1062] RAMGADH"/>
    <s v="[8404] CHANDESH"/>
    <x v="15"/>
    <x v="15"/>
    <x v="15"/>
    <s v="C"/>
    <n v="5"/>
    <n v="3.3"/>
    <n v="8"/>
    <n v="0.16500000000000001"/>
    <n v="0.4"/>
    <n v="36.002112000000004"/>
    <n v="180.01056000000003"/>
    <n v="417.01288030888031"/>
    <n v="278.00858687258687"/>
    <n v="3.1501848000000008"/>
    <n v="18.75"/>
    <n v="201.91074480000003"/>
    <n v="40.382148960000009"/>
    <n v="467.74689915057917"/>
    <n v="311.83126610038613"/>
  </r>
  <r>
    <s v="07/06/2026"/>
    <s v="E"/>
    <s v="[1062] RAMGADH"/>
    <s v="[8404] CHANDESH"/>
    <x v="15"/>
    <x v="15"/>
    <x v="15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8/06/2026"/>
    <s v="M"/>
    <s v="[1062] RAMGADH"/>
    <s v="[8404] CHANDESH"/>
    <x v="15"/>
    <x v="15"/>
    <x v="15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8/06/2026"/>
    <s v="E"/>
    <s v="[1062] RAMGADH"/>
    <s v="[8404] CHANDESH"/>
    <x v="15"/>
    <x v="15"/>
    <x v="15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09/06/2026"/>
    <s v="M"/>
    <s v="[1062] RAMGADH"/>
    <s v="[8404] CHANDESH"/>
    <x v="15"/>
    <x v="15"/>
    <x v="15"/>
    <s v="C"/>
    <n v="3"/>
    <n v="3.4"/>
    <n v="8"/>
    <n v="0.10199999999999999"/>
    <n v="0.24"/>
    <n v="36.419112000000005"/>
    <n v="109.25733600000001"/>
    <n v="417.01273282442747"/>
    <n v="278.00848854961833"/>
    <n v="1.9120033800000003"/>
    <n v="11.25"/>
    <n v="122.41933938000001"/>
    <n v="40.806446460000004"/>
    <n v="467.24938694656487"/>
    <n v="311.49959129770991"/>
  </r>
  <r>
    <s v="10/06/2026"/>
    <s v="M"/>
    <s v="[1062] RAMGADH"/>
    <s v="[8404] CHANDESH"/>
    <x v="15"/>
    <x v="15"/>
    <x v="15"/>
    <s v="C"/>
    <n v="5"/>
    <n v="3.2"/>
    <n v="8"/>
    <n v="0.16"/>
    <n v="0.4"/>
    <n v="35.585112000000002"/>
    <n v="177.92556000000002"/>
    <n v="417.01303124999998"/>
    <n v="278.00868750000001"/>
    <n v="3.1136973000000006"/>
    <n v="18.75"/>
    <n v="199.78925730000003"/>
    <n v="39.957851460000008"/>
    <n v="468.25607179687501"/>
    <n v="312.17071453124998"/>
  </r>
  <r>
    <s v="11/06/2026"/>
    <s v="M"/>
    <s v="[1062] RAMGADH"/>
    <s v="[8404] CHANDESH"/>
    <x v="15"/>
    <x v="15"/>
    <x v="15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05/06/2026"/>
    <s v="M"/>
    <s v="[1062] RAMGADH"/>
    <s v="[8404] CHANDESH"/>
    <x v="16"/>
    <x v="16"/>
    <x v="16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5/06/2026"/>
    <s v="E"/>
    <s v="[1062] RAMGADH"/>
    <s v="[8404] CHANDESH"/>
    <x v="16"/>
    <x v="16"/>
    <x v="16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05/06/2026"/>
    <s v="E"/>
    <s v="[1062] RAMGADH"/>
    <s v="[8404] CHANDESH"/>
    <x v="16"/>
    <x v="16"/>
    <x v="16"/>
    <s v="C"/>
    <n v="80"/>
    <n v="3.2"/>
    <n v="8.1"/>
    <n v="2.56"/>
    <n v="6.48"/>
    <n v="35.8631259"/>
    <n v="2869.050072"/>
    <n v="417.01309186046512"/>
    <n v="278.00872790697673"/>
    <n v="50.208376260000001"/>
    <n v="300"/>
    <n v="3219.25844826"/>
    <n v="40.24073060325"/>
    <n v="467.91547213081401"/>
    <n v="311.94364808720934"/>
  </r>
  <r>
    <s v="06/06/2026"/>
    <s v="M"/>
    <s v="[1062] RAMGADH"/>
    <s v="[8404] CHANDESH"/>
    <x v="16"/>
    <x v="16"/>
    <x v="16"/>
    <s v="B"/>
    <n v="20"/>
    <n v="7.8"/>
    <n v="8.8000000000000007"/>
    <n v="1.56"/>
    <n v="1.76"/>
    <n v="64.478699999999989"/>
    <n v="1289.5739999999998"/>
    <n v="471.7953658536585"/>
    <n v="314.530243902439"/>
    <n v="22.567544999999999"/>
    <n v="75"/>
    <n v="1387.141545"/>
    <n v="69.357077250000003"/>
    <n v="507.49080914634152"/>
    <n v="338.32720609756103"/>
  </r>
  <r>
    <s v="06/06/2026"/>
    <s v="E"/>
    <s v="[1062] RAMGADH"/>
    <s v="[8404] CHANDESH"/>
    <x v="16"/>
    <x v="16"/>
    <x v="1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6/06/2026"/>
    <s v="E"/>
    <s v="[1062] RAMGADH"/>
    <s v="[8404] CHANDESH"/>
    <x v="16"/>
    <x v="16"/>
    <x v="16"/>
    <s v="C"/>
    <n v="85"/>
    <n v="3.1"/>
    <n v="8"/>
    <n v="2.6349999999999998"/>
    <n v="6.8"/>
    <n v="35.168112000000008"/>
    <n v="2989.2895200000007"/>
    <n v="417.01318577075102"/>
    <n v="278.00879051383401"/>
    <n v="52.312566600000018"/>
    <n v="318.75"/>
    <n v="3360.3520866000008"/>
    <n v="39.533553960000006"/>
    <n v="468.77731968379447"/>
    <n v="312.51821312252963"/>
  </r>
  <r>
    <s v="07/06/2026"/>
    <s v="M"/>
    <s v="[1062] RAMGADH"/>
    <s v="[8404] CHANDESH"/>
    <x v="16"/>
    <x v="16"/>
    <x v="16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07/06/2026"/>
    <s v="E"/>
    <s v="[1062] RAMGADH"/>
    <s v="[8404] CHANDESH"/>
    <x v="16"/>
    <x v="16"/>
    <x v="16"/>
    <s v="B"/>
    <n v="35"/>
    <n v="5.7"/>
    <n v="8.6"/>
    <n v="1.9950000000000001"/>
    <n v="3.01"/>
    <n v="46.643099999999997"/>
    <n v="1632.5084999999999"/>
    <n v="407.95714285714286"/>
    <n v="271.97142857142859"/>
    <n v="28.568898750000002"/>
    <n v="131.25"/>
    <n v="1792.3273987499999"/>
    <n v="51.209354249999997"/>
    <n v="447.89522667638482"/>
    <n v="298.59681778425653"/>
  </r>
  <r>
    <s v="07/06/2026"/>
    <s v="E"/>
    <s v="[1062] RAMGADH"/>
    <s v="[8404] CHANDESH"/>
    <x v="16"/>
    <x v="16"/>
    <x v="16"/>
    <s v="C"/>
    <n v="92"/>
    <n v="3.1"/>
    <n v="8"/>
    <n v="2.8519999999999999"/>
    <n v="7.36"/>
    <n v="35.168112000000008"/>
    <n v="3235.4663040000005"/>
    <n v="417.01318577075102"/>
    <n v="278.00879051383401"/>
    <n v="56.620660320000013"/>
    <n v="345"/>
    <n v="3637.0869643200003"/>
    <n v="39.533553960000006"/>
    <n v="468.77731968379447"/>
    <n v="312.51821312252963"/>
  </r>
  <r>
    <s v="08/06/2026"/>
    <s v="M"/>
    <s v="[1062] RAMGADH"/>
    <s v="[8404] CHANDESH"/>
    <x v="16"/>
    <x v="16"/>
    <x v="16"/>
    <s v="B"/>
    <n v="21"/>
    <n v="7.7"/>
    <n v="8.8000000000000007"/>
    <n v="1.6170000000000002"/>
    <n v="1.8480000000000001"/>
    <n v="63.652050000000003"/>
    <n v="1336.6930500000001"/>
    <n v="469.17972972972979"/>
    <n v="312.78648648648652"/>
    <n v="23.392128375000002"/>
    <n v="78.75"/>
    <n v="1438.8351783750002"/>
    <n v="68.515960875000005"/>
    <n v="505.03165264127773"/>
    <n v="336.68776842751851"/>
  </r>
  <r>
    <s v="08/06/2026"/>
    <s v="E"/>
    <s v="[1062] RAMGADH"/>
    <s v="[8404] CHANDESH"/>
    <x v="16"/>
    <x v="16"/>
    <x v="16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8/06/2026"/>
    <s v="E"/>
    <s v="[1062] RAMGADH"/>
    <s v="[8404] CHANDESH"/>
    <x v="16"/>
    <x v="16"/>
    <x v="16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9/06/2026"/>
    <s v="M"/>
    <s v="[1062] RAMGADH"/>
    <s v="[8404] CHANDESH"/>
    <x v="16"/>
    <x v="16"/>
    <x v="16"/>
    <s v="B"/>
    <n v="26"/>
    <n v="7.2"/>
    <n v="8.8000000000000007"/>
    <n v="1.8720000000000001"/>
    <n v="2.2880000000000003"/>
    <n v="59.518800000000006"/>
    <n v="1547.4888000000001"/>
    <n v="455.50102040816324"/>
    <n v="303.66734693877549"/>
    <n v="27.081054000000005"/>
    <n v="97.5"/>
    <n v="1672.0698540000001"/>
    <n v="64.310378999999998"/>
    <n v="492.17126785714277"/>
    <n v="328.11417857142851"/>
  </r>
  <r>
    <s v="09/06/2026"/>
    <s v="E"/>
    <s v="[1062] RAMGADH"/>
    <s v="[8404] CHANDESH"/>
    <x v="16"/>
    <x v="16"/>
    <x v="16"/>
    <s v="C"/>
    <n v="100"/>
    <n v="3.8"/>
    <n v="8"/>
    <n v="3.8"/>
    <n v="8"/>
    <n v="38.087112000000005"/>
    <n v="3808.7112000000006"/>
    <n v="417.01217518248177"/>
    <n v="278.00811678832116"/>
    <n v="66.652446000000012"/>
    <n v="375"/>
    <n v="4250.3636460000007"/>
    <n v="42.50363646000001"/>
    <n v="465.36828240875923"/>
    <n v="310.24552160583949"/>
  </r>
  <r>
    <s v="10/06/2026"/>
    <s v="M"/>
    <s v="[1062] RAMGADH"/>
    <s v="[8404] CHANDESH"/>
    <x v="16"/>
    <x v="16"/>
    <x v="16"/>
    <s v="B"/>
    <n v="25"/>
    <n v="7.3"/>
    <n v="8.8000000000000007"/>
    <n v="1.825"/>
    <n v="2.2000000000000002"/>
    <n v="60.34545"/>
    <n v="1508.63625"/>
    <n v="458.31987341772157"/>
    <n v="305.54658227848103"/>
    <n v="26.401134375000002"/>
    <n v="93.75"/>
    <n v="1628.7873843750001"/>
    <n v="65.15149537500001"/>
    <n v="494.8214838607596"/>
    <n v="329.88098924050638"/>
  </r>
  <r>
    <s v="10/06/2026"/>
    <s v="M"/>
    <s v="[1062] RAMGADH"/>
    <s v="[8404] CHANDESH"/>
    <x v="16"/>
    <x v="16"/>
    <x v="16"/>
    <s v="C"/>
    <n v="3"/>
    <n v="3.1"/>
    <n v="8.1"/>
    <n v="9.3000000000000013E-2"/>
    <n v="0.24299999999999997"/>
    <n v="35.446125899999998"/>
    <n v="106.3383777"/>
    <n v="417.01324588235298"/>
    <n v="278.0088305882353"/>
    <n v="1.8609216097500001"/>
    <n v="11.25"/>
    <n v="119.44929930974999"/>
    <n v="39.816433103249999"/>
    <n v="468.42862474411766"/>
    <n v="312.28574982941177"/>
  </r>
  <r>
    <s v="10/06/2026"/>
    <s v="E"/>
    <s v="[1062] RAMGADH"/>
    <s v="[8404] CHANDESH"/>
    <x v="16"/>
    <x v="16"/>
    <x v="16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10/06/2026"/>
    <s v="E"/>
    <s v="[1062] RAMGADH"/>
    <s v="[8404] CHANDESH"/>
    <x v="16"/>
    <x v="16"/>
    <x v="16"/>
    <s v="C"/>
    <n v="74"/>
    <n v="3.2"/>
    <n v="8.1"/>
    <n v="2.3680000000000003"/>
    <n v="5.9939999999999998"/>
    <n v="35.8631259"/>
    <n v="2653.8713165999998"/>
    <n v="417.01309186046512"/>
    <n v="278.00872790697673"/>
    <n v="46.4427480405"/>
    <n v="277.5"/>
    <n v="2977.8140646405"/>
    <n v="40.24073060325"/>
    <n v="467.91547213081401"/>
    <n v="311.94364808720934"/>
  </r>
  <r>
    <s v="11/06/2026"/>
    <s v="M"/>
    <s v="[1062] RAMGADH"/>
    <s v="[8404] CHANDESH"/>
    <x v="16"/>
    <x v="16"/>
    <x v="16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1/06/2026"/>
    <s v="M"/>
    <s v="[1062] RAMGADH"/>
    <s v="[8404] CHANDESH"/>
    <x v="16"/>
    <x v="16"/>
    <x v="16"/>
    <s v="C"/>
    <n v="37"/>
    <n v="3.1"/>
    <n v="8"/>
    <n v="1.147"/>
    <n v="2.96"/>
    <n v="35.168112000000008"/>
    <n v="1301.2201440000003"/>
    <n v="417.01318577075102"/>
    <n v="278.00879051383401"/>
    <n v="22.771352520000008"/>
    <n v="138.75"/>
    <n v="1462.7414965200003"/>
    <n v="39.533553960000006"/>
    <n v="468.77731968379447"/>
    <n v="312.51821312252963"/>
  </r>
  <r>
    <s v="11/06/2026"/>
    <s v="E"/>
    <s v="[1062] RAMGADH"/>
    <s v="[8404] CHANDESH"/>
    <x v="16"/>
    <x v="16"/>
    <x v="16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11/06/2026"/>
    <s v="E"/>
    <s v="[1062] RAMGADH"/>
    <s v="[8404] CHANDESH"/>
    <x v="16"/>
    <x v="16"/>
    <x v="16"/>
    <s v="C"/>
    <n v="71"/>
    <n v="3.1"/>
    <n v="8.1"/>
    <n v="2.2010000000000001"/>
    <n v="5.7510000000000003"/>
    <n v="35.446125899999998"/>
    <n v="2516.6749388999997"/>
    <n v="417.01324588235298"/>
    <n v="278.0088305882353"/>
    <n v="44.041811430750002"/>
    <n v="266.25"/>
    <n v="2826.9667503307496"/>
    <n v="39.816433103249992"/>
    <n v="468.4286247441176"/>
    <n v="312.28574982941171"/>
  </r>
  <r>
    <s v="05/06/2026"/>
    <s v="M"/>
    <s v="[1062] RAMGADH"/>
    <s v="[8404] CHANDESH"/>
    <x v="17"/>
    <x v="17"/>
    <x v="17"/>
    <s v="B"/>
    <n v="62"/>
    <n v="6.8"/>
    <n v="8.8000000000000007"/>
    <n v="4.2159999999999993"/>
    <n v="5.4560000000000004"/>
    <n v="56.212200000000003"/>
    <n v="3485.1564000000003"/>
    <n v="443.78052631578947"/>
    <n v="295.8536842105263"/>
    <n v="60.990237000000008"/>
    <n v="232.5"/>
    <n v="3778.6466370000003"/>
    <n v="60.945913500000003"/>
    <n v="481.15194868421054"/>
    <n v="320.76796578947369"/>
  </r>
  <r>
    <s v="05/06/2026"/>
    <s v="E"/>
    <s v="[1062] RAMGADH"/>
    <s v="[8404] CHANDESH"/>
    <x v="17"/>
    <x v="17"/>
    <x v="17"/>
    <s v="B"/>
    <n v="79"/>
    <n v="6"/>
    <n v="8.6"/>
    <n v="4.74"/>
    <n v="6.7939999999999996"/>
    <n v="49.097999999999999"/>
    <n v="3878.7419999999997"/>
    <n v="418.44886363636368"/>
    <n v="278.96590909090912"/>
    <n v="67.877984999999995"/>
    <n v="296.25"/>
    <n v="4242.8699849999994"/>
    <n v="53.707214999999991"/>
    <n v="457.73194602272724"/>
    <n v="305.15463068181816"/>
  </r>
  <r>
    <s v="06/06/2026"/>
    <s v="M"/>
    <s v="[1062] RAMGADH"/>
    <s v="[8404] CHANDESH"/>
    <x v="17"/>
    <x v="17"/>
    <x v="17"/>
    <s v="B"/>
    <n v="85"/>
    <n v="6.9"/>
    <n v="8.8000000000000007"/>
    <n v="5.8650000000000002"/>
    <n v="7.4800000000000013"/>
    <n v="57.038850000000004"/>
    <n v="4848.3022500000006"/>
    <n v="446.77950391644907"/>
    <n v="297.85300261096603"/>
    <n v="84.845289375000021"/>
    <n v="318.75"/>
    <n v="5251.8975393750006"/>
    <n v="61.787029875000009"/>
    <n v="483.97151338120108"/>
    <n v="322.6476755874674"/>
  </r>
  <r>
    <s v="06/06/2026"/>
    <s v="E"/>
    <s v="[1062] RAMGADH"/>
    <s v="[8404] CHANDESH"/>
    <x v="17"/>
    <x v="17"/>
    <x v="17"/>
    <s v="B"/>
    <n v="71"/>
    <n v="5.8"/>
    <n v="8.6"/>
    <n v="4.1180000000000003"/>
    <n v="6.1059999999999999"/>
    <n v="47.461399999999998"/>
    <n v="3369.7593999999999"/>
    <n v="411.51502890173413"/>
    <n v="274.34335260115608"/>
    <n v="58.970789500000002"/>
    <n v="266.25"/>
    <n v="3694.9801895000001"/>
    <n v="52.041974500000002"/>
    <n v="451.23099277456657"/>
    <n v="300.82066184971103"/>
  </r>
  <r>
    <s v="06/06/2026"/>
    <s v="E"/>
    <s v="[1062] RAMGADH"/>
    <s v="[8404] CHANDESH"/>
    <x v="17"/>
    <x v="17"/>
    <x v="17"/>
    <s v="C"/>
    <n v="99"/>
    <n v="3"/>
    <n v="8"/>
    <n v="2.97"/>
    <n v="7.92"/>
    <n v="34.751112000000006"/>
    <n v="3440.3600880000008"/>
    <n v="417.01334400000002"/>
    <n v="278.00889599999999"/>
    <n v="60.20630154000002"/>
    <n v="371.25"/>
    <n v="3871.8163895400007"/>
    <n v="39.109256460000005"/>
    <n v="469.31107752000003"/>
    <n v="312.87405168000004"/>
  </r>
  <r>
    <s v="07/06/2026"/>
    <s v="M"/>
    <s v="[1062] RAMGADH"/>
    <s v="[8404] CHANDESH"/>
    <x v="17"/>
    <x v="17"/>
    <x v="17"/>
    <s v="B"/>
    <n v="84"/>
    <n v="7"/>
    <n v="8.8000000000000007"/>
    <n v="5.88"/>
    <n v="7.3920000000000003"/>
    <n v="57.865500000000004"/>
    <n v="4860.7020000000002"/>
    <n v="449.73186528497411"/>
    <n v="299.82124352331607"/>
    <n v="85.062285000000017"/>
    <n v="315"/>
    <n v="5260.7642850000002"/>
    <n v="62.62814625"/>
    <n v="486.74725064766835"/>
    <n v="324.49816709844555"/>
  </r>
  <r>
    <s v="07/06/2026"/>
    <s v="E"/>
    <s v="[1062] RAMGADH"/>
    <s v="[8404] CHANDESH"/>
    <x v="17"/>
    <x v="17"/>
    <x v="17"/>
    <s v="B"/>
    <n v="82"/>
    <n v="5.8"/>
    <n v="8.6"/>
    <n v="4.7559999999999993"/>
    <n v="7.0519999999999996"/>
    <n v="47.461399999999998"/>
    <n v="3891.8347999999996"/>
    <n v="411.51502890173413"/>
    <n v="274.34335260115608"/>
    <n v="68.107108999999994"/>
    <n v="307.5"/>
    <n v="4267.4419089999992"/>
    <n v="52.041974499999988"/>
    <n v="451.23099277456646"/>
    <n v="300.82066184971097"/>
  </r>
  <r>
    <s v="07/06/2026"/>
    <s v="E"/>
    <s v="[1062] RAMGADH"/>
    <s v="[8404] CHANDESH"/>
    <x v="17"/>
    <x v="17"/>
    <x v="17"/>
    <s v="C"/>
    <n v="91"/>
    <n v="3"/>
    <n v="8"/>
    <n v="2.73"/>
    <n v="7.28"/>
    <n v="34.751112000000006"/>
    <n v="3162.3511920000005"/>
    <n v="417.01334400000002"/>
    <n v="278.00889599999999"/>
    <n v="55.341145860000012"/>
    <n v="341.25"/>
    <n v="3558.9423378600004"/>
    <n v="39.109256460000005"/>
    <n v="469.31107752000003"/>
    <n v="312.87405168000004"/>
  </r>
  <r>
    <s v="08/06/2026"/>
    <s v="M"/>
    <s v="[1062] RAMGADH"/>
    <s v="[8404] CHANDESH"/>
    <x v="17"/>
    <x v="17"/>
    <x v="17"/>
    <s v="B"/>
    <n v="90"/>
    <n v="6.9"/>
    <n v="8.8000000000000007"/>
    <n v="6.21"/>
    <n v="7.9200000000000008"/>
    <n v="57.038850000000004"/>
    <n v="5133.4965000000002"/>
    <n v="446.77950391644907"/>
    <n v="297.85300261096603"/>
    <n v="89.836188750000005"/>
    <n v="337.5"/>
    <n v="5560.8326887500007"/>
    <n v="61.787029875000009"/>
    <n v="483.97151338120108"/>
    <n v="322.6476755874674"/>
  </r>
  <r>
    <s v="08/06/2026"/>
    <s v="M"/>
    <s v="[1062] RAMGADH"/>
    <s v="[8404] CHANDESH"/>
    <x v="17"/>
    <x v="17"/>
    <x v="1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8/06/2026"/>
    <s v="E"/>
    <s v="[1062] RAMGADH"/>
    <s v="[8404] CHANDESH"/>
    <x v="17"/>
    <x v="17"/>
    <x v="17"/>
    <s v="B"/>
    <n v="71"/>
    <n v="6"/>
    <n v="8.8000000000000007"/>
    <n v="4.26"/>
    <n v="6.2480000000000011"/>
    <n v="49.599000000000004"/>
    <n v="3521.5290000000005"/>
    <n v="417.96910112359552"/>
    <n v="278.64606741573033"/>
    <n v="61.626757500000011"/>
    <n v="266.25"/>
    <n v="3849.4057575000006"/>
    <n v="54.216982500000007"/>
    <n v="456.8846839887641"/>
    <n v="304.58978932584273"/>
  </r>
  <r>
    <s v="08/06/2026"/>
    <s v="E"/>
    <s v="[1062] RAMGADH"/>
    <s v="[8404] CHANDESH"/>
    <x v="17"/>
    <x v="17"/>
    <x v="17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09/06/2026"/>
    <s v="M"/>
    <s v="[1062] RAMGADH"/>
    <s v="[8404] CHANDESH"/>
    <x v="17"/>
    <x v="17"/>
    <x v="17"/>
    <s v="B"/>
    <n v="110"/>
    <n v="6.9"/>
    <n v="8.8000000000000007"/>
    <n v="7.59"/>
    <n v="9.6800000000000015"/>
    <n v="57.038850000000004"/>
    <n v="6274.2735000000002"/>
    <n v="446.77950391644907"/>
    <n v="297.85300261096603"/>
    <n v="109.79978625000001"/>
    <n v="412.5"/>
    <n v="6796.5732862499999"/>
    <n v="61.787029875000002"/>
    <n v="483.97151338120102"/>
    <n v="322.64767558746735"/>
  </r>
  <r>
    <s v="09/06/2026"/>
    <s v="E"/>
    <s v="[1062] RAMGADH"/>
    <s v="[8404] CHANDESH"/>
    <x v="17"/>
    <x v="17"/>
    <x v="17"/>
    <s v="B"/>
    <n v="69"/>
    <n v="5.8"/>
    <n v="8.8000000000000007"/>
    <n v="4.0019999999999998"/>
    <n v="6.0720000000000001"/>
    <n v="47.945700000000002"/>
    <n v="3308.2533000000003"/>
    <n v="410.96314285714288"/>
    <n v="273.97542857142861"/>
    <n v="57.894432750000014"/>
    <n v="258.75"/>
    <n v="3624.8977327500002"/>
    <n v="52.534749750000003"/>
    <n v="450.29785500000003"/>
    <n v="300.19857000000002"/>
  </r>
  <r>
    <s v="10/06/2026"/>
    <s v="M"/>
    <s v="[1062] RAMGADH"/>
    <s v="[8404] CHANDESH"/>
    <x v="17"/>
    <x v="17"/>
    <x v="17"/>
    <s v="B"/>
    <n v="80"/>
    <n v="7.1"/>
    <n v="8.8000000000000007"/>
    <n v="5.68"/>
    <n v="7.04"/>
    <n v="58.692149999999998"/>
    <n v="4695.3719999999994"/>
    <n v="452.63868894601546"/>
    <n v="301.75912596401031"/>
    <n v="82.16901"/>
    <n v="300"/>
    <n v="5077.541009999999"/>
    <n v="63.469262624999985"/>
    <n v="489.48017448586114"/>
    <n v="326.32011632390743"/>
  </r>
  <r>
    <s v="10/06/2026"/>
    <s v="E"/>
    <s v="[1062] RAMGADH"/>
    <s v="[8404] CHANDESH"/>
    <x v="17"/>
    <x v="17"/>
    <x v="17"/>
    <s v="B"/>
    <n v="81"/>
    <n v="6.1"/>
    <n v="8.8000000000000007"/>
    <n v="4.9409999999999998"/>
    <n v="7.128000000000001"/>
    <n v="50.425650000000005"/>
    <n v="4084.4776500000003"/>
    <n v="421.38426183844012"/>
    <n v="280.92284122562677"/>
    <n v="71.478358875000012"/>
    <n v="303.75"/>
    <n v="4459.7060088750004"/>
    <n v="55.058098875000006"/>
    <n v="460.09553377437328"/>
    <n v="306.73035584958217"/>
  </r>
  <r>
    <s v="10/06/2026"/>
    <s v="E"/>
    <s v="[1062] RAMGADH"/>
    <s v="[8404] CHANDESH"/>
    <x v="17"/>
    <x v="17"/>
    <x v="17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6/2026"/>
    <s v="M"/>
    <s v="[1062] RAMGADH"/>
    <s v="[8404] CHANDESH"/>
    <x v="17"/>
    <x v="17"/>
    <x v="17"/>
    <s v="B"/>
    <n v="75"/>
    <n v="6.6"/>
    <n v="8.8000000000000007"/>
    <n v="4.95"/>
    <n v="6.6"/>
    <n v="54.558900000000001"/>
    <n v="4091.9175"/>
    <n v="437.63823529411764"/>
    <n v="291.75882352941176"/>
    <n v="71.608556250000007"/>
    <n v="281.25"/>
    <n v="4444.7760562499998"/>
    <n v="59.263680749999999"/>
    <n v="475.37711831550797"/>
    <n v="316.91807887700531"/>
  </r>
  <r>
    <s v="11/06/2026"/>
    <s v="E"/>
    <s v="[1062] RAMGADH"/>
    <s v="[8404] CHANDESH"/>
    <x v="17"/>
    <x v="17"/>
    <x v="17"/>
    <s v="B"/>
    <n v="68"/>
    <n v="6"/>
    <n v="8.6"/>
    <n v="4.08"/>
    <n v="5.8479999999999999"/>
    <n v="49.097999999999999"/>
    <n v="3338.6639999999998"/>
    <n v="418.44886363636368"/>
    <n v="278.96590909090912"/>
    <n v="58.42662"/>
    <n v="255"/>
    <n v="3652.0906199999999"/>
    <n v="53.707214999999998"/>
    <n v="457.7319460227273"/>
    <n v="305.15463068181822"/>
  </r>
  <r>
    <s v="05/06/2026"/>
    <s v="M"/>
    <s v="[1062] RAMGADH"/>
    <s v="[8404] CHANDESH"/>
    <x v="18"/>
    <x v="18"/>
    <x v="18"/>
    <s v="C"/>
    <n v="16"/>
    <n v="4.7"/>
    <n v="8.3000000000000007"/>
    <n v="0.752"/>
    <n v="1.3280000000000001"/>
    <n v="42.674153700000005"/>
    <n v="682.78645920000008"/>
    <n v="417.01127394136813"/>
    <n v="278.00751596091209"/>
    <n v="11.948763036000003"/>
    <n v="60"/>
    <n v="754.73522223600003"/>
    <n v="47.170951389750002"/>
    <n v="460.95392237540722"/>
    <n v="307.30261491693813"/>
  </r>
  <r>
    <s v="05/06/2026"/>
    <s v="E"/>
    <s v="[1062] RAMGADH"/>
    <s v="[8404] CHANDESH"/>
    <x v="18"/>
    <x v="18"/>
    <x v="18"/>
    <s v="C"/>
    <n v="26"/>
    <n v="3.6"/>
    <n v="8"/>
    <n v="0.93600000000000005"/>
    <n v="2.08"/>
    <n v="37.253112000000009"/>
    <n v="968.58091200000024"/>
    <n v="417.01244776119404"/>
    <n v="278.00829850746271"/>
    <n v="16.950165960000007"/>
    <n v="97.5"/>
    <n v="1083.0310779600002"/>
    <n v="41.655041460000007"/>
    <n v="466.28777753731345"/>
    <n v="310.85851835820898"/>
  </r>
  <r>
    <s v="06/06/2026"/>
    <s v="M"/>
    <s v="[1062] RAMGADH"/>
    <s v="[8404] CHANDESH"/>
    <x v="18"/>
    <x v="18"/>
    <x v="18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6/06/2026"/>
    <s v="E"/>
    <s v="[1062] RAMGADH"/>
    <s v="[8404] CHANDESH"/>
    <x v="18"/>
    <x v="18"/>
    <x v="18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7/06/2026"/>
    <s v="M"/>
    <s v="[1062] RAMGADH"/>
    <s v="[8404] CHANDESH"/>
    <x v="18"/>
    <x v="18"/>
    <x v="18"/>
    <s v="C"/>
    <n v="20"/>
    <n v="4.7"/>
    <n v="8.3000000000000007"/>
    <n v="0.94"/>
    <n v="1.66"/>
    <n v="42.674153700000005"/>
    <n v="853.4830740000001"/>
    <n v="417.01127394136813"/>
    <n v="278.00751596091209"/>
    <n v="14.935953795000003"/>
    <n v="75"/>
    <n v="943.41902779500015"/>
    <n v="47.170951389750009"/>
    <n v="460.95392237540727"/>
    <n v="307.30261491693818"/>
  </r>
  <r>
    <s v="07/06/2026"/>
    <s v="E"/>
    <s v="[1062] RAMGADH"/>
    <s v="[8404] CHANDESH"/>
    <x v="18"/>
    <x v="18"/>
    <x v="18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8/06/2026"/>
    <s v="M"/>
    <s v="[1062] RAMGADH"/>
    <s v="[8404] CHANDESH"/>
    <x v="18"/>
    <x v="18"/>
    <x v="18"/>
    <s v="C"/>
    <n v="21"/>
    <n v="5.0999999999999996"/>
    <n v="8.5"/>
    <n v="1.071"/>
    <n v="1.7849999999999999"/>
    <n v="44.898181500000007"/>
    <n v="942.86181150000016"/>
    <n v="417.01097368421063"/>
    <n v="278.00731578947375"/>
    <n v="16.500081701250004"/>
    <n v="78.75"/>
    <n v="1038.11189320125"/>
    <n v="49.43389967625"/>
    <n v="459.13838708591334"/>
    <n v="306.09225805727556"/>
  </r>
  <r>
    <s v="08/06/2026"/>
    <s v="E"/>
    <s v="[1062] RAMGADH"/>
    <s v="[8404] CHANDESH"/>
    <x v="18"/>
    <x v="18"/>
    <x v="18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9/06/2026"/>
    <s v="M"/>
    <s v="[1062] RAMGADH"/>
    <s v="[8404] CHANDESH"/>
    <x v="18"/>
    <x v="18"/>
    <x v="18"/>
    <s v="C"/>
    <n v="24"/>
    <n v="4.7"/>
    <n v="8.1999999999999993"/>
    <n v="1.1280000000000001"/>
    <n v="1.9679999999999997"/>
    <n v="42.3961398"/>
    <n v="1017.5073552"/>
    <n v="417.01121114754102"/>
    <n v="278.00747409836066"/>
    <n v="17.806378716000001"/>
    <n v="90"/>
    <n v="1125.313733916"/>
    <n v="46.888072246500002"/>
    <n v="461.19415324426234"/>
    <n v="307.46276882950821"/>
  </r>
  <r>
    <s v="09/06/2026"/>
    <s v="E"/>
    <s v="[1062] RAMGADH"/>
    <s v="[8404] CHANDESH"/>
    <x v="18"/>
    <x v="18"/>
    <x v="18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0/06/2026"/>
    <s v="M"/>
    <s v="[1062] RAMGADH"/>
    <s v="[8404] CHANDESH"/>
    <x v="18"/>
    <x v="18"/>
    <x v="18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10/06/2026"/>
    <s v="E"/>
    <s v="[1062] RAMGADH"/>
    <s v="[8404] CHANDESH"/>
    <x v="18"/>
    <x v="18"/>
    <x v="18"/>
    <s v="C"/>
    <n v="28"/>
    <n v="3.7"/>
    <n v="8.1"/>
    <n v="1.036"/>
    <n v="2.2679999999999998"/>
    <n v="37.948125900000008"/>
    <n v="1062.5475252000001"/>
    <n v="417.01237252747262"/>
    <n v="278.00824835164843"/>
    <n v="18.594581691000002"/>
    <n v="105"/>
    <n v="1186.1421068910001"/>
    <n v="42.362218103250008"/>
    <n v="465.51888025549459"/>
    <n v="310.34592017032975"/>
  </r>
  <r>
    <s v="11/06/2026"/>
    <s v="M"/>
    <s v="[1062] RAMGADH"/>
    <s v="[8404] CHANDESH"/>
    <x v="18"/>
    <x v="18"/>
    <x v="18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11/06/2026"/>
    <s v="E"/>
    <s v="[1062] RAMGADH"/>
    <s v="[8404] CHANDESH"/>
    <x v="18"/>
    <x v="18"/>
    <x v="18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05/06/2026"/>
    <s v="M"/>
    <s v="[1062] RAMGADH"/>
    <s v="[8405] RAMGADH"/>
    <x v="19"/>
    <x v="19"/>
    <x v="19"/>
    <s v="B"/>
    <n v="62"/>
    <n v="6"/>
    <n v="8.8000000000000007"/>
    <n v="3.72"/>
    <n v="5.4560000000000004"/>
    <n v="49.599000000000004"/>
    <n v="3075.1380000000004"/>
    <n v="417.96910112359552"/>
    <n v="278.64606741573033"/>
    <n v="53.814915000000013"/>
    <n v="232.5"/>
    <n v="3361.4529150000003"/>
    <n v="54.216982500000007"/>
    <n v="456.8846839887641"/>
    <n v="304.58978932584273"/>
  </r>
  <r>
    <s v="05/06/2026"/>
    <s v="M"/>
    <s v="[1062] RAMGADH"/>
    <s v="[8405] RAMGADH"/>
    <x v="19"/>
    <x v="19"/>
    <x v="19"/>
    <s v="C"/>
    <n v="60"/>
    <n v="3.5"/>
    <n v="8.1"/>
    <n v="2.1"/>
    <n v="4.8600000000000003"/>
    <n v="37.114125900000005"/>
    <n v="2226.8475540000004"/>
    <n v="417.01265056179784"/>
    <n v="278.00843370786521"/>
    <n v="38.969832195000009"/>
    <n v="225"/>
    <n v="2490.8173861950004"/>
    <n v="41.513623103250005"/>
    <n v="466.44520340730344"/>
    <n v="310.96346893820231"/>
  </r>
  <r>
    <s v="05/06/2026"/>
    <s v="E"/>
    <s v="[1062] RAMGADH"/>
    <s v="[8405] RAMGADH"/>
    <x v="19"/>
    <x v="19"/>
    <x v="19"/>
    <s v="C"/>
    <n v="88"/>
    <n v="3.6"/>
    <n v="8.1"/>
    <n v="3.1680000000000001"/>
    <n v="7.1279999999999992"/>
    <n v="37.531125900000006"/>
    <n v="3302.7390792000006"/>
    <n v="417.01251000000008"/>
    <n v="278.00834000000003"/>
    <n v="57.797933886000017"/>
    <n v="330"/>
    <n v="3690.5370130860006"/>
    <n v="41.937920603250006"/>
    <n v="465.97689559166673"/>
    <n v="310.6512637277778"/>
  </r>
  <r>
    <s v="06/06/2026"/>
    <s v="M"/>
    <s v="[1062] RAMGADH"/>
    <s v="[8405] RAMGADH"/>
    <x v="19"/>
    <x v="19"/>
    <x v="19"/>
    <s v="B"/>
    <n v="68"/>
    <n v="6.1"/>
    <n v="8.8000000000000007"/>
    <n v="4.1479999999999997"/>
    <n v="5.9840000000000009"/>
    <n v="50.425650000000005"/>
    <n v="3428.9442000000004"/>
    <n v="421.38426183844012"/>
    <n v="280.92284122562677"/>
    <n v="60.006523500000014"/>
    <n v="255"/>
    <n v="3743.9507235000005"/>
    <n v="55.058098875000006"/>
    <n v="460.09553377437328"/>
    <n v="306.73035584958217"/>
  </r>
  <r>
    <s v="06/06/2026"/>
    <s v="E"/>
    <s v="[1062] RAMGADH"/>
    <s v="[8405] RAMGADH"/>
    <x v="19"/>
    <x v="19"/>
    <x v="19"/>
    <s v="C"/>
    <n v="53"/>
    <n v="3.2"/>
    <n v="8.1"/>
    <n v="1.6960000000000002"/>
    <n v="4.2929999999999993"/>
    <n v="35.8631259"/>
    <n v="1900.7456726999999"/>
    <n v="417.01309186046512"/>
    <n v="278.00872790697673"/>
    <n v="33.263049272250001"/>
    <n v="198.75"/>
    <n v="2132.75872197225"/>
    <n v="40.24073060325"/>
    <n v="467.91547213081401"/>
    <n v="311.94364808720934"/>
  </r>
  <r>
    <s v="07/06/2026"/>
    <s v="M"/>
    <s v="[1062] RAMGADH"/>
    <s v="[8405] RAMGADH"/>
    <x v="19"/>
    <x v="19"/>
    <x v="19"/>
    <s v="B"/>
    <n v="57"/>
    <n v="6.4"/>
    <n v="8.8000000000000007"/>
    <n v="3.6480000000000001"/>
    <n v="5.016"/>
    <n v="52.9056"/>
    <n v="3015.6192000000001"/>
    <n v="431.29565217391303"/>
    <n v="287.53043478260867"/>
    <n v="52.773336000000008"/>
    <n v="213.75"/>
    <n v="3282.1425360000003"/>
    <n v="57.581448000000002"/>
    <n v="469.41397826086956"/>
    <n v="312.94265217391302"/>
  </r>
  <r>
    <s v="07/06/2026"/>
    <s v="E"/>
    <s v="[1062] RAMGADH"/>
    <s v="[8405] RAMGADH"/>
    <x v="19"/>
    <x v="19"/>
    <x v="19"/>
    <s v="B"/>
    <n v="27"/>
    <n v="5.8"/>
    <n v="8.6"/>
    <n v="1.5659999999999998"/>
    <n v="2.3220000000000001"/>
    <n v="47.461399999999998"/>
    <n v="1281.4577999999999"/>
    <n v="411.51502890173413"/>
    <n v="274.34335260115608"/>
    <n v="22.425511499999999"/>
    <n v="101.25"/>
    <n v="1405.1333115"/>
    <n v="52.041974500000002"/>
    <n v="451.23099277456657"/>
    <n v="300.82066184971103"/>
  </r>
  <r>
    <s v="07/06/2026"/>
    <s v="E"/>
    <s v="[1062] RAMGADH"/>
    <s v="[8405] RAMGADH"/>
    <x v="19"/>
    <x v="19"/>
    <x v="19"/>
    <s v="C"/>
    <n v="69"/>
    <n v="3.2"/>
    <n v="8.1"/>
    <n v="2.2080000000000002"/>
    <n v="5.5889999999999995"/>
    <n v="35.8631259"/>
    <n v="2474.5556870999999"/>
    <n v="417.01309186046512"/>
    <n v="278.00872790697673"/>
    <n v="43.304724524250005"/>
    <n v="258.75"/>
    <n v="2776.61041162425"/>
    <n v="40.24073060325"/>
    <n v="467.91547213081401"/>
    <n v="311.94364808720934"/>
  </r>
  <r>
    <s v="08/06/2026"/>
    <s v="M"/>
    <s v="[1062] RAMGADH"/>
    <s v="[8405] RAMGADH"/>
    <x v="19"/>
    <x v="19"/>
    <x v="19"/>
    <s v="B"/>
    <n v="72"/>
    <n v="6"/>
    <n v="8.6"/>
    <n v="4.32"/>
    <n v="6.1919999999999993"/>
    <n v="49.097999999999999"/>
    <n v="3535.056"/>
    <n v="418.44886363636368"/>
    <n v="278.96590909090912"/>
    <n v="61.86348000000001"/>
    <n v="270"/>
    <n v="3866.91948"/>
    <n v="53.707214999999998"/>
    <n v="457.7319460227273"/>
    <n v="305.15463068181822"/>
  </r>
  <r>
    <s v="08/06/2026"/>
    <s v="E"/>
    <s v="[1062] RAMGADH"/>
    <s v="[8405] RAMGADH"/>
    <x v="19"/>
    <x v="19"/>
    <x v="19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8/06/2026"/>
    <s v="E"/>
    <s v="[1062] RAMGADH"/>
    <s v="[8405] RAMGADH"/>
    <x v="19"/>
    <x v="19"/>
    <x v="19"/>
    <s v="C"/>
    <n v="62"/>
    <n v="3.3"/>
    <n v="8.1"/>
    <n v="2.0459999999999998"/>
    <n v="5.0220000000000002"/>
    <n v="36.280125900000002"/>
    <n v="2249.3678058"/>
    <n v="417.0129413793104"/>
    <n v="278.00862758620696"/>
    <n v="39.363936601500008"/>
    <n v="232.5"/>
    <n v="2521.2317424015"/>
    <n v="40.665028103250002"/>
    <n v="467.4141161293104"/>
    <n v="311.6094107528736"/>
  </r>
  <r>
    <s v="09/06/2026"/>
    <s v="M"/>
    <s v="[1062] RAMGADH"/>
    <s v="[8405] RAMGADH"/>
    <x v="19"/>
    <x v="19"/>
    <x v="19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09/06/2026"/>
    <s v="E"/>
    <s v="[1062] RAMGADH"/>
    <s v="[8405] RAMGADH"/>
    <x v="19"/>
    <x v="19"/>
    <x v="19"/>
    <s v="C"/>
    <n v="53"/>
    <n v="3.7"/>
    <n v="8.1999999999999993"/>
    <n v="1.9610000000000003"/>
    <n v="4.3460000000000001"/>
    <n v="38.226139799999999"/>
    <n v="2025.9854094"/>
    <n v="417.01243418181815"/>
    <n v="278.00828945454543"/>
    <n v="35.454744664500005"/>
    <n v="198.75"/>
    <n v="2260.1901540644999"/>
    <n v="42.645097246500001"/>
    <n v="465.21924268909089"/>
    <n v="310.14616179272724"/>
  </r>
  <r>
    <s v="10/06/2026"/>
    <s v="M"/>
    <s v="[1062] RAMGADH"/>
    <s v="[8405] RAMGADH"/>
    <x v="19"/>
    <x v="19"/>
    <x v="19"/>
    <s v="B"/>
    <n v="68"/>
    <n v="5.6"/>
    <n v="8.6"/>
    <n v="3.8079999999999994"/>
    <n v="5.8479999999999999"/>
    <n v="45.824799999999996"/>
    <n v="3116.0863999999997"/>
    <n v="404.33647058823533"/>
    <n v="269.55764705882353"/>
    <n v="54.531511999999999"/>
    <n v="255"/>
    <n v="3425.6179119999997"/>
    <n v="50.376733999999999"/>
    <n v="444.50059411764715"/>
    <n v="296.33372941176475"/>
  </r>
  <r>
    <s v="10/06/2026"/>
    <s v="E"/>
    <s v="[1062] RAMGADH"/>
    <s v="[8405] RAMGADH"/>
    <x v="19"/>
    <x v="19"/>
    <x v="19"/>
    <s v="C"/>
    <n v="68"/>
    <n v="3.4"/>
    <n v="8.1999999999999993"/>
    <n v="2.3119999999999998"/>
    <n v="5.5759999999999987"/>
    <n v="36.975139800000001"/>
    <n v="2514.3095063999999"/>
    <n v="417.01285488721805"/>
    <n v="278.00856992481204"/>
    <n v="44.000416362000003"/>
    <n v="255"/>
    <n v="2813.309922762"/>
    <n v="41.372204746500003"/>
    <n v="466.60381293045111"/>
    <n v="311.06920862030074"/>
  </r>
  <r>
    <s v="11/06/2026"/>
    <s v="M"/>
    <s v="[1062] RAMGADH"/>
    <s v="[8405] RAMGADH"/>
    <x v="19"/>
    <x v="19"/>
    <x v="19"/>
    <s v="B"/>
    <n v="62"/>
    <n v="5.6"/>
    <n v="8.4"/>
    <n v="3.472"/>
    <n v="5.2080000000000011"/>
    <n v="45.357199999999999"/>
    <n v="2812.1464000000001"/>
    <n v="404.97500000000002"/>
    <n v="269.98333333333335"/>
    <n v="49.212562000000005"/>
    <n v="232.5"/>
    <n v="3093.8589620000002"/>
    <n v="49.900951000000006"/>
    <n v="445.54420535714297"/>
    <n v="297.02947023809531"/>
  </r>
  <r>
    <s v="11/06/2026"/>
    <s v="E"/>
    <s v="[1062] RAMGADH"/>
    <s v="[8405] RAMGADH"/>
    <x v="19"/>
    <x v="19"/>
    <x v="19"/>
    <s v="B"/>
    <n v="23"/>
    <n v="5.7"/>
    <n v="8.5"/>
    <n v="1.3109999999999999"/>
    <n v="1.9550000000000001"/>
    <n v="46.167149999999999"/>
    <n v="1061.8444500000001"/>
    <n v="406.16260997067451"/>
    <n v="270.77507331378303"/>
    <n v="18.582277875000003"/>
    <n v="86.25"/>
    <n v="1166.6767278750001"/>
    <n v="50.725075125000004"/>
    <n v="446.26165799120236"/>
    <n v="297.50777199413488"/>
  </r>
  <r>
    <s v="11/06/2026"/>
    <s v="E"/>
    <s v="[1062] RAMGADH"/>
    <s v="[8405] RAMGADH"/>
    <x v="19"/>
    <x v="19"/>
    <x v="19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5/06/2026"/>
    <s v="M"/>
    <s v="[1062] RAMGADH"/>
    <s v="[8402] RAMPUR"/>
    <x v="20"/>
    <x v="20"/>
    <x v="20"/>
    <s v="C"/>
    <n v="28"/>
    <n v="5"/>
    <n v="8"/>
    <n v="1.4"/>
    <n v="2.2400000000000002"/>
    <n v="43.09111200000001"/>
    <n v="1206.5511360000003"/>
    <n v="417.01076129032271"/>
    <n v="278.00717419354845"/>
    <n v="21.114644880000007"/>
    <n v="105"/>
    <n v="1332.6657808800003"/>
    <n v="47.595206460000007"/>
    <n v="460.59877219354848"/>
    <n v="307.0658481290323"/>
  </r>
  <r>
    <s v="05/06/2026"/>
    <s v="E"/>
    <s v="[1062] RAMGADH"/>
    <s v="[8402] RAMPUR"/>
    <x v="20"/>
    <x v="20"/>
    <x v="20"/>
    <s v="C"/>
    <n v="15"/>
    <n v="5.0999999999999996"/>
    <n v="8.1999999999999993"/>
    <n v="0.76500000000000001"/>
    <n v="1.2299999999999998"/>
    <n v="44.0641398"/>
    <n v="660.96209699999997"/>
    <n v="417.01078675078867"/>
    <n v="278.00719116719245"/>
    <n v="11.566836697500001"/>
    <n v="56.25"/>
    <n v="728.77893369749995"/>
    <n v="48.585262246499994"/>
    <n v="459.7974345094637"/>
    <n v="306.53162300630913"/>
  </r>
  <r>
    <s v="06/06/2026"/>
    <s v="M"/>
    <s v="[1062] RAMGADH"/>
    <s v="[8402] RAMPUR"/>
    <x v="20"/>
    <x v="20"/>
    <x v="20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06/06/2026"/>
    <s v="E"/>
    <s v="[1062] RAMGADH"/>
    <s v="[8402] RAMPUR"/>
    <x v="20"/>
    <x v="20"/>
    <x v="20"/>
    <s v="C"/>
    <n v="14"/>
    <n v="5"/>
    <n v="8.1"/>
    <n v="0.7"/>
    <n v="1.1339999999999999"/>
    <n v="43.3691259"/>
    <n v="607.16776260000006"/>
    <n v="417.01082596153844"/>
    <n v="278.00721730769231"/>
    <n v="10.625435845500002"/>
    <n v="52.5"/>
    <n v="670.29319844550002"/>
    <n v="47.87808560325"/>
    <n v="460.36620772355764"/>
    <n v="306.91080514903842"/>
  </r>
  <r>
    <s v="07/06/2026"/>
    <s v="M"/>
    <s v="[1062] RAMGADH"/>
    <s v="[8402] RAMPUR"/>
    <x v="20"/>
    <x v="20"/>
    <x v="20"/>
    <s v="B"/>
    <n v="32"/>
    <n v="5.8"/>
    <n v="8.4"/>
    <n v="1.8559999999999999"/>
    <n v="2.6880000000000002"/>
    <n v="46.9771"/>
    <n v="1503.2672"/>
    <n v="412.07982456140354"/>
    <n v="274.71988304093571"/>
    <n v="26.307176000000002"/>
    <n v="120"/>
    <n v="1649.574376"/>
    <n v="51.549199250000001"/>
    <n v="452.18595833333336"/>
    <n v="301.45730555555559"/>
  </r>
  <r>
    <s v="07/06/2026"/>
    <s v="E"/>
    <s v="[1062] RAMGADH"/>
    <s v="[8402] RAMPUR"/>
    <x v="20"/>
    <x v="20"/>
    <x v="2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8/06/2026"/>
    <s v="M"/>
    <s v="[1062] RAMGADH"/>
    <s v="[8402] RAMPUR"/>
    <x v="20"/>
    <x v="20"/>
    <x v="20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08/06/2026"/>
    <s v="E"/>
    <s v="[1062] RAMGADH"/>
    <s v="[8402] RAMPUR"/>
    <x v="20"/>
    <x v="20"/>
    <x v="20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09/06/2026"/>
    <s v="M"/>
    <s v="[1062] RAMGADH"/>
    <s v="[8402] RAMPUR"/>
    <x v="20"/>
    <x v="20"/>
    <x v="20"/>
    <s v="B"/>
    <n v="24"/>
    <n v="6.1"/>
    <n v="8.4"/>
    <n v="1.4639999999999997"/>
    <n v="2.016"/>
    <n v="49.406950000000002"/>
    <n v="1185.7668000000001"/>
    <n v="422.28162393162398"/>
    <n v="281.52108262108266"/>
    <n v="20.750919000000003"/>
    <n v="90"/>
    <n v="1296.5177190000002"/>
    <n v="54.021571625000007"/>
    <n v="461.72283440170946"/>
    <n v="307.81522293447296"/>
  </r>
  <r>
    <s v="09/06/2026"/>
    <s v="E"/>
    <s v="[1062] RAMGADH"/>
    <s v="[8402] RAMPUR"/>
    <x v="20"/>
    <x v="20"/>
    <x v="20"/>
    <s v="C"/>
    <n v="8"/>
    <n v="4.2"/>
    <n v="8"/>
    <n v="0.33600000000000002"/>
    <n v="0.64"/>
    <n v="39.755112000000004"/>
    <n v="318.04089600000003"/>
    <n v="417.01166433566436"/>
    <n v="278.00777622377626"/>
    <n v="5.5657156800000012"/>
    <n v="30"/>
    <n v="353.60661168000001"/>
    <n v="44.200826460000002"/>
    <n v="463.64503279720276"/>
    <n v="309.09668853146849"/>
  </r>
  <r>
    <s v="10/06/2026"/>
    <s v="M"/>
    <s v="[1062] RAMGADH"/>
    <s v="[8402] RAMPUR"/>
    <x v="20"/>
    <x v="20"/>
    <x v="20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10/06/2026"/>
    <s v="E"/>
    <s v="[1062] RAMGADH"/>
    <s v="[8402] RAMPUR"/>
    <x v="20"/>
    <x v="20"/>
    <x v="20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11/06/2026"/>
    <s v="M"/>
    <s v="[1062] RAMGADH"/>
    <s v="[8402] RAMPUR"/>
    <x v="20"/>
    <x v="20"/>
    <x v="20"/>
    <s v="B"/>
    <n v="19"/>
    <n v="6.3"/>
    <n v="8.4"/>
    <n v="1.1970000000000001"/>
    <n v="1.5959999999999999"/>
    <n v="51.026849999999996"/>
    <n v="969.51014999999995"/>
    <n v="428.79705882352943"/>
    <n v="285.86470588235295"/>
    <n v="16.966427625000001"/>
    <n v="71.25"/>
    <n v="1057.7265776249999"/>
    <n v="55.669819874999995"/>
    <n v="467.81361239495794"/>
    <n v="311.87574159663865"/>
  </r>
  <r>
    <s v="11/06/2026"/>
    <s v="E"/>
    <s v="[1062] RAMGADH"/>
    <s v="[8402] RAMPUR"/>
    <x v="20"/>
    <x v="20"/>
    <x v="20"/>
    <s v="C"/>
    <n v="17"/>
    <n v="4.5999999999999996"/>
    <n v="8"/>
    <n v="0.78199999999999992"/>
    <n v="1.36"/>
    <n v="41.423112000000003"/>
    <n v="704.192904"/>
    <n v="417.01119463087252"/>
    <n v="278.00746308724837"/>
    <n v="12.323375820000001"/>
    <n v="63.75"/>
    <n v="780.26627982000002"/>
    <n v="45.898016460000001"/>
    <n v="462.06056838926179"/>
    <n v="308.04037892617453"/>
  </r>
  <r>
    <s v="05/06/2026"/>
    <s v="M"/>
    <s v="[1062] RAMGADH"/>
    <s v="[8402] RAMPUR"/>
    <x v="21"/>
    <x v="21"/>
    <x v="2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5/06/2026"/>
    <s v="E"/>
    <s v="[1062] RAMGADH"/>
    <s v="[8402] RAMPUR"/>
    <x v="21"/>
    <x v="21"/>
    <x v="21"/>
    <s v="C"/>
    <n v="4"/>
    <n v="4"/>
    <n v="8"/>
    <n v="0.16"/>
    <n v="0.32"/>
    <n v="38.921112000000008"/>
    <n v="155.68444800000003"/>
    <n v="417.01191428571434"/>
    <n v="278.00794285714289"/>
    <n v="2.7244778400000009"/>
    <n v="15"/>
    <n v="173.40892584000002"/>
    <n v="43.352231460000006"/>
    <n v="464.48819421428578"/>
    <n v="309.65879614285717"/>
  </r>
  <r>
    <s v="06/06/2026"/>
    <s v="M"/>
    <s v="[1062] RAMGADH"/>
    <s v="[8402] RAMPUR"/>
    <x v="21"/>
    <x v="21"/>
    <x v="2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6/2026"/>
    <s v="E"/>
    <s v="[1062] RAMGADH"/>
    <s v="[8402] RAMPUR"/>
    <x v="21"/>
    <x v="21"/>
    <x v="21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7/06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7/06/2026"/>
    <s v="E"/>
    <s v="[1062] RAMGADH"/>
    <s v="[8402] RAMPUR"/>
    <x v="21"/>
    <x v="21"/>
    <x v="2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6/2026"/>
    <s v="M"/>
    <s v="[1062] RAMGADH"/>
    <s v="[8402] RAMPUR"/>
    <x v="21"/>
    <x v="21"/>
    <x v="21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8/06/2026"/>
    <s v="E"/>
    <s v="[1062] RAMGADH"/>
    <s v="[8402] RAMPUR"/>
    <x v="21"/>
    <x v="21"/>
    <x v="21"/>
    <s v="C"/>
    <n v="5"/>
    <n v="5"/>
    <n v="8.1"/>
    <n v="0.25"/>
    <n v="0.40500000000000003"/>
    <n v="43.3691259"/>
    <n v="216.8456295"/>
    <n v="417.01082596153844"/>
    <n v="278.00721730769231"/>
    <n v="3.7947985162500002"/>
    <n v="18.75"/>
    <n v="239.39042801625001"/>
    <n v="47.87808560325"/>
    <n v="460.36620772355764"/>
    <n v="306.91080514903842"/>
  </r>
  <r>
    <s v="09/06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6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6/2026"/>
    <s v="E"/>
    <s v="[1062] RAMGADH"/>
    <s v="[8402] RAMPUR"/>
    <x v="21"/>
    <x v="21"/>
    <x v="21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11/06/2026"/>
    <s v="M"/>
    <s v="[1062] RAMGADH"/>
    <s v="[8402] RAMPUR"/>
    <x v="21"/>
    <x v="21"/>
    <x v="21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11/06/2026"/>
    <s v="E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8/06/2026"/>
    <s v="E"/>
    <s v="[1062] RAMGADH"/>
    <s v="[8402] RAMPUR"/>
    <x v="22"/>
    <x v="22"/>
    <x v="22"/>
    <s v="C"/>
    <n v="25"/>
    <n v="4.7"/>
    <n v="8.1999999999999993"/>
    <n v="1.175"/>
    <n v="2.0499999999999998"/>
    <n v="42.3961398"/>
    <n v="1059.903495"/>
    <n v="417.01121114754102"/>
    <n v="278.00747409836066"/>
    <n v="18.548311162500003"/>
    <n v="93.75"/>
    <n v="1172.2018061624999"/>
    <n v="46.888072246499995"/>
    <n v="461.19415324426228"/>
    <n v="307.46276882950821"/>
  </r>
  <r>
    <s v="05/06/2026"/>
    <s v="M"/>
    <s v="[1062] RAMGADH"/>
    <s v="[8402] RAMPUR"/>
    <x v="23"/>
    <x v="23"/>
    <x v="23"/>
    <s v="C"/>
    <n v="35"/>
    <n v="4.4000000000000004"/>
    <n v="8.1"/>
    <n v="1.54"/>
    <n v="2.835"/>
    <n v="40.867125900000005"/>
    <n v="1430.3494065000002"/>
    <n v="417.01148877551026"/>
    <n v="278.00765918367352"/>
    <n v="25.031114613750006"/>
    <n v="131.25"/>
    <n v="1586.6305211137501"/>
    <n v="45.332300603250005"/>
    <n v="462.57449595153065"/>
    <n v="308.38299730102045"/>
  </r>
  <r>
    <s v="05/06/2026"/>
    <s v="E"/>
    <s v="[1062] RAMGADH"/>
    <s v="[8402] RAMPUR"/>
    <x v="23"/>
    <x v="23"/>
    <x v="23"/>
    <s v="C"/>
    <n v="23"/>
    <n v="4.8"/>
    <n v="8"/>
    <n v="1.1039999999999999"/>
    <n v="1.84"/>
    <n v="42.257112000000006"/>
    <n v="971.91357600000015"/>
    <n v="417.01097368421063"/>
    <n v="278.00731578947375"/>
    <n v="17.008487580000004"/>
    <n v="86.25"/>
    <n v="1075.1720635800002"/>
    <n v="46.746611460000011"/>
    <n v="461.31524467105277"/>
    <n v="307.54349644736851"/>
  </r>
  <r>
    <s v="06/06/2026"/>
    <s v="M"/>
    <s v="[1062] RAMGADH"/>
    <s v="[8402] RAMPUR"/>
    <x v="23"/>
    <x v="23"/>
    <x v="23"/>
    <s v="C"/>
    <n v="34"/>
    <n v="4.4000000000000004"/>
    <n v="8.1"/>
    <n v="1.4960000000000002"/>
    <n v="2.7539999999999996"/>
    <n v="40.867125900000005"/>
    <n v="1389.4822806000002"/>
    <n v="417.01148877551026"/>
    <n v="278.00765918367352"/>
    <n v="24.315939910500006"/>
    <n v="127.5"/>
    <n v="1541.2982205105002"/>
    <n v="45.332300603250005"/>
    <n v="462.57449595153065"/>
    <n v="308.38299730102045"/>
  </r>
  <r>
    <s v="06/06/2026"/>
    <s v="E"/>
    <s v="[1062] RAMGADH"/>
    <s v="[8402] RAMPUR"/>
    <x v="23"/>
    <x v="23"/>
    <x v="23"/>
    <s v="C"/>
    <n v="31"/>
    <n v="4"/>
    <n v="8"/>
    <n v="1.24"/>
    <n v="2.48"/>
    <n v="38.921112000000008"/>
    <n v="1206.5544720000003"/>
    <n v="417.01191428571434"/>
    <n v="278.00794285714289"/>
    <n v="21.114703260000006"/>
    <n v="116.25"/>
    <n v="1343.9191752600002"/>
    <n v="43.352231460000006"/>
    <n v="464.48819421428578"/>
    <n v="309.65879614285717"/>
  </r>
  <r>
    <s v="07/06/2026"/>
    <s v="M"/>
    <s v="[1062] RAMGADH"/>
    <s v="[8402] RAMPUR"/>
    <x v="23"/>
    <x v="23"/>
    <x v="23"/>
    <s v="C"/>
    <n v="33"/>
    <n v="4.5999999999999996"/>
    <n v="8.1999999999999993"/>
    <n v="1.5179999999999998"/>
    <n v="2.7059999999999995"/>
    <n v="41.979139799999999"/>
    <n v="1385.3116133999999"/>
    <n v="417.01132251655633"/>
    <n v="278.00754834437089"/>
    <n v="24.2429532345"/>
    <n v="123.75"/>
    <n v="1533.3045666344999"/>
    <n v="46.4637747465"/>
    <n v="461.56067628973517"/>
    <n v="307.70711752649009"/>
  </r>
  <r>
    <s v="07/06/2026"/>
    <s v="E"/>
    <s v="[1062] RAMGADH"/>
    <s v="[8402] RAMPUR"/>
    <x v="23"/>
    <x v="23"/>
    <x v="23"/>
    <s v="C"/>
    <n v="23"/>
    <n v="3.4"/>
    <n v="8"/>
    <n v="0.78200000000000003"/>
    <n v="1.84"/>
    <n v="36.419112000000005"/>
    <n v="837.63957600000015"/>
    <n v="417.01273282442747"/>
    <n v="278.00848854961833"/>
    <n v="14.658692580000004"/>
    <n v="86.25"/>
    <n v="938.54826858000013"/>
    <n v="40.806446460000004"/>
    <n v="467.24938694656487"/>
    <n v="311.49959129770991"/>
  </r>
  <r>
    <s v="08/06/2026"/>
    <s v="M"/>
    <s v="[1062] RAMGADH"/>
    <s v="[8402] RAMPUR"/>
    <x v="23"/>
    <x v="23"/>
    <x v="23"/>
    <s v="C"/>
    <n v="30"/>
    <n v="4.2"/>
    <n v="8.1"/>
    <n v="1.26"/>
    <n v="2.4300000000000002"/>
    <n v="40.033125900000002"/>
    <n v="1200.9937770000001"/>
    <n v="417.01172812499999"/>
    <n v="278.00781875000001"/>
    <n v="21.017391097500003"/>
    <n v="112.5"/>
    <n v="1334.5111680975001"/>
    <n v="44.483705603250002"/>
    <n v="463.37193336718752"/>
    <n v="308.9146222447917"/>
  </r>
  <r>
    <s v="08/06/2026"/>
    <s v="E"/>
    <s v="[1062] RAMGADH"/>
    <s v="[8402] RAMPUR"/>
    <x v="23"/>
    <x v="23"/>
    <x v="23"/>
    <s v="C"/>
    <n v="17"/>
    <n v="4.4000000000000004"/>
    <n v="8.1"/>
    <n v="0.74800000000000011"/>
    <n v="1.3769999999999998"/>
    <n v="40.867125900000005"/>
    <n v="694.7411403000001"/>
    <n v="417.01148877551026"/>
    <n v="278.00765918367352"/>
    <n v="12.157969955250003"/>
    <n v="63.75"/>
    <n v="770.64911025525009"/>
    <n v="45.332300603250005"/>
    <n v="462.57449595153065"/>
    <n v="308.38299730102045"/>
  </r>
  <r>
    <s v="09/06/2026"/>
    <s v="M"/>
    <s v="[1062] RAMGADH"/>
    <s v="[8402] RAMPUR"/>
    <x v="23"/>
    <x v="23"/>
    <x v="23"/>
    <s v="C"/>
    <n v="39"/>
    <n v="5.0999999999999996"/>
    <n v="8.5"/>
    <n v="1.9889999999999999"/>
    <n v="3.3149999999999999"/>
    <n v="44.898181500000007"/>
    <n v="1751.0290785000002"/>
    <n v="417.01097368421063"/>
    <n v="278.00731578947375"/>
    <n v="30.643008873750006"/>
    <n v="146.25"/>
    <n v="1927.9220873737502"/>
    <n v="49.433899676250007"/>
    <n v="459.13838708591339"/>
    <n v="306.09225805727561"/>
  </r>
  <r>
    <s v="09/06/2026"/>
    <s v="E"/>
    <s v="[1062] RAMGADH"/>
    <s v="[8402] RAMPUR"/>
    <x v="23"/>
    <x v="23"/>
    <x v="23"/>
    <s v="C"/>
    <n v="24"/>
    <n v="4"/>
    <n v="8"/>
    <n v="0.96"/>
    <n v="1.92"/>
    <n v="38.921112000000008"/>
    <n v="934.10668800000019"/>
    <n v="417.01191428571434"/>
    <n v="278.00794285714289"/>
    <n v="16.346867040000006"/>
    <n v="90"/>
    <n v="1040.4535550400001"/>
    <n v="43.352231460000006"/>
    <n v="464.48819421428578"/>
    <n v="309.65879614285717"/>
  </r>
  <r>
    <s v="10/06/2026"/>
    <s v="M"/>
    <s v="[1062] RAMGADH"/>
    <s v="[8402] RAMPUR"/>
    <x v="23"/>
    <x v="23"/>
    <x v="23"/>
    <s v="C"/>
    <n v="37"/>
    <n v="5"/>
    <n v="8.5"/>
    <n v="1.85"/>
    <n v="3.145"/>
    <n v="44.481181500000005"/>
    <n v="1645.8037155000002"/>
    <n v="417.01107656250002"/>
    <n v="278.00738437500002"/>
    <n v="28.801565021250006"/>
    <n v="138.75"/>
    <n v="1813.3552805212503"/>
    <n v="49.009602176250006"/>
    <n v="459.46502040234378"/>
    <n v="306.3100136015625"/>
  </r>
  <r>
    <s v="10/06/2026"/>
    <s v="E"/>
    <s v="[1062] RAMGADH"/>
    <s v="[8402] RAMPUR"/>
    <x v="23"/>
    <x v="23"/>
    <x v="23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11/06/2026"/>
    <s v="M"/>
    <s v="[1062] RAMGADH"/>
    <s v="[8402] RAMPUR"/>
    <x v="23"/>
    <x v="23"/>
    <x v="23"/>
    <s v="C"/>
    <n v="33"/>
    <n v="5.3"/>
    <n v="8.5"/>
    <n v="1.7490000000000001"/>
    <n v="2.8050000000000002"/>
    <n v="45.732181500000003"/>
    <n v="1509.1619895000001"/>
    <n v="417.01077355623107"/>
    <n v="278.00718237082071"/>
    <n v="26.410334816250003"/>
    <n v="123.75"/>
    <n v="1659.3223243162502"/>
    <n v="50.282494676250003"/>
    <n v="458.50299096884504"/>
    <n v="305.66866064589669"/>
  </r>
  <r>
    <s v="11/06/2026"/>
    <s v="E"/>
    <s v="[1062] RAMGADH"/>
    <s v="[8402] RAMPUR"/>
    <x v="23"/>
    <x v="23"/>
    <x v="23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05/06/2026"/>
    <s v="M"/>
    <s v="[1062] RAMGADH"/>
    <s v="[8404] CHANDESH"/>
    <x v="24"/>
    <x v="24"/>
    <x v="24"/>
    <s v="B"/>
    <n v="63"/>
    <n v="6.8"/>
    <n v="8.8000000000000007"/>
    <n v="4.2839999999999998"/>
    <n v="5.5440000000000005"/>
    <n v="56.212200000000003"/>
    <n v="3541.3686000000002"/>
    <n v="443.78052631578947"/>
    <n v="295.8536842105263"/>
    <n v="61.973950500000008"/>
    <n v="236.25"/>
    <n v="3839.5925505000005"/>
    <n v="60.94591350000001"/>
    <n v="481.15194868421059"/>
    <n v="320.76796578947375"/>
  </r>
  <r>
    <s v="05/06/2026"/>
    <s v="M"/>
    <s v="[1062] RAMGADH"/>
    <s v="[8404] CHANDESH"/>
    <x v="24"/>
    <x v="24"/>
    <x v="24"/>
    <s v="C"/>
    <n v="8"/>
    <n v="3.4"/>
    <n v="8.1999999999999993"/>
    <n v="0.27200000000000002"/>
    <n v="0.65599999999999992"/>
    <n v="36.975139800000001"/>
    <n v="295.80111840000001"/>
    <n v="417.01285488721805"/>
    <n v="278.00856992481204"/>
    <n v="5.176519572000001"/>
    <n v="30"/>
    <n v="330.97763797200003"/>
    <n v="41.372204746500003"/>
    <n v="466.60381293045111"/>
    <n v="311.06920862030074"/>
  </r>
  <r>
    <s v="05/06/2026"/>
    <s v="E"/>
    <s v="[1062] RAMGADH"/>
    <s v="[8404] CHANDESH"/>
    <x v="24"/>
    <x v="24"/>
    <x v="24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05/06/2026"/>
    <s v="E"/>
    <s v="[1062] RAMGADH"/>
    <s v="[8404] CHANDESH"/>
    <x v="24"/>
    <x v="24"/>
    <x v="24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06/06/2026"/>
    <s v="M"/>
    <s v="[1062] RAMGADH"/>
    <s v="[8404] CHANDESH"/>
    <x v="24"/>
    <x v="24"/>
    <x v="24"/>
    <s v="B"/>
    <n v="59"/>
    <n v="6.7"/>
    <n v="9"/>
    <n v="3.9530000000000003"/>
    <n v="5.31"/>
    <n v="55.945"/>
    <n v="3300.7550000000001"/>
    <n v="440.51181102362204"/>
    <n v="293.67454068241472"/>
    <n v="57.763212500000009"/>
    <n v="221.25"/>
    <n v="3579.7682125000001"/>
    <n v="60.674037500000004"/>
    <n v="477.74832677165358"/>
    <n v="318.4988845144357"/>
  </r>
  <r>
    <s v="07/06/2026"/>
    <s v="M"/>
    <s v="[1062] RAMGADH"/>
    <s v="[8404] CHANDESH"/>
    <x v="24"/>
    <x v="24"/>
    <x v="24"/>
    <s v="B"/>
    <n v="68"/>
    <n v="6.2"/>
    <n v="9"/>
    <n v="4.2160000000000002"/>
    <n v="6.12"/>
    <n v="51.77"/>
    <n v="3520.36"/>
    <n v="424.34426229508199"/>
    <n v="282.89617486338801"/>
    <n v="61.606300000000012"/>
    <n v="255"/>
    <n v="3836.9663"/>
    <n v="56.425975000000001"/>
    <n v="462.50799180327868"/>
    <n v="308.33866120218579"/>
  </r>
  <r>
    <s v="07/06/2026"/>
    <s v="M"/>
    <s v="[1062] RAMGADH"/>
    <s v="[8404] CHANDESH"/>
    <x v="24"/>
    <x v="24"/>
    <x v="24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7/06/2026"/>
    <s v="E"/>
    <s v="[1062] RAMGADH"/>
    <s v="[8404] CHANDESH"/>
    <x v="24"/>
    <x v="24"/>
    <x v="24"/>
    <s v="B"/>
    <n v="33"/>
    <n v="6.5"/>
    <n v="8.4"/>
    <n v="2.145"/>
    <n v="2.7719999999999998"/>
    <n v="52.646749999999997"/>
    <n v="1737.3427499999998"/>
    <n v="435.09710743801651"/>
    <n v="290.06473829201099"/>
    <n v="30.403498124999999"/>
    <n v="123.75"/>
    <n v="1891.4962481249997"/>
    <n v="57.318068124999989"/>
    <n v="473.70304235537185"/>
    <n v="315.80202823691457"/>
  </r>
  <r>
    <s v="07/06/2026"/>
    <s v="E"/>
    <s v="[1062] RAMGADH"/>
    <s v="[8404] CHANDESH"/>
    <x v="24"/>
    <x v="24"/>
    <x v="24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8/06/2026"/>
    <s v="M"/>
    <s v="[1062] RAMGADH"/>
    <s v="[8404] CHANDESH"/>
    <x v="24"/>
    <x v="24"/>
    <x v="24"/>
    <s v="B"/>
    <n v="61"/>
    <n v="6.9"/>
    <n v="8.4"/>
    <n v="4.2090000000000005"/>
    <n v="5.1239999999999997"/>
    <n v="55.88655"/>
    <n v="3409.0795499999999"/>
    <n v="447.0924"/>
    <n v="298.0616"/>
    <n v="59.658892125000001"/>
    <n v="228.75"/>
    <n v="3697.4884421249999"/>
    <n v="60.614564625"/>
    <n v="484.916517"/>
    <n v="323.27767799999998"/>
  </r>
  <r>
    <s v="08/06/2026"/>
    <s v="M"/>
    <s v="[1062] RAMGADH"/>
    <s v="[8404] CHANDESH"/>
    <x v="24"/>
    <x v="24"/>
    <x v="24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8/06/2026"/>
    <s v="E"/>
    <s v="[1062] RAMGADH"/>
    <s v="[8404] CHANDESH"/>
    <x v="24"/>
    <x v="24"/>
    <x v="24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8/06/2026"/>
    <s v="E"/>
    <s v="[1062] RAMGADH"/>
    <s v="[8404] CHANDESH"/>
    <x v="24"/>
    <x v="24"/>
    <x v="24"/>
    <s v="C"/>
    <n v="79"/>
    <n v="3"/>
    <n v="8"/>
    <n v="2.37"/>
    <n v="6.32"/>
    <n v="34.751112000000006"/>
    <n v="2745.3378480000006"/>
    <n v="417.01334400000002"/>
    <n v="278.00889599999999"/>
    <n v="48.043412340000017"/>
    <n v="296.25"/>
    <n v="3089.6312603400006"/>
    <n v="39.109256460000005"/>
    <n v="469.31107752000003"/>
    <n v="312.87405168000004"/>
  </r>
  <r>
    <s v="09/06/2026"/>
    <s v="M"/>
    <s v="[1062] RAMGADH"/>
    <s v="[8404] CHANDESH"/>
    <x v="24"/>
    <x v="24"/>
    <x v="24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9/06/2026"/>
    <s v="M"/>
    <s v="[1062] RAMGADH"/>
    <s v="[8404] CHANDESH"/>
    <x v="24"/>
    <x v="24"/>
    <x v="24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09/06/2026"/>
    <s v="E"/>
    <s v="[1062] RAMGADH"/>
    <s v="[8404] CHANDESH"/>
    <x v="24"/>
    <x v="24"/>
    <x v="24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09/06/2026"/>
    <s v="E"/>
    <s v="[1062] RAMGADH"/>
    <s v="[8404] CHANDESH"/>
    <x v="24"/>
    <x v="24"/>
    <x v="24"/>
    <s v="C"/>
    <n v="72"/>
    <n v="3.3"/>
    <n v="8"/>
    <n v="2.3759999999999999"/>
    <n v="5.76"/>
    <n v="36.002112000000004"/>
    <n v="2592.1520640000003"/>
    <n v="417.01288030888031"/>
    <n v="278.00858687258687"/>
    <n v="45.362661120000013"/>
    <n v="270"/>
    <n v="2907.5147251200005"/>
    <n v="40.382148960000009"/>
    <n v="467.74689915057917"/>
    <n v="311.83126610038613"/>
  </r>
  <r>
    <s v="10/06/2026"/>
    <s v="M"/>
    <s v="[1062] RAMGADH"/>
    <s v="[8404] CHANDESH"/>
    <x v="24"/>
    <x v="24"/>
    <x v="24"/>
    <s v="B"/>
    <n v="58"/>
    <n v="6.9"/>
    <n v="9"/>
    <n v="4.0020000000000007"/>
    <n v="5.22"/>
    <n v="57.615000000000002"/>
    <n v="3341.67"/>
    <n v="446.62790697674421"/>
    <n v="297.75193798449612"/>
    <n v="58.479225000000007"/>
    <n v="217.5"/>
    <n v="3617.6492250000001"/>
    <n v="62.373262500000003"/>
    <n v="483.51366279069771"/>
    <n v="322.34244186046516"/>
  </r>
  <r>
    <s v="10/06/2026"/>
    <s v="M"/>
    <s v="[1062] RAMGADH"/>
    <s v="[8404] CHANDESH"/>
    <x v="24"/>
    <x v="24"/>
    <x v="24"/>
    <s v="C"/>
    <n v="102"/>
    <n v="3.7"/>
    <n v="8"/>
    <n v="3.7740000000000005"/>
    <n v="8.16"/>
    <n v="37.670112000000003"/>
    <n v="3842.3514240000004"/>
    <n v="417.0123099630996"/>
    <n v="278.0082066420664"/>
    <n v="67.241149920000012"/>
    <n v="382.5"/>
    <n v="4292.0925739200002"/>
    <n v="42.079338960000001"/>
    <n v="465.82294051660512"/>
    <n v="310.5486270110701"/>
  </r>
  <r>
    <s v="10/06/2026"/>
    <s v="E"/>
    <s v="[1062] RAMGADH"/>
    <s v="[8404] CHANDESH"/>
    <x v="24"/>
    <x v="24"/>
    <x v="24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10/06/2026"/>
    <s v="E"/>
    <s v="[1062] RAMGADH"/>
    <s v="[8404] CHANDESH"/>
    <x v="24"/>
    <x v="24"/>
    <x v="24"/>
    <s v="C"/>
    <n v="66"/>
    <n v="3"/>
    <n v="8"/>
    <n v="1.98"/>
    <n v="5.28"/>
    <n v="34.751112000000006"/>
    <n v="2293.5733920000002"/>
    <n v="417.01334400000002"/>
    <n v="278.00889599999999"/>
    <n v="40.137534360000011"/>
    <n v="247.5"/>
    <n v="2581.2109263600005"/>
    <n v="39.109256460000005"/>
    <n v="469.31107752000003"/>
    <n v="312.87405168000004"/>
  </r>
  <r>
    <s v="11/06/2026"/>
    <s v="M"/>
    <s v="[1062] RAMGADH"/>
    <s v="[8404] CHANDESH"/>
    <x v="24"/>
    <x v="24"/>
    <x v="24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11/06/2026"/>
    <s v="M"/>
    <s v="[1062] RAMGADH"/>
    <s v="[8404] CHANDESH"/>
    <x v="24"/>
    <x v="24"/>
    <x v="24"/>
    <s v="C"/>
    <n v="34"/>
    <n v="3.3"/>
    <n v="8"/>
    <n v="1.1219999999999999"/>
    <n v="2.72"/>
    <n v="36.002112000000004"/>
    <n v="1224.0718080000001"/>
    <n v="417.01288030888031"/>
    <n v="278.00858687258687"/>
    <n v="21.421256640000003"/>
    <n v="127.5"/>
    <n v="1372.9930646400001"/>
    <n v="40.382148960000002"/>
    <n v="467.74689915057911"/>
    <n v="311.83126610038607"/>
  </r>
  <r>
    <s v="11/06/2026"/>
    <s v="E"/>
    <s v="[1062] RAMGADH"/>
    <s v="[8404] CHANDESH"/>
    <x v="24"/>
    <x v="24"/>
    <x v="24"/>
    <s v="C"/>
    <n v="50"/>
    <n v="3.1"/>
    <n v="8"/>
    <n v="1.55"/>
    <n v="4"/>
    <n v="35.168112000000008"/>
    <n v="1758.4056000000005"/>
    <n v="417.01318577075102"/>
    <n v="278.00879051383401"/>
    <n v="30.77209800000001"/>
    <n v="187.5"/>
    <n v="1976.6776980000004"/>
    <n v="39.533553960000006"/>
    <n v="468.77731968379447"/>
    <n v="312.51821312252963"/>
  </r>
  <r>
    <s v="05/06/2026"/>
    <s v="M"/>
    <s v="[1062] RAMGADH"/>
    <s v="[8405] RAMGADH"/>
    <x v="25"/>
    <x v="25"/>
    <x v="25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5/06/2026"/>
    <s v="M"/>
    <s v="[1062] RAMGADH"/>
    <s v="[8405] RAMGADH"/>
    <x v="25"/>
    <x v="25"/>
    <x v="25"/>
    <s v="C"/>
    <n v="59"/>
    <n v="3.7"/>
    <n v="8.1"/>
    <n v="2.1830000000000003"/>
    <n v="4.7789999999999999"/>
    <n v="37.948125900000008"/>
    <n v="2238.9394281000004"/>
    <n v="417.01237252747262"/>
    <n v="278.00824835164843"/>
    <n v="39.181439991750011"/>
    <n v="221.25"/>
    <n v="2499.3708680917507"/>
    <n v="42.362218103250015"/>
    <n v="465.51888025549471"/>
    <n v="310.3459201703298"/>
  </r>
  <r>
    <s v="05/06/2026"/>
    <s v="E"/>
    <s v="[1062] RAMGADH"/>
    <s v="[8405] RAMGADH"/>
    <x v="25"/>
    <x v="25"/>
    <x v="25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5/06/2026"/>
    <s v="E"/>
    <s v="[1062] RAMGADH"/>
    <s v="[8405] RAMGADH"/>
    <x v="25"/>
    <x v="25"/>
    <x v="25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6/06/2026"/>
    <s v="M"/>
    <s v="[1062] RAMGADH"/>
    <s v="[8405] RAMGADH"/>
    <x v="25"/>
    <x v="25"/>
    <x v="25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6/06/2026"/>
    <s v="M"/>
    <s v="[1062] RAMGADH"/>
    <s v="[8405] RAMGADH"/>
    <x v="25"/>
    <x v="25"/>
    <x v="25"/>
    <s v="C"/>
    <n v="55"/>
    <n v="3.4"/>
    <n v="8.1999999999999993"/>
    <n v="1.87"/>
    <n v="4.51"/>
    <n v="36.975139800000001"/>
    <n v="2033.632689"/>
    <n v="417.01285488721805"/>
    <n v="278.00856992481204"/>
    <n v="35.588572057500002"/>
    <n v="206.25"/>
    <n v="2275.4712610575002"/>
    <n v="41.372204746500003"/>
    <n v="466.60381293045111"/>
    <n v="311.06920862030074"/>
  </r>
  <r>
    <s v="06/06/2026"/>
    <s v="E"/>
    <s v="[1062] RAMGADH"/>
    <s v="[8405] RAMGADH"/>
    <x v="25"/>
    <x v="25"/>
    <x v="25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6/06/2026"/>
    <s v="E"/>
    <s v="[1062] RAMGADH"/>
    <s v="[8405] RAMGADH"/>
    <x v="25"/>
    <x v="25"/>
    <x v="25"/>
    <s v="C"/>
    <n v="63"/>
    <n v="3.1"/>
    <n v="8.1"/>
    <n v="1.9530000000000001"/>
    <n v="5.1029999999999998"/>
    <n v="35.446125899999998"/>
    <n v="2233.1059316999999"/>
    <n v="417.01324588235298"/>
    <n v="278.0088305882353"/>
    <n v="39.079353804749999"/>
    <n v="236.25"/>
    <n v="2508.43528550475"/>
    <n v="39.816433103249999"/>
    <n v="468.42862474411766"/>
    <n v="312.28574982941177"/>
  </r>
  <r>
    <s v="07/06/2026"/>
    <s v="M"/>
    <s v="[1062] RAMGADH"/>
    <s v="[8405] RAMGADH"/>
    <x v="25"/>
    <x v="25"/>
    <x v="25"/>
    <s v="B"/>
    <n v="21"/>
    <n v="7.8"/>
    <n v="9"/>
    <n v="1.6379999999999999"/>
    <n v="1.89"/>
    <n v="65.13"/>
    <n v="1367.73"/>
    <n v="471.95652173913038"/>
    <n v="314.63768115942025"/>
    <n v="23.935275000000004"/>
    <n v="78.75"/>
    <n v="1470.4152750000001"/>
    <n v="70.01977500000001"/>
    <n v="507.38967391304351"/>
    <n v="338.25978260869567"/>
  </r>
  <r>
    <s v="07/06/2026"/>
    <s v="M"/>
    <s v="[1062] RAMGADH"/>
    <s v="[8405] RAMGADH"/>
    <x v="25"/>
    <x v="25"/>
    <x v="25"/>
    <s v="C"/>
    <n v="70"/>
    <n v="3.8"/>
    <n v="8"/>
    <n v="2.66"/>
    <n v="5.6"/>
    <n v="38.087112000000005"/>
    <n v="2666.0978400000004"/>
    <n v="417.01217518248177"/>
    <n v="278.00811678832116"/>
    <n v="46.656712200000008"/>
    <n v="262.5"/>
    <n v="2975.2545522000005"/>
    <n v="42.50363646000001"/>
    <n v="465.36828240875923"/>
    <n v="310.24552160583949"/>
  </r>
  <r>
    <s v="07/06/2026"/>
    <s v="E"/>
    <s v="[1062] RAMGADH"/>
    <s v="[8405] RAMGADH"/>
    <x v="25"/>
    <x v="25"/>
    <x v="25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07/06/2026"/>
    <s v="E"/>
    <s v="[1062] RAMGADH"/>
    <s v="[8405] RAMGADH"/>
    <x v="25"/>
    <x v="25"/>
    <x v="25"/>
    <s v="C"/>
    <n v="66"/>
    <n v="3.7"/>
    <n v="8.4"/>
    <n v="2.4420000000000002"/>
    <n v="5.5439999999999996"/>
    <n v="38.782167600000008"/>
    <n v="2559.6230616000007"/>
    <n v="417.01255483870978"/>
    <n v="278.00836989247318"/>
    <n v="44.793403578000017"/>
    <n v="247.5"/>
    <n v="2851.9164651780006"/>
    <n v="43.210855533000007"/>
    <n v="464.63285519354849"/>
    <n v="309.75523679569898"/>
  </r>
  <r>
    <s v="08/06/2026"/>
    <s v="M"/>
    <s v="[1062] RAMGADH"/>
    <s v="[8405] RAMGADH"/>
    <x v="25"/>
    <x v="25"/>
    <x v="25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08/06/2026"/>
    <s v="M"/>
    <s v="[1062] RAMGADH"/>
    <s v="[8405] RAMGADH"/>
    <x v="25"/>
    <x v="25"/>
    <x v="25"/>
    <s v="C"/>
    <n v="68"/>
    <n v="3.3"/>
    <n v="8"/>
    <n v="2.2439999999999998"/>
    <n v="5.44"/>
    <n v="36.002112000000004"/>
    <n v="2448.1436160000003"/>
    <n v="417.01288030888031"/>
    <n v="278.00858687258687"/>
    <n v="42.842513280000006"/>
    <n v="255"/>
    <n v="2745.9861292800001"/>
    <n v="40.382148960000002"/>
    <n v="467.74689915057911"/>
    <n v="311.83126610038607"/>
  </r>
  <r>
    <s v="08/06/2026"/>
    <s v="E"/>
    <s v="[1062] RAMGADH"/>
    <s v="[8405] RAMGADH"/>
    <x v="25"/>
    <x v="25"/>
    <x v="25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8/06/2026"/>
    <s v="E"/>
    <s v="[1062] RAMGADH"/>
    <s v="[8405] RAMGADH"/>
    <x v="25"/>
    <x v="25"/>
    <x v="25"/>
    <s v="C"/>
    <n v="57"/>
    <n v="3.3"/>
    <n v="8.1999999999999993"/>
    <n v="1.881"/>
    <n v="4.6739999999999995"/>
    <n v="36.558139799999999"/>
    <n v="2083.8139686"/>
    <n v="417.0130015209125"/>
    <n v="278.00866768060831"/>
    <n v="36.466744450500002"/>
    <n v="213.75"/>
    <n v="2334.0307130504998"/>
    <n v="40.947907246499994"/>
    <n v="467.086394446768"/>
    <n v="311.39092963117866"/>
  </r>
  <r>
    <s v="09/06/2026"/>
    <s v="M"/>
    <s v="[1062] RAMGADH"/>
    <s v="[8405] RAMGADH"/>
    <x v="25"/>
    <x v="25"/>
    <x v="25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9/06/2026"/>
    <s v="M"/>
    <s v="[1062] RAMGADH"/>
    <s v="[8405] RAMGADH"/>
    <x v="25"/>
    <x v="25"/>
    <x v="25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09/06/2026"/>
    <s v="E"/>
    <s v="[1062] RAMGADH"/>
    <s v="[8405] RAMGADH"/>
    <x v="25"/>
    <x v="25"/>
    <x v="25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9/06/2026"/>
    <s v="E"/>
    <s v="[1062] RAMGADH"/>
    <s v="[8405] RAMGADH"/>
    <x v="25"/>
    <x v="25"/>
    <x v="25"/>
    <s v="C"/>
    <n v="63"/>
    <n v="3.1"/>
    <n v="8"/>
    <n v="1.9530000000000001"/>
    <n v="5.04"/>
    <n v="35.168112000000008"/>
    <n v="2215.5910560000007"/>
    <n v="417.01318577075102"/>
    <n v="278.00879051383401"/>
    <n v="38.772843480000013"/>
    <n v="236.25"/>
    <n v="2490.6138994800008"/>
    <n v="39.533553960000013"/>
    <n v="468.77731968379459"/>
    <n v="312.51821312252974"/>
  </r>
  <r>
    <s v="10/06/2026"/>
    <s v="M"/>
    <s v="[1062] RAMGADH"/>
    <s v="[8405] RAMGADH"/>
    <x v="25"/>
    <x v="25"/>
    <x v="25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0/06/2026"/>
    <s v="M"/>
    <s v="[1062] RAMGADH"/>
    <s v="[8405] RAMGADH"/>
    <x v="25"/>
    <x v="25"/>
    <x v="25"/>
    <s v="C"/>
    <n v="69"/>
    <n v="3"/>
    <n v="8"/>
    <n v="2.0699999999999998"/>
    <n v="5.52"/>
    <n v="34.751112000000006"/>
    <n v="2397.8267280000005"/>
    <n v="417.01334400000002"/>
    <n v="278.00889599999999"/>
    <n v="41.961967740000013"/>
    <n v="258.75"/>
    <n v="2698.5386957400005"/>
    <n v="39.109256460000005"/>
    <n v="469.31107752000003"/>
    <n v="312.87405168000004"/>
  </r>
  <r>
    <s v="10/06/2026"/>
    <s v="E"/>
    <s v="[1062] RAMGADH"/>
    <s v="[8405] RAMGADH"/>
    <x v="25"/>
    <x v="25"/>
    <x v="25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10/06/2026"/>
    <s v="E"/>
    <s v="[1062] RAMGADH"/>
    <s v="[8405] RAMGADH"/>
    <x v="25"/>
    <x v="25"/>
    <x v="25"/>
    <s v="C"/>
    <n v="72"/>
    <n v="3.7"/>
    <n v="8.4"/>
    <n v="2.6640000000000001"/>
    <n v="6.0480000000000009"/>
    <n v="38.782167600000008"/>
    <n v="2792.3160672000004"/>
    <n v="417.01255483870978"/>
    <n v="278.00836989247318"/>
    <n v="48.865531176000012"/>
    <n v="270"/>
    <n v="3111.1815983760002"/>
    <n v="43.210855533"/>
    <n v="464.63285519354838"/>
    <n v="309.75523679569892"/>
  </r>
  <r>
    <s v="11/06/2026"/>
    <s v="M"/>
    <s v="[1062] RAMGADH"/>
    <s v="[8405] RAMGADH"/>
    <x v="25"/>
    <x v="25"/>
    <x v="25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11/06/2026"/>
    <s v="M"/>
    <s v="[1062] RAMGADH"/>
    <s v="[8405] RAMGADH"/>
    <x v="25"/>
    <x v="25"/>
    <x v="25"/>
    <s v="C"/>
    <n v="63"/>
    <n v="4"/>
    <n v="8.1"/>
    <n v="2.52"/>
    <n v="5.1029999999999998"/>
    <n v="39.199125899999999"/>
    <n v="2469.5449316999998"/>
    <n v="417.01197765957443"/>
    <n v="278.00798510638293"/>
    <n v="43.217036304750003"/>
    <n v="236.25"/>
    <n v="2749.0119680047496"/>
    <n v="43.635110603249991"/>
    <n v="464.20330428989354"/>
    <n v="309.46886952659571"/>
  </r>
  <r>
    <s v="11/06/2026"/>
    <s v="E"/>
    <s v="[1062] RAMGADH"/>
    <s v="[8405] RAMGADH"/>
    <x v="25"/>
    <x v="25"/>
    <x v="25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11/06/2026"/>
    <s v="E"/>
    <s v="[1062] RAMGADH"/>
    <s v="[8405] RAMGADH"/>
    <x v="25"/>
    <x v="25"/>
    <x v="25"/>
    <s v="C"/>
    <n v="66"/>
    <n v="3.2"/>
    <n v="8.1999999999999993"/>
    <n v="2.1120000000000001"/>
    <n v="5.411999999999999"/>
    <n v="36.141139799999998"/>
    <n v="2385.3152267999999"/>
    <n v="417.0131515384615"/>
    <n v="278.00876769230769"/>
    <n v="41.743016469000004"/>
    <n v="247.5"/>
    <n v="2674.5582432689998"/>
    <n v="40.5236097465"/>
    <n v="467.58011245961535"/>
    <n v="311.72007497307692"/>
  </r>
  <r>
    <s v="05/06/2026"/>
    <s v="M"/>
    <s v="[1062] RAMGADH"/>
    <s v="[8405] RAMGADH"/>
    <x v="26"/>
    <x v="26"/>
    <x v="26"/>
    <s v="B"/>
    <n v="56"/>
    <n v="6.8"/>
    <n v="9"/>
    <n v="3.8080000000000003"/>
    <n v="5.04"/>
    <n v="56.78"/>
    <n v="3179.6800000000003"/>
    <n v="443.59375"/>
    <n v="295.72916666666669"/>
    <n v="55.644400000000012"/>
    <n v="210"/>
    <n v="3445.3244000000004"/>
    <n v="61.523650000000011"/>
    <n v="480.65351562500007"/>
    <n v="320.43567708333336"/>
  </r>
  <r>
    <s v="05/06/2026"/>
    <s v="M"/>
    <s v="[1062] RAMGADH"/>
    <s v="[8405] RAMGADH"/>
    <x v="26"/>
    <x v="26"/>
    <x v="26"/>
    <s v="C"/>
    <n v="50"/>
    <n v="4.0999999999999996"/>
    <n v="8.3000000000000007"/>
    <n v="2.0499999999999998"/>
    <n v="4.1500000000000004"/>
    <n v="40.172153700000003"/>
    <n v="2008.6076850000002"/>
    <n v="417.01197612456752"/>
    <n v="278.00798408304502"/>
    <n v="35.150634487500007"/>
    <n v="187.5"/>
    <n v="2231.2583194875001"/>
    <n v="44.625166389749999"/>
    <n v="463.23702134688585"/>
    <n v="308.82468089792388"/>
  </r>
  <r>
    <s v="05/06/2026"/>
    <s v="E"/>
    <s v="[1062] RAMGADH"/>
    <s v="[8405] RAMGADH"/>
    <x v="26"/>
    <x v="26"/>
    <x v="26"/>
    <s v="B"/>
    <n v="56"/>
    <n v="6.1"/>
    <n v="8.6"/>
    <n v="3.4159999999999995"/>
    <n v="4.8159999999999998"/>
    <n v="49.9163"/>
    <n v="2795.3128000000002"/>
    <n v="421.82788732394374"/>
    <n v="281.21859154929581"/>
    <n v="48.917974000000008"/>
    <n v="210"/>
    <n v="3054.2307740000001"/>
    <n v="54.539835250000003"/>
    <n v="460.90001619718316"/>
    <n v="307.26667746478876"/>
  </r>
  <r>
    <s v="05/06/2026"/>
    <s v="E"/>
    <s v="[1062] RAMGADH"/>
    <s v="[8405] RAMGADH"/>
    <x v="26"/>
    <x v="26"/>
    <x v="2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6/06/2026"/>
    <s v="M"/>
    <s v="[1062] RAMGADH"/>
    <s v="[8405] RAMGADH"/>
    <x v="26"/>
    <x v="26"/>
    <x v="26"/>
    <s v="B"/>
    <n v="4"/>
    <n v="7.8"/>
    <n v="8.8000000000000007"/>
    <n v="0.312"/>
    <n v="0.35200000000000004"/>
    <n v="64.478699999999989"/>
    <n v="257.91479999999996"/>
    <n v="471.7953658536585"/>
    <n v="314.530243902439"/>
    <n v="4.513509"/>
    <n v="15"/>
    <n v="277.42830899999996"/>
    <n v="69.357077249999989"/>
    <n v="507.49080914634141"/>
    <n v="338.32720609756092"/>
  </r>
  <r>
    <s v="06/06/2026"/>
    <s v="E"/>
    <s v="[1062] RAMGADH"/>
    <s v="[8405] RAMGADH"/>
    <x v="26"/>
    <x v="26"/>
    <x v="26"/>
    <s v="B"/>
    <n v="48"/>
    <n v="6.3"/>
    <n v="8.6"/>
    <n v="3.0239999999999996"/>
    <n v="4.1279999999999992"/>
    <n v="51.552899999999994"/>
    <n v="2474.5391999999997"/>
    <n v="428.41745152354571"/>
    <n v="285.61163434903045"/>
    <n v="43.304435999999995"/>
    <n v="180"/>
    <n v="2697.8436359999996"/>
    <n v="56.205075749999992"/>
    <n v="467.07819182825483"/>
    <n v="311.38546121883655"/>
  </r>
  <r>
    <s v="06/06/2026"/>
    <s v="E"/>
    <s v="[1062] RAMGADH"/>
    <s v="[8405] RAMGADH"/>
    <x v="26"/>
    <x v="26"/>
    <x v="26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07/06/2026"/>
    <s v="M"/>
    <s v="[1062] RAMGADH"/>
    <s v="[8405] RAMGADH"/>
    <x v="26"/>
    <x v="26"/>
    <x v="26"/>
    <s v="B"/>
    <n v="48"/>
    <n v="6.8"/>
    <n v="9"/>
    <n v="3.2639999999999998"/>
    <n v="4.32"/>
    <n v="56.78"/>
    <n v="2725.44"/>
    <n v="443.59375"/>
    <n v="295.72916666666669"/>
    <n v="47.695200000000007"/>
    <n v="180"/>
    <n v="2953.1352000000002"/>
    <n v="61.523650000000004"/>
    <n v="480.65351562500001"/>
    <n v="320.43567708333336"/>
  </r>
  <r>
    <s v="07/06/2026"/>
    <s v="M"/>
    <s v="[1062] RAMGADH"/>
    <s v="[8405] RAMGADH"/>
    <x v="26"/>
    <x v="26"/>
    <x v="26"/>
    <s v="C"/>
    <n v="58"/>
    <n v="4"/>
    <n v="8.4"/>
    <n v="2.3199999999999998"/>
    <n v="4.8720000000000008"/>
    <n v="40.033167600000006"/>
    <n v="2321.9237208000004"/>
    <n v="417.01216250000004"/>
    <n v="278.00810833333338"/>
    <n v="40.63366511400001"/>
    <n v="217.5"/>
    <n v="2580.0573859140004"/>
    <n v="44.483748033000005"/>
    <n v="463.37237534375004"/>
    <n v="308.91491689583336"/>
  </r>
  <r>
    <s v="07/06/2026"/>
    <s v="E"/>
    <s v="[1062] RAMGADH"/>
    <s v="[8405] RAMGADH"/>
    <x v="26"/>
    <x v="26"/>
    <x v="26"/>
    <s v="B"/>
    <n v="39"/>
    <n v="6.4"/>
    <n v="8.8000000000000007"/>
    <n v="2.4960000000000004"/>
    <n v="3.4320000000000004"/>
    <n v="52.9056"/>
    <n v="2063.3184000000001"/>
    <n v="431.29565217391303"/>
    <n v="287.53043478260867"/>
    <n v="36.108072000000007"/>
    <n v="146.25"/>
    <n v="2245.6764720000001"/>
    <n v="57.581448000000002"/>
    <n v="469.41397826086956"/>
    <n v="312.94265217391302"/>
  </r>
  <r>
    <s v="07/06/2026"/>
    <s v="E"/>
    <s v="[1062] RAMGADH"/>
    <s v="[8405] RAMGADH"/>
    <x v="26"/>
    <x v="26"/>
    <x v="26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08/06/2026"/>
    <s v="M"/>
    <s v="[1062] RAMGADH"/>
    <s v="[8405] RAMGADH"/>
    <x v="26"/>
    <x v="26"/>
    <x v="26"/>
    <s v="B"/>
    <n v="44"/>
    <n v="6.8"/>
    <n v="8.8000000000000007"/>
    <n v="2.992"/>
    <n v="3.8720000000000003"/>
    <n v="56.212200000000003"/>
    <n v="2473.3368"/>
    <n v="443.78052631578947"/>
    <n v="295.8536842105263"/>
    <n v="43.283394000000001"/>
    <n v="165"/>
    <n v="2681.6201940000001"/>
    <n v="60.945913500000003"/>
    <n v="481.15194868421054"/>
    <n v="320.76796578947369"/>
  </r>
  <r>
    <s v="08/06/2026"/>
    <s v="M"/>
    <s v="[1062] RAMGADH"/>
    <s v="[8405] RAMGADH"/>
    <x v="26"/>
    <x v="26"/>
    <x v="26"/>
    <s v="C"/>
    <n v="48"/>
    <n v="3.6"/>
    <n v="8.3000000000000007"/>
    <n v="1.7280000000000002"/>
    <n v="3.9840000000000004"/>
    <n v="38.087153700000009"/>
    <n v="1828.1833776000003"/>
    <n v="417.01263175182481"/>
    <n v="278.00842116788323"/>
    <n v="31.993209108000009"/>
    <n v="180"/>
    <n v="2040.1765867080003"/>
    <n v="42.503678889750006"/>
    <n v="465.36874696806569"/>
    <n v="310.24583131204378"/>
  </r>
  <r>
    <s v="08/06/2026"/>
    <s v="E"/>
    <s v="[1062] RAMGADH"/>
    <s v="[8405] RAMGADH"/>
    <x v="26"/>
    <x v="26"/>
    <x v="26"/>
    <s v="B"/>
    <n v="49"/>
    <n v="7.1"/>
    <n v="8.8000000000000007"/>
    <n v="3.4789999999999996"/>
    <n v="4.3120000000000003"/>
    <n v="58.692149999999998"/>
    <n v="2875.9153499999998"/>
    <n v="452.63868894601546"/>
    <n v="301.75912596401031"/>
    <n v="50.328518625000001"/>
    <n v="183.75"/>
    <n v="3109.9938686249998"/>
    <n v="63.469262624999999"/>
    <n v="489.48017448586126"/>
    <n v="326.32011632390748"/>
  </r>
  <r>
    <s v="08/06/2026"/>
    <s v="E"/>
    <s v="[1062] RAMGADH"/>
    <s v="[8405] RAMGADH"/>
    <x v="26"/>
    <x v="26"/>
    <x v="26"/>
    <s v="C"/>
    <n v="27"/>
    <n v="3"/>
    <n v="8.4"/>
    <n v="0.81"/>
    <n v="2.2680000000000002"/>
    <n v="35.863167600000004"/>
    <n v="968.30552520000015"/>
    <n v="417.01357674418614"/>
    <n v="278.00905116279074"/>
    <n v="16.945346691000005"/>
    <n v="101.25"/>
    <n v="1086.5008718910001"/>
    <n v="40.240773033000004"/>
    <n v="467.91596550000008"/>
    <n v="311.94397700000007"/>
  </r>
  <r>
    <s v="09/06/2026"/>
    <s v="M"/>
    <s v="[1062] RAMGADH"/>
    <s v="[8405] RAMGADH"/>
    <x v="26"/>
    <x v="26"/>
    <x v="26"/>
    <s v="B"/>
    <n v="19"/>
    <n v="8.1"/>
    <n v="9"/>
    <n v="1.5390000000000001"/>
    <n v="1.71"/>
    <n v="67.635000000000005"/>
    <n v="1285.0650000000001"/>
    <n v="479.68085106382978"/>
    <n v="319.78723404255317"/>
    <n v="22.488637500000003"/>
    <n v="71.25"/>
    <n v="1378.8036375000001"/>
    <n v="72.568612500000015"/>
    <n v="514.67101063829796"/>
    <n v="343.11400709219862"/>
  </r>
  <r>
    <s v="09/06/2026"/>
    <s v="E"/>
    <s v="[1062] RAMGADH"/>
    <s v="[8405] RAMGADH"/>
    <x v="26"/>
    <x v="26"/>
    <x v="26"/>
    <s v="B"/>
    <n v="44"/>
    <n v="7"/>
    <n v="8.8000000000000007"/>
    <n v="3.08"/>
    <n v="3.8720000000000003"/>
    <n v="57.865500000000004"/>
    <n v="2546.0820000000003"/>
    <n v="449.73186528497411"/>
    <n v="299.82124352331607"/>
    <n v="44.556435000000008"/>
    <n v="165"/>
    <n v="2755.6384350000003"/>
    <n v="62.628146250000007"/>
    <n v="486.74725064766841"/>
    <n v="324.49816709844561"/>
  </r>
  <r>
    <s v="09/06/2026"/>
    <s v="E"/>
    <s v="[1062] RAMGADH"/>
    <s v="[8405] RAMGADH"/>
    <x v="26"/>
    <x v="26"/>
    <x v="26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10/06/2026"/>
    <s v="E"/>
    <s v="[1062] RAMGADH"/>
    <s v="[8405] RAMGADH"/>
    <x v="26"/>
    <x v="26"/>
    <x v="26"/>
    <s v="B"/>
    <n v="50"/>
    <n v="6.3"/>
    <n v="8.8000000000000007"/>
    <n v="3.15"/>
    <n v="4.4000000000000004"/>
    <n v="52.078949999999999"/>
    <n v="2603.9474999999998"/>
    <n v="428.04616438356163"/>
    <n v="285.36410958904111"/>
    <n v="45.569081250000004"/>
    <n v="187.5"/>
    <n v="2837.0165812499999"/>
    <n v="56.740331624999996"/>
    <n v="466.35889006849311"/>
    <n v="310.90592671232872"/>
  </r>
  <r>
    <s v="10/06/2026"/>
    <s v="E"/>
    <s v="[1062] RAMGADH"/>
    <s v="[8405] RAMGADH"/>
    <x v="26"/>
    <x v="26"/>
    <x v="26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1/06/2026"/>
    <s v="M"/>
    <s v="[1062] RAMGADH"/>
    <s v="[8405] RAMGADH"/>
    <x v="26"/>
    <x v="26"/>
    <x v="26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11/06/2026"/>
    <s v="E"/>
    <s v="[1062] RAMGADH"/>
    <s v="[8405] RAMGADH"/>
    <x v="26"/>
    <x v="26"/>
    <x v="26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11/06/2026"/>
    <s v="E"/>
    <s v="[1062] RAMGADH"/>
    <s v="[8405] RAMGADH"/>
    <x v="26"/>
    <x v="26"/>
    <x v="26"/>
    <s v="C"/>
    <n v="54"/>
    <n v="3.3"/>
    <n v="8.1"/>
    <n v="1.7819999999999998"/>
    <n v="4.3739999999999997"/>
    <n v="36.280125900000002"/>
    <n v="1959.1267986"/>
    <n v="417.0129413793104"/>
    <n v="278.00862758620696"/>
    <n v="34.284718975500006"/>
    <n v="202.5"/>
    <n v="2195.9115175755001"/>
    <n v="40.665028103250002"/>
    <n v="467.4141161293104"/>
    <n v="311.6094107528736"/>
  </r>
  <r>
    <s v="05/06/2026"/>
    <s v="M"/>
    <s v="[1062] RAMGADH"/>
    <s v="[8405] RAMGADH"/>
    <x v="27"/>
    <x v="27"/>
    <x v="27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5/06/2026"/>
    <s v="E"/>
    <s v="[1062] RAMGADH"/>
    <s v="[8405] RAMGADH"/>
    <x v="27"/>
    <x v="27"/>
    <x v="27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6/06/2026"/>
    <s v="M"/>
    <s v="[1062] RAMGADH"/>
    <s v="[8405] RAMGADH"/>
    <x v="27"/>
    <x v="27"/>
    <x v="2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s v="06/06/2026"/>
    <s v="M"/>
    <s v="[1062] RAMGADH"/>
    <s v="[8405] RAMGADH"/>
    <x v="27"/>
    <x v="27"/>
    <x v="2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7/06/2026"/>
    <s v="E"/>
    <s v="[1062] RAMGADH"/>
    <s v="[8405] RAMGADH"/>
    <x v="27"/>
    <x v="27"/>
    <x v="27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08/06/2026"/>
    <s v="M"/>
    <s v="[1062] RAMGADH"/>
    <s v="[8405] RAMGADH"/>
    <x v="27"/>
    <x v="27"/>
    <x v="27"/>
    <s v="B"/>
    <n v="23"/>
    <n v="6.4"/>
    <n v="8.8000000000000007"/>
    <n v="1.4720000000000002"/>
    <n v="2.024"/>
    <n v="52.9056"/>
    <n v="1216.8288"/>
    <n v="431.29565217391303"/>
    <n v="287.53043478260867"/>
    <n v="21.294504000000003"/>
    <n v="86.25"/>
    <n v="1324.373304"/>
    <n v="57.581448000000002"/>
    <n v="469.41397826086956"/>
    <n v="312.94265217391302"/>
  </r>
  <r>
    <s v="08/06/2026"/>
    <s v="M"/>
    <s v="[1062] RAMGADH"/>
    <s v="[8405] RAMGADH"/>
    <x v="27"/>
    <x v="27"/>
    <x v="27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8/06/2026"/>
    <s v="E"/>
    <s v="[1062] RAMGADH"/>
    <s v="[8405] RAMGADH"/>
    <x v="27"/>
    <x v="27"/>
    <x v="27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09/06/2026"/>
    <s v="E"/>
    <s v="[1062] RAMGADH"/>
    <s v="[8405] RAMGADH"/>
    <x v="27"/>
    <x v="27"/>
    <x v="27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0/06/2026"/>
    <s v="M"/>
    <s v="[1062] RAMGADH"/>
    <s v="[8405] RAMGADH"/>
    <x v="27"/>
    <x v="27"/>
    <x v="27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10/06/2026"/>
    <s v="E"/>
    <s v="[1062] RAMGADH"/>
    <s v="[8405] RAMGADH"/>
    <x v="27"/>
    <x v="27"/>
    <x v="27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11/06/2026"/>
    <s v="M"/>
    <s v="[1062] RAMGADH"/>
    <s v="[8405] RAMGADH"/>
    <x v="27"/>
    <x v="27"/>
    <x v="27"/>
    <s v="B"/>
    <n v="32"/>
    <n v="6.5"/>
    <n v="8.8000000000000007"/>
    <n v="2.08"/>
    <n v="2.8160000000000003"/>
    <n v="53.732250000000001"/>
    <n v="1719.432"/>
    <n v="434.49258760107813"/>
    <n v="289.66172506738542"/>
    <n v="30.090060000000005"/>
    <n v="120"/>
    <n v="1869.52206"/>
    <n v="58.422564375"/>
    <n v="472.41965801886789"/>
    <n v="314.94643867924526"/>
  </r>
  <r>
    <s v="11/06/2026"/>
    <s v="M"/>
    <s v="[1062] RAMGADH"/>
    <s v="[8405] RAMGADH"/>
    <x v="27"/>
    <x v="27"/>
    <x v="2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1/06/2026"/>
    <s v="E"/>
    <s v="[1062] RAMGADH"/>
    <s v="[8405] RAMGADH"/>
    <x v="27"/>
    <x v="27"/>
    <x v="27"/>
    <s v="C"/>
    <n v="8"/>
    <n v="3.1"/>
    <n v="8"/>
    <n v="0.248"/>
    <n v="0.64"/>
    <n v="35.168112000000008"/>
    <n v="281.34489600000006"/>
    <n v="417.01318577075102"/>
    <n v="278.00879051383401"/>
    <n v="4.9235356800000014"/>
    <n v="30"/>
    <n v="316.26843168000005"/>
    <n v="39.533553960000006"/>
    <n v="468.77731968379447"/>
    <n v="312.51821312252963"/>
  </r>
  <r>
    <s v="05/06/2026"/>
    <s v="M"/>
    <s v="[1062] RAMGADH"/>
    <s v="[8405] RAMGADH"/>
    <x v="28"/>
    <x v="28"/>
    <x v="28"/>
    <s v="B"/>
    <n v="15"/>
    <n v="6.7"/>
    <n v="8.6"/>
    <n v="1.0049999999999999"/>
    <n v="1.29"/>
    <n v="54.826099999999997"/>
    <n v="822.39149999999995"/>
    <n v="440.96058981233244"/>
    <n v="293.97372654155498"/>
    <n v="14.39185125"/>
    <n v="56.25"/>
    <n v="893.0333512499999"/>
    <n v="59.535556749999991"/>
    <n v="478.8382580428954"/>
    <n v="319.22550536193029"/>
  </r>
  <r>
    <s v="05/06/2026"/>
    <s v="M"/>
    <s v="[1062] RAMGADH"/>
    <s v="[8405] RAMGADH"/>
    <x v="28"/>
    <x v="28"/>
    <x v="28"/>
    <s v="C"/>
    <n v="18"/>
    <n v="4.4000000000000004"/>
    <n v="8.1"/>
    <n v="0.79200000000000004"/>
    <n v="1.4579999999999997"/>
    <n v="40.867125900000005"/>
    <n v="735.60826620000012"/>
    <n v="417.01148877551026"/>
    <n v="278.00765918367352"/>
    <n v="12.873144658500003"/>
    <n v="67.5"/>
    <n v="815.98141085850011"/>
    <n v="45.332300603250005"/>
    <n v="462.57449595153065"/>
    <n v="308.38299730102045"/>
  </r>
  <r>
    <s v="05/06/2026"/>
    <s v="E"/>
    <s v="[1062] RAMGADH"/>
    <s v="[8405] RAMGADH"/>
    <x v="28"/>
    <x v="28"/>
    <x v="28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5/06/2026"/>
    <s v="E"/>
    <s v="[1062] RAMGADH"/>
    <s v="[8405] RAMGADH"/>
    <x v="28"/>
    <x v="28"/>
    <x v="28"/>
    <s v="C"/>
    <n v="10"/>
    <n v="3.8"/>
    <n v="8.1"/>
    <n v="0.38"/>
    <n v="0.81"/>
    <n v="38.365125900000002"/>
    <n v="383.65125900000004"/>
    <n v="417.01223804347831"/>
    <n v="278.00815869565218"/>
    <n v="6.7138970325000011"/>
    <n v="37.5"/>
    <n v="427.86515603250007"/>
    <n v="42.78651560325001"/>
    <n v="465.07082177445665"/>
    <n v="310.04721451630445"/>
  </r>
  <r>
    <s v="06/06/2026"/>
    <s v="M"/>
    <s v="[1062] RAMGADH"/>
    <s v="[8405] RAMGADH"/>
    <x v="28"/>
    <x v="28"/>
    <x v="28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6/06/2026"/>
    <s v="M"/>
    <s v="[1062] RAMGADH"/>
    <s v="[8405] RAMGADH"/>
    <x v="28"/>
    <x v="28"/>
    <x v="28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06/06/2026"/>
    <s v="E"/>
    <s v="[1062] RAMGADH"/>
    <s v="[8405] RAMGADH"/>
    <x v="28"/>
    <x v="28"/>
    <x v="28"/>
    <s v="B"/>
    <n v="5"/>
    <n v="7.2"/>
    <n v="8.8000000000000007"/>
    <n v="0.36"/>
    <n v="0.44"/>
    <n v="59.518800000000006"/>
    <n v="297.59400000000005"/>
    <n v="455.50102040816324"/>
    <n v="303.66734693877549"/>
    <n v="5.2078950000000015"/>
    <n v="18.75"/>
    <n v="321.55189500000006"/>
    <n v="64.310379000000012"/>
    <n v="492.17126785714288"/>
    <n v="328.11417857142857"/>
  </r>
  <r>
    <s v="06/06/2026"/>
    <s v="E"/>
    <s v="[1062] RAMGADH"/>
    <s v="[8405] RAMGADH"/>
    <x v="28"/>
    <x v="28"/>
    <x v="28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7/06/2026"/>
    <s v="M"/>
    <s v="[1062] RAMGADH"/>
    <s v="[8405] RAMGADH"/>
    <x v="28"/>
    <x v="28"/>
    <x v="28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s v="07/06/2026"/>
    <s v="M"/>
    <s v="[1062] RAMGADH"/>
    <s v="[8405] RAMGADH"/>
    <x v="28"/>
    <x v="28"/>
    <x v="28"/>
    <s v="C"/>
    <n v="18"/>
    <n v="4.2"/>
    <n v="8.1999999999999993"/>
    <n v="0.75600000000000012"/>
    <n v="1.476"/>
    <n v="40.311139799999999"/>
    <n v="725.60051639999995"/>
    <n v="417.01179103448277"/>
    <n v="278.00786068965516"/>
    <n v="12.698009037"/>
    <n v="67.5"/>
    <n v="805.79852543699997"/>
    <n v="44.766584746500001"/>
    <n v="463.10260082586211"/>
    <n v="308.73506721724141"/>
  </r>
  <r>
    <s v="07/06/2026"/>
    <s v="E"/>
    <s v="[1062] RAMGADH"/>
    <s v="[8405] RAMGADH"/>
    <x v="28"/>
    <x v="28"/>
    <x v="28"/>
    <s v="B"/>
    <n v="5"/>
    <n v="7.1"/>
    <n v="8.8000000000000007"/>
    <n v="0.35499999999999998"/>
    <n v="0.44"/>
    <n v="58.692149999999998"/>
    <n v="293.46074999999996"/>
    <n v="452.63868894601546"/>
    <n v="301.75912596401031"/>
    <n v="5.135563125"/>
    <n v="18.75"/>
    <n v="317.34631312499994"/>
    <n v="63.469262624999985"/>
    <n v="489.48017448586114"/>
    <n v="326.32011632390743"/>
  </r>
  <r>
    <s v="07/06/2026"/>
    <s v="E"/>
    <s v="[1062] RAMGADH"/>
    <s v="[8405] RAMGADH"/>
    <x v="28"/>
    <x v="28"/>
    <x v="28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8/06/2026"/>
    <s v="M"/>
    <s v="[1062] RAMGADH"/>
    <s v="[8405] RAMGADH"/>
    <x v="28"/>
    <x v="28"/>
    <x v="28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8/06/2026"/>
    <s v="M"/>
    <s v="[1062] RAMGADH"/>
    <s v="[8405] RAMGADH"/>
    <x v="28"/>
    <x v="28"/>
    <x v="28"/>
    <s v="C"/>
    <n v="18"/>
    <n v="4.0999999999999996"/>
    <n v="8.1999999999999993"/>
    <n v="0.73799999999999999"/>
    <n v="1.476"/>
    <n v="39.894139799999998"/>
    <n v="718.09451639999997"/>
    <n v="417.01191428571434"/>
    <n v="278.00794285714289"/>
    <n v="12.566654037000001"/>
    <n v="67.5"/>
    <n v="798.16117043700001"/>
    <n v="44.3422872465"/>
    <n v="463.50822905749135"/>
    <n v="309.00548603832755"/>
  </r>
  <r>
    <s v="08/06/2026"/>
    <s v="E"/>
    <s v="[1062] RAMGADH"/>
    <s v="[8405] RAMGADH"/>
    <x v="28"/>
    <x v="28"/>
    <x v="28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08/06/2026"/>
    <s v="E"/>
    <s v="[1062] RAMGADH"/>
    <s v="[8405] RAMGADH"/>
    <x v="28"/>
    <x v="28"/>
    <x v="28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09/06/2026"/>
    <s v="M"/>
    <s v="[1062] RAMGADH"/>
    <s v="[8405] RAMGADH"/>
    <x v="28"/>
    <x v="28"/>
    <x v="28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9/06/2026"/>
    <s v="M"/>
    <s v="[1062] RAMGADH"/>
    <s v="[8405] RAMGADH"/>
    <x v="28"/>
    <x v="28"/>
    <x v="28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09/06/2026"/>
    <s v="E"/>
    <s v="[1062] RAMGADH"/>
    <s v="[8405] RAMGADH"/>
    <x v="28"/>
    <x v="28"/>
    <x v="28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9/06/2026"/>
    <s v="E"/>
    <s v="[1062] RAMGADH"/>
    <s v="[8405] RAMGADH"/>
    <x v="28"/>
    <x v="28"/>
    <x v="28"/>
    <s v="C"/>
    <n v="12"/>
    <n v="3.5"/>
    <n v="8.1"/>
    <n v="0.42"/>
    <n v="0.97199999999999986"/>
    <n v="37.114125900000005"/>
    <n v="445.36951080000006"/>
    <n v="417.01265056179784"/>
    <n v="278.00843370786521"/>
    <n v="7.7939664390000019"/>
    <n v="45"/>
    <n v="498.16347723900003"/>
    <n v="41.513623103250005"/>
    <n v="466.44520340730344"/>
    <n v="310.96346893820231"/>
  </r>
  <r>
    <s v="10/06/2026"/>
    <s v="M"/>
    <s v="[1062] RAMGADH"/>
    <s v="[8405] RAMGADH"/>
    <x v="28"/>
    <x v="28"/>
    <x v="28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10/06/2026"/>
    <s v="M"/>
    <s v="[1062] RAMGADH"/>
    <s v="[8405] RAMGADH"/>
    <x v="28"/>
    <x v="28"/>
    <x v="28"/>
    <s v="C"/>
    <n v="16"/>
    <n v="3.8"/>
    <n v="8.1"/>
    <n v="0.60799999999999998"/>
    <n v="1.296"/>
    <n v="38.365125900000002"/>
    <n v="613.84201440000004"/>
    <n v="417.01223804347831"/>
    <n v="278.00815869565218"/>
    <n v="10.742235252000002"/>
    <n v="60"/>
    <n v="684.58424965200004"/>
    <n v="42.786515603250002"/>
    <n v="465.07082177445653"/>
    <n v="310.04721451630434"/>
  </r>
  <r>
    <s v="10/06/2026"/>
    <s v="E"/>
    <s v="[1062] RAMGADH"/>
    <s v="[8405] RAMGADH"/>
    <x v="28"/>
    <x v="28"/>
    <x v="28"/>
    <s v="B"/>
    <n v="7"/>
    <n v="7"/>
    <n v="8.8000000000000007"/>
    <n v="0.49"/>
    <n v="0.6160000000000001"/>
    <n v="57.865500000000004"/>
    <n v="405.05850000000004"/>
    <n v="449.73186528497411"/>
    <n v="299.82124352331607"/>
    <n v="7.0885237500000011"/>
    <n v="26.25"/>
    <n v="438.39702375000002"/>
    <n v="62.62814625"/>
    <n v="486.74725064766835"/>
    <n v="324.49816709844555"/>
  </r>
  <r>
    <s v="10/06/2026"/>
    <s v="E"/>
    <s v="[1062] RAMGADH"/>
    <s v="[8405] RAMGADH"/>
    <x v="28"/>
    <x v="28"/>
    <x v="28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11/06/2026"/>
    <s v="M"/>
    <s v="[1062] RAMGADH"/>
    <s v="[8405] RAMGADH"/>
    <x v="28"/>
    <x v="28"/>
    <x v="28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11/06/2026"/>
    <s v="M"/>
    <s v="[1062] RAMGADH"/>
    <s v="[8405] RAMGADH"/>
    <x v="28"/>
    <x v="28"/>
    <x v="28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1/06/2026"/>
    <s v="E"/>
    <s v="[1062] RAMGADH"/>
    <s v="[8405] RAMGADH"/>
    <x v="28"/>
    <x v="28"/>
    <x v="28"/>
    <s v="B"/>
    <n v="4"/>
    <n v="6.5"/>
    <n v="8.8000000000000007"/>
    <n v="0.26"/>
    <n v="0.35200000000000004"/>
    <n v="53.732250000000001"/>
    <n v="214.929"/>
    <n v="434.49258760107813"/>
    <n v="289.66172506738542"/>
    <n v="3.7612575000000006"/>
    <n v="15"/>
    <n v="233.6902575"/>
    <n v="58.422564375"/>
    <n v="472.41965801886789"/>
    <n v="314.94643867924526"/>
  </r>
  <r>
    <s v="11/06/2026"/>
    <s v="E"/>
    <s v="[1062] RAMGADH"/>
    <s v="[8405] RAMGADH"/>
    <x v="28"/>
    <x v="28"/>
    <x v="28"/>
    <s v="C"/>
    <n v="13"/>
    <n v="4.5"/>
    <n v="8.1"/>
    <n v="0.58499999999999996"/>
    <n v="1.0529999999999999"/>
    <n v="41.284125900000006"/>
    <n v="536.69363670000007"/>
    <n v="417.01137272727277"/>
    <n v="278.00758181818185"/>
    <n v="9.3921386422500017"/>
    <n v="48.75"/>
    <n v="594.83577534225003"/>
    <n v="45.756598103249999"/>
    <n v="462.18785962878786"/>
    <n v="308.12523975252526"/>
  </r>
  <r>
    <s v="05/06/2026"/>
    <s v="M"/>
    <s v="[1062] RAMGADH"/>
    <s v="[8407] HEAD LOAD"/>
    <x v="29"/>
    <x v="29"/>
    <x v="29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5/06/2026"/>
    <s v="E"/>
    <s v="[1062] RAMGADH"/>
    <s v="[8407] HEAD LOAD"/>
    <x v="29"/>
    <x v="29"/>
    <x v="29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6/06/2026"/>
    <s v="M"/>
    <s v="[1062] RAMGADH"/>
    <s v="[8407] HEAD LOAD"/>
    <x v="29"/>
    <x v="29"/>
    <x v="29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6/2026"/>
    <s v="E"/>
    <s v="[1062] RAMGADH"/>
    <s v="[8407] HEAD LOAD"/>
    <x v="29"/>
    <x v="29"/>
    <x v="29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7/06/2026"/>
    <s v="M"/>
    <s v="[1062] RAMGADH"/>
    <s v="[8407] HEAD LOAD"/>
    <x v="29"/>
    <x v="29"/>
    <x v="29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7/06/2026"/>
    <s v="E"/>
    <s v="[1062] RAMGADH"/>
    <s v="[8407] HEAD LOAD"/>
    <x v="29"/>
    <x v="29"/>
    <x v="29"/>
    <s v="B"/>
    <n v="80"/>
    <n v="6.2"/>
    <n v="8.8000000000000007"/>
    <n v="4.96"/>
    <n v="7.04"/>
    <n v="51.252300000000005"/>
    <n v="4100.1840000000002"/>
    <n v="424.74281767955802"/>
    <n v="283.1618784530387"/>
    <n v="71.753220000000013"/>
    <n v="300"/>
    <n v="4471.9372199999998"/>
    <n v="55.899215249999997"/>
    <n v="463.25316505524859"/>
    <n v="308.83544337016571"/>
  </r>
  <r>
    <s v="08/06/2026"/>
    <s v="M"/>
    <s v="[1062] RAMGADH"/>
    <s v="[8407] HEAD LOAD"/>
    <x v="29"/>
    <x v="29"/>
    <x v="29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8/06/2026"/>
    <s v="E"/>
    <s v="[1062] RAMGADH"/>
    <s v="[8407] HEAD LOAD"/>
    <x v="29"/>
    <x v="29"/>
    <x v="29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9/06/2026"/>
    <s v="M"/>
    <s v="[1062] RAMGADH"/>
    <s v="[8407] HEAD LOAD"/>
    <x v="29"/>
    <x v="29"/>
    <x v="29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9/06/2026"/>
    <s v="E"/>
    <s v="[1062] RAMGADH"/>
    <s v="[8407] HEAD LOAD"/>
    <x v="29"/>
    <x v="29"/>
    <x v="29"/>
    <s v="B"/>
    <n v="62"/>
    <n v="6.5"/>
    <n v="9"/>
    <n v="4.03"/>
    <n v="5.58"/>
    <n v="54.274999999999999"/>
    <n v="3365.0499999999997"/>
    <n v="434.2"/>
    <n v="289.46666666666664"/>
    <n v="58.888375000000003"/>
    <n v="232.5"/>
    <n v="3656.4383749999997"/>
    <n v="58.974812499999999"/>
    <n v="471.79849999999999"/>
    <n v="314.53233333333333"/>
  </r>
  <r>
    <s v="10/06/2026"/>
    <s v="M"/>
    <s v="[1062] RAMGADH"/>
    <s v="[8407] HEAD LOAD"/>
    <x v="29"/>
    <x v="29"/>
    <x v="29"/>
    <s v="B"/>
    <n v="66"/>
    <n v="6.6"/>
    <n v="9"/>
    <n v="4.3559999999999999"/>
    <n v="5.94"/>
    <n v="55.11"/>
    <n v="3637.2599999999998"/>
    <n v="437.38095238095235"/>
    <n v="291.58730158730157"/>
    <n v="63.652050000000003"/>
    <n v="247.5"/>
    <n v="3948.4120499999999"/>
    <n v="59.824424999999998"/>
    <n v="474.79702380952381"/>
    <n v="316.5313492063492"/>
  </r>
  <r>
    <s v="10/06/2026"/>
    <s v="E"/>
    <s v="[1062] RAMGADH"/>
    <s v="[8407] HEAD LOAD"/>
    <x v="29"/>
    <x v="29"/>
    <x v="29"/>
    <s v="B"/>
    <n v="62"/>
    <n v="6.6"/>
    <n v="9"/>
    <n v="4.0919999999999996"/>
    <n v="5.58"/>
    <n v="55.11"/>
    <n v="3416.82"/>
    <n v="437.38095238095235"/>
    <n v="291.58730158730157"/>
    <n v="59.794350000000009"/>
    <n v="232.5"/>
    <n v="3709.1143500000003"/>
    <n v="59.824425000000005"/>
    <n v="474.79702380952386"/>
    <n v="316.53134920634926"/>
  </r>
  <r>
    <s v="11/06/2026"/>
    <s v="M"/>
    <s v="[1062] RAMGADH"/>
    <s v="[8407] HEAD LOAD"/>
    <x v="29"/>
    <x v="29"/>
    <x v="29"/>
    <s v="B"/>
    <n v="65"/>
    <n v="6.7"/>
    <n v="8.8000000000000007"/>
    <n v="4.3550000000000004"/>
    <n v="5.72"/>
    <n v="55.385550000000002"/>
    <n v="3600.0607500000001"/>
    <n v="440.73381962864721"/>
    <n v="293.82254641909816"/>
    <n v="63.001063125000009"/>
    <n v="243.75"/>
    <n v="3906.8118131250003"/>
    <n v="60.104797125000005"/>
    <n v="478.28751027851456"/>
    <n v="318.85834018567635"/>
  </r>
  <r>
    <s v="11/06/2026"/>
    <s v="E"/>
    <s v="[1062] RAMGADH"/>
    <s v="[8407] HEAD LOAD"/>
    <x v="29"/>
    <x v="29"/>
    <x v="29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5/06/2026"/>
    <s v="M"/>
    <s v="[1062] RAMGADH"/>
    <s v="[8405] RAMGADH"/>
    <x v="30"/>
    <x v="30"/>
    <x v="30"/>
    <s v="C"/>
    <n v="22"/>
    <n v="4.3"/>
    <n v="8.1"/>
    <n v="0.94599999999999995"/>
    <n v="1.7819999999999998"/>
    <n v="40.450125900000003"/>
    <n v="889.9027698000001"/>
    <n v="417.01160721649489"/>
    <n v="278.00773814432995"/>
    <n v="15.573298471500003"/>
    <n v="82.5"/>
    <n v="987.97606827150014"/>
    <n v="44.908003103250003"/>
    <n v="462.96910415721652"/>
    <n v="308.64606943814437"/>
  </r>
  <r>
    <s v="05/06/2026"/>
    <s v="E"/>
    <s v="[1062] RAMGADH"/>
    <s v="[8405] RAMGADH"/>
    <x v="30"/>
    <x v="30"/>
    <x v="30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06/06/2026"/>
    <s v="M"/>
    <s v="[1062] RAMGADH"/>
    <s v="[8405] RAMGADH"/>
    <x v="30"/>
    <x v="30"/>
    <x v="30"/>
    <s v="C"/>
    <n v="20"/>
    <n v="4.4000000000000004"/>
    <n v="8.1"/>
    <n v="0.88"/>
    <n v="1.62"/>
    <n v="40.867125900000005"/>
    <n v="817.34251800000015"/>
    <n v="417.01148877551026"/>
    <n v="278.00765918367352"/>
    <n v="14.303494065000004"/>
    <n v="75"/>
    <n v="906.64601206500015"/>
    <n v="45.332300603250005"/>
    <n v="462.57449595153065"/>
    <n v="308.38299730102045"/>
  </r>
  <r>
    <s v="06/06/2026"/>
    <s v="E"/>
    <s v="[1062] RAMGADH"/>
    <s v="[8405] RAMGADH"/>
    <x v="30"/>
    <x v="30"/>
    <x v="30"/>
    <s v="C"/>
    <n v="18"/>
    <n v="3.8"/>
    <n v="8.1"/>
    <n v="0.68399999999999994"/>
    <n v="1.4579999999999997"/>
    <n v="38.365125900000002"/>
    <n v="690.57226620000006"/>
    <n v="417.01223804347831"/>
    <n v="278.00815869565218"/>
    <n v="12.085014658500002"/>
    <n v="67.5"/>
    <n v="770.15728085850003"/>
    <n v="42.786515603250002"/>
    <n v="465.07082177445653"/>
    <n v="310.04721451630434"/>
  </r>
  <r>
    <s v="07/06/2026"/>
    <s v="M"/>
    <s v="[1062] RAMGADH"/>
    <s v="[8405] RAMGADH"/>
    <x v="30"/>
    <x v="30"/>
    <x v="30"/>
    <s v="C"/>
    <n v="20"/>
    <n v="4.2"/>
    <n v="8.1"/>
    <n v="0.84"/>
    <n v="1.62"/>
    <n v="40.033125900000002"/>
    <n v="800.66251800000009"/>
    <n v="417.01172812499999"/>
    <n v="278.00781875000001"/>
    <n v="14.011594065000002"/>
    <n v="75"/>
    <n v="889.67411206500014"/>
    <n v="44.483705603250009"/>
    <n v="463.37193336718758"/>
    <n v="308.9146222447917"/>
  </r>
  <r>
    <s v="07/06/2026"/>
    <s v="E"/>
    <s v="[1062] RAMGADH"/>
    <s v="[8405] RAMGADH"/>
    <x v="30"/>
    <x v="30"/>
    <x v="30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8/06/2026"/>
    <s v="M"/>
    <s v="[1062] RAMGADH"/>
    <s v="[8405] RAMGADH"/>
    <x v="30"/>
    <x v="30"/>
    <x v="30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08/06/2026"/>
    <s v="E"/>
    <s v="[1062] RAMGADH"/>
    <s v="[8405] RAMGADH"/>
    <x v="30"/>
    <x v="30"/>
    <x v="30"/>
    <s v="C"/>
    <n v="20"/>
    <n v="3.6"/>
    <n v="8.1"/>
    <n v="0.72"/>
    <n v="1.62"/>
    <n v="37.531125900000006"/>
    <n v="750.62251800000013"/>
    <n v="417.01251000000008"/>
    <n v="278.00834000000003"/>
    <n v="13.135894065000004"/>
    <n v="75"/>
    <n v="838.75841206500013"/>
    <n v="41.937920603250006"/>
    <n v="465.97689559166673"/>
    <n v="310.6512637277778"/>
  </r>
  <r>
    <s v="09/06/2026"/>
    <s v="M"/>
    <s v="[1062] RAMGADH"/>
    <s v="[8405] RAMGADH"/>
    <x v="30"/>
    <x v="30"/>
    <x v="30"/>
    <s v="C"/>
    <n v="21"/>
    <n v="4.2"/>
    <n v="8.1"/>
    <n v="0.88200000000000001"/>
    <n v="1.7009999999999998"/>
    <n v="40.033125900000002"/>
    <n v="840.69564390000005"/>
    <n v="417.01172812499999"/>
    <n v="278.00781875000001"/>
    <n v="14.712173768250002"/>
    <n v="78.75"/>
    <n v="934.15781766825"/>
    <n v="44.483705603250002"/>
    <n v="463.37193336718752"/>
    <n v="308.9146222447917"/>
  </r>
  <r>
    <s v="09/06/2026"/>
    <s v="E"/>
    <s v="[1062] RAMGADH"/>
    <s v="[8405] RAMGADH"/>
    <x v="30"/>
    <x v="30"/>
    <x v="30"/>
    <s v="C"/>
    <n v="19"/>
    <n v="4"/>
    <n v="8.1"/>
    <n v="0.76"/>
    <n v="1.5390000000000001"/>
    <n v="39.199125899999999"/>
    <n v="744.78339210000001"/>
    <n v="417.01197765957443"/>
    <n v="278.00798510638293"/>
    <n v="13.033709361750001"/>
    <n v="71.25"/>
    <n v="829.06710146174998"/>
    <n v="43.635110603249998"/>
    <n v="464.20330428989359"/>
    <n v="309.46886952659571"/>
  </r>
  <r>
    <s v="10/06/2026"/>
    <s v="M"/>
    <s v="[1062] RAMGADH"/>
    <s v="[8405] RAMGADH"/>
    <x v="30"/>
    <x v="30"/>
    <x v="30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0/06/2026"/>
    <s v="E"/>
    <s v="[1062] RAMGADH"/>
    <s v="[8405] RAMGADH"/>
    <x v="30"/>
    <x v="30"/>
    <x v="30"/>
    <s v="C"/>
    <n v="16"/>
    <n v="4"/>
    <n v="8.1"/>
    <n v="0.64"/>
    <n v="1.296"/>
    <n v="39.199125899999999"/>
    <n v="627.18601439999998"/>
    <n v="417.01197765957443"/>
    <n v="278.00798510638293"/>
    <n v="10.975755252000001"/>
    <n v="60"/>
    <n v="698.16176965199998"/>
    <n v="43.635110603249998"/>
    <n v="464.20330428989359"/>
    <n v="309.46886952659571"/>
  </r>
  <r>
    <s v="11/06/2026"/>
    <s v="M"/>
    <s v="[1062] RAMGADH"/>
    <s v="[8405] RAMGADH"/>
    <x v="30"/>
    <x v="30"/>
    <x v="30"/>
    <s v="C"/>
    <n v="19"/>
    <n v="4.7"/>
    <n v="8.1999999999999993"/>
    <n v="0.89300000000000002"/>
    <n v="1.5579999999999998"/>
    <n v="42.3961398"/>
    <n v="805.52665620000005"/>
    <n v="417.01121114754102"/>
    <n v="278.00747409836066"/>
    <n v="14.096716483500002"/>
    <n v="71.25"/>
    <n v="890.87337268350007"/>
    <n v="46.888072246500002"/>
    <n v="461.19415324426234"/>
    <n v="307.46276882950821"/>
  </r>
  <r>
    <s v="11/06/2026"/>
    <s v="E"/>
    <s v="[1062] RAMGADH"/>
    <s v="[8405] RAMGADH"/>
    <x v="30"/>
    <x v="30"/>
    <x v="30"/>
    <s v="C"/>
    <n v="15"/>
    <n v="4.2"/>
    <n v="8.1"/>
    <n v="0.63"/>
    <n v="1.2150000000000001"/>
    <n v="40.033125900000002"/>
    <n v="600.49688850000007"/>
    <n v="417.01172812499999"/>
    <n v="278.00781875000001"/>
    <n v="10.508695548750001"/>
    <n v="56.25"/>
    <n v="667.25558404875005"/>
    <n v="44.483705603250002"/>
    <n v="463.37193336718752"/>
    <n v="308.9146222447917"/>
  </r>
  <r>
    <s v="05/06/2026"/>
    <s v="M"/>
    <s v="[1062] RAMGADH"/>
    <s v="[8405] RAMGADH"/>
    <x v="31"/>
    <x v="31"/>
    <x v="31"/>
    <s v="C"/>
    <n v="66"/>
    <n v="3.5"/>
    <n v="8.1"/>
    <n v="2.31"/>
    <n v="5.3460000000000001"/>
    <n v="37.114125900000005"/>
    <n v="2449.5323094000005"/>
    <n v="417.01265056179784"/>
    <n v="278.00843370786521"/>
    <n v="42.86681541450001"/>
    <n v="247.5"/>
    <n v="2739.8991248145003"/>
    <n v="41.513623103250005"/>
    <n v="466.44520340730344"/>
    <n v="310.96346893820231"/>
  </r>
  <r>
    <s v="05/06/2026"/>
    <s v="E"/>
    <s v="[1062] RAMGADH"/>
    <s v="[8405] RAMGADH"/>
    <x v="31"/>
    <x v="31"/>
    <x v="3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7/06/2026"/>
    <s v="M"/>
    <s v="[1062] RAMGADH"/>
    <s v="[8405] RAMGADH"/>
    <x v="31"/>
    <x v="31"/>
    <x v="31"/>
    <s v="C"/>
    <n v="8"/>
    <n v="3.3"/>
    <n v="8"/>
    <n v="0.26400000000000001"/>
    <n v="0.64"/>
    <n v="36.002112000000004"/>
    <n v="288.01689600000003"/>
    <n v="417.01288030888031"/>
    <n v="278.00858687258687"/>
    <n v="5.0402956800000007"/>
    <n v="30"/>
    <n v="323.05719168000002"/>
    <n v="40.382148960000002"/>
    <n v="467.74689915057911"/>
    <n v="311.83126610038607"/>
  </r>
  <r>
    <s v="07/06/2026"/>
    <s v="E"/>
    <s v="[1062] RAMGADH"/>
    <s v="[8405] RAMGADH"/>
    <x v="31"/>
    <x v="31"/>
    <x v="3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8/06/2026"/>
    <s v="E"/>
    <s v="[1062] RAMGADH"/>
    <s v="[8405] RAMGADH"/>
    <x v="31"/>
    <x v="31"/>
    <x v="3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9/06/2026"/>
    <s v="M"/>
    <s v="[1062] RAMGADH"/>
    <s v="[8405] RAMGADH"/>
    <x v="31"/>
    <x v="31"/>
    <x v="31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09/06/2026"/>
    <s v="E"/>
    <s v="[1062] RAMGADH"/>
    <s v="[8405] RAMGADH"/>
    <x v="31"/>
    <x v="31"/>
    <x v="31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0/06/2026"/>
    <s v="M"/>
    <s v="[1062] RAMGADH"/>
    <s v="[8405] RAMGADH"/>
    <x v="31"/>
    <x v="31"/>
    <x v="31"/>
    <s v="C"/>
    <n v="60"/>
    <n v="3.2"/>
    <n v="8"/>
    <n v="1.92"/>
    <n v="4.8"/>
    <n v="35.585112000000002"/>
    <n v="2135.1067200000002"/>
    <n v="417.01303124999998"/>
    <n v="278.00868750000001"/>
    <n v="37.364367600000008"/>
    <n v="225"/>
    <n v="2397.4710876000004"/>
    <n v="39.957851460000008"/>
    <n v="468.25607179687501"/>
    <n v="312.17071453124998"/>
  </r>
  <r>
    <s v="10/06/2026"/>
    <s v="E"/>
    <s v="[1062] RAMGADH"/>
    <s v="[8405] RAMGADH"/>
    <x v="31"/>
    <x v="31"/>
    <x v="31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11/06/2026"/>
    <s v="M"/>
    <s v="[1062] RAMGADH"/>
    <s v="[8405] RAMGADH"/>
    <x v="31"/>
    <x v="31"/>
    <x v="31"/>
    <s v="C"/>
    <n v="34"/>
    <n v="4"/>
    <n v="8"/>
    <n v="1.36"/>
    <n v="2.72"/>
    <n v="38.921112000000008"/>
    <n v="1323.3178080000002"/>
    <n v="417.01191428571434"/>
    <n v="278.00794285714289"/>
    <n v="23.158061640000007"/>
    <n v="127.5"/>
    <n v="1473.9758696400002"/>
    <n v="43.352231460000006"/>
    <n v="464.48819421428578"/>
    <n v="309.65879614285717"/>
  </r>
  <r>
    <s v="05/06/2026"/>
    <s v="M"/>
    <s v="[1062] RAMGADH"/>
    <s v="[8401] DURGAWATI"/>
    <x v="32"/>
    <x v="32"/>
    <x v="32"/>
    <s v="B"/>
    <n v="46"/>
    <n v="7.5"/>
    <n v="8.9"/>
    <n v="3.45"/>
    <n v="4.0940000000000003"/>
    <n v="61.998750000000001"/>
    <n v="2851.9425000000001"/>
    <n v="461.52915632754343"/>
    <n v="307.68610421836229"/>
    <n v="49.908993750000008"/>
    <n v="172.5"/>
    <n v="3074.3514937499999"/>
    <n v="66.833728124999993"/>
    <n v="497.52154931761783"/>
    <n v="331.68103287841188"/>
  </r>
  <r>
    <s v="05/06/2026"/>
    <s v="E"/>
    <s v="[1062] RAMGADH"/>
    <s v="[8401] DURGAWATI"/>
    <x v="32"/>
    <x v="32"/>
    <x v="32"/>
    <s v="B"/>
    <n v="31"/>
    <n v="7.8"/>
    <n v="9"/>
    <n v="2.4179999999999997"/>
    <n v="2.79"/>
    <n v="65.13"/>
    <n v="2019.0299999999997"/>
    <n v="471.95652173913038"/>
    <n v="314.63768115942025"/>
    <n v="35.333024999999999"/>
    <n v="116.25"/>
    <n v="2170.6130249999997"/>
    <n v="70.019774999999996"/>
    <n v="507.3896739130434"/>
    <n v="338.25978260869562"/>
  </r>
  <r>
    <s v="06/06/2026"/>
    <s v="M"/>
    <s v="[1062] RAMGADH"/>
    <s v="[8401] DURGAWATI"/>
    <x v="32"/>
    <x v="32"/>
    <x v="32"/>
    <s v="B"/>
    <n v="32"/>
    <n v="8.4"/>
    <n v="9"/>
    <n v="2.6880000000000002"/>
    <n v="2.88"/>
    <n v="70.14"/>
    <n v="2244.48"/>
    <n v="487.08333333333326"/>
    <n v="324.72222222222217"/>
    <n v="39.278400000000005"/>
    <n v="120"/>
    <n v="2403.7584000000002"/>
    <n v="75.117450000000005"/>
    <n v="521.64895833333333"/>
    <n v="347.76597222222222"/>
  </r>
  <r>
    <s v="06/06/2026"/>
    <s v="M"/>
    <s v="[1062] RAMGADH"/>
    <s v="[8401] DURGAWATI"/>
    <x v="32"/>
    <x v="32"/>
    <x v="32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6/06/2026"/>
    <s v="E"/>
    <s v="[1062] RAMGADH"/>
    <s v="[8401] DURGAWATI"/>
    <x v="32"/>
    <x v="32"/>
    <x v="32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06/06/2026"/>
    <s v="E"/>
    <s v="[1062] RAMGADH"/>
    <s v="[8401] DURGAWATI"/>
    <x v="32"/>
    <x v="32"/>
    <x v="32"/>
    <s v="C"/>
    <n v="34"/>
    <n v="3.9"/>
    <n v="8.1999999999999993"/>
    <n v="1.3259999999999998"/>
    <n v="2.7879999999999994"/>
    <n v="39.060139800000002"/>
    <n v="1328.0447532000001"/>
    <n v="417.01216868327407"/>
    <n v="278.00811245551603"/>
    <n v="23.240783181000005"/>
    <n v="127.5"/>
    <n v="1478.7855363810002"/>
    <n v="43.493692246500004"/>
    <n v="464.34546882384348"/>
    <n v="309.5636458825623"/>
  </r>
  <r>
    <s v="07/06/2026"/>
    <s v="M"/>
    <s v="[1062] RAMGADH"/>
    <s v="[8401] DURGAWATI"/>
    <x v="32"/>
    <x v="32"/>
    <x v="32"/>
    <s v="B"/>
    <n v="39"/>
    <n v="7.8"/>
    <n v="9"/>
    <n v="3.0419999999999998"/>
    <n v="3.51"/>
    <n v="65.13"/>
    <n v="2540.0699999999997"/>
    <n v="471.95652173913038"/>
    <n v="314.63768115942025"/>
    <n v="44.451225000000001"/>
    <n v="146.25"/>
    <n v="2730.7712249999995"/>
    <n v="70.019774999999981"/>
    <n v="507.38967391304328"/>
    <n v="338.2597826086955"/>
  </r>
  <r>
    <s v="07/06/2026"/>
    <s v="E"/>
    <s v="[1062] RAMGADH"/>
    <s v="[8401] DURGAWATI"/>
    <x v="32"/>
    <x v="32"/>
    <x v="32"/>
    <s v="B"/>
    <n v="24"/>
    <n v="8"/>
    <n v="9"/>
    <n v="1.92"/>
    <n v="2.16"/>
    <n v="66.8"/>
    <n v="1603.1999999999998"/>
    <n v="477.14285714285705"/>
    <n v="318.09523809523802"/>
    <n v="28.056000000000001"/>
    <n v="90"/>
    <n v="1721.2559999999999"/>
    <n v="71.718999999999994"/>
    <n v="512.27857142857135"/>
    <n v="341.51904761904757"/>
  </r>
  <r>
    <s v="07/06/2026"/>
    <s v="E"/>
    <s v="[1062] RAMGADH"/>
    <s v="[8401] DURGAWATI"/>
    <x v="32"/>
    <x v="32"/>
    <x v="32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08/06/2026"/>
    <s v="M"/>
    <s v="[1062] RAMGADH"/>
    <s v="[8401] DURGAWATI"/>
    <x v="32"/>
    <x v="32"/>
    <x v="32"/>
    <s v="B"/>
    <n v="39"/>
    <n v="8"/>
    <n v="9"/>
    <n v="3.12"/>
    <n v="3.51"/>
    <n v="66.8"/>
    <n v="2605.1999999999998"/>
    <n v="477.14285714285705"/>
    <n v="318.09523809523802"/>
    <n v="45.591000000000001"/>
    <n v="146.25"/>
    <n v="2797.0409999999997"/>
    <n v="71.718999999999994"/>
    <n v="512.27857142857135"/>
    <n v="341.51904761904757"/>
  </r>
  <r>
    <s v="08/06/2026"/>
    <s v="E"/>
    <s v="[1062] RAMGADH"/>
    <s v="[8401] DURGAWATI"/>
    <x v="32"/>
    <x v="32"/>
    <x v="32"/>
    <s v="B"/>
    <n v="36"/>
    <n v="7.9"/>
    <n v="9"/>
    <n v="2.8440000000000003"/>
    <n v="3.24"/>
    <n v="65.965000000000003"/>
    <n v="2374.7400000000002"/>
    <n v="474.56834532374097"/>
    <n v="316.37889688249396"/>
    <n v="41.557950000000005"/>
    <n v="135"/>
    <n v="2551.2979500000001"/>
    <n v="70.869387500000002"/>
    <n v="509.85170863309349"/>
    <n v="339.901139088729"/>
  </r>
  <r>
    <s v="08/06/2026"/>
    <s v="E"/>
    <s v="[1062] RAMGADH"/>
    <s v="[8401] DURGAWATI"/>
    <x v="32"/>
    <x v="32"/>
    <x v="32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09/06/2026"/>
    <s v="M"/>
    <s v="[1062] RAMGADH"/>
    <s v="[8401] DURGAWATI"/>
    <x v="32"/>
    <x v="32"/>
    <x v="32"/>
    <s v="B"/>
    <n v="32"/>
    <n v="8.4"/>
    <n v="9"/>
    <n v="2.6880000000000002"/>
    <n v="2.88"/>
    <n v="70.14"/>
    <n v="2244.48"/>
    <n v="487.08333333333326"/>
    <n v="324.72222222222217"/>
    <n v="39.278400000000005"/>
    <n v="120"/>
    <n v="2403.7584000000002"/>
    <n v="75.117450000000005"/>
    <n v="521.64895833333333"/>
    <n v="347.76597222222222"/>
  </r>
  <r>
    <s v="09/06/2026"/>
    <s v="E"/>
    <s v="[1062] RAMGADH"/>
    <s v="[8401] DURGAWATI"/>
    <x v="32"/>
    <x v="32"/>
    <x v="32"/>
    <s v="B"/>
    <n v="28"/>
    <n v="8"/>
    <n v="9"/>
    <n v="2.2400000000000002"/>
    <n v="2.52"/>
    <n v="66.8"/>
    <n v="1870.3999999999999"/>
    <n v="477.14285714285705"/>
    <n v="318.09523809523802"/>
    <n v="32.731999999999999"/>
    <n v="105"/>
    <n v="2008.1319999999998"/>
    <n v="71.718999999999994"/>
    <n v="512.27857142857135"/>
    <n v="341.51904761904757"/>
  </r>
  <r>
    <s v="09/06/2026"/>
    <s v="E"/>
    <s v="[1062] RAMGADH"/>
    <s v="[8401] DURGAWATI"/>
    <x v="32"/>
    <x v="32"/>
    <x v="32"/>
    <s v="C"/>
    <n v="29"/>
    <n v="4"/>
    <n v="8.1"/>
    <n v="1.1599999999999999"/>
    <n v="2.3489999999999998"/>
    <n v="39.199125899999999"/>
    <n v="1136.7746511"/>
    <n v="417.01197765957443"/>
    <n v="278.00798510638293"/>
    <n v="19.893556394250002"/>
    <n v="108.75"/>
    <n v="1265.4182074942501"/>
    <n v="43.635110603249998"/>
    <n v="464.20330428989359"/>
    <n v="309.46886952659571"/>
  </r>
  <r>
    <s v="10/06/2026"/>
    <s v="M"/>
    <s v="[1062] RAMGADH"/>
    <s v="[8401] DURGAWATI"/>
    <x v="32"/>
    <x v="32"/>
    <x v="32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0/06/2026"/>
    <s v="E"/>
    <s v="[1062] RAMGADH"/>
    <s v="[8401] DURGAWATI"/>
    <x v="32"/>
    <x v="32"/>
    <x v="32"/>
    <s v="B"/>
    <n v="38"/>
    <n v="7.7"/>
    <n v="8.8000000000000007"/>
    <n v="2.9260000000000002"/>
    <n v="3.3440000000000003"/>
    <n v="63.652050000000003"/>
    <n v="2418.7779"/>
    <n v="469.17972972972979"/>
    <n v="312.78648648648652"/>
    <n v="42.328613250000004"/>
    <n v="142.5"/>
    <n v="2603.6065132499998"/>
    <n v="68.51596087499999"/>
    <n v="505.03165264127762"/>
    <n v="336.68776842751839"/>
  </r>
  <r>
    <s v="10/06/2026"/>
    <s v="E"/>
    <s v="[1062] RAMGADH"/>
    <s v="[8401] DURGAWATI"/>
    <x v="32"/>
    <x v="32"/>
    <x v="32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1/06/2026"/>
    <s v="M"/>
    <s v="[1062] RAMGADH"/>
    <s v="[8401] DURGAWATI"/>
    <x v="32"/>
    <x v="32"/>
    <x v="32"/>
    <s v="B"/>
    <n v="31"/>
    <n v="8.4"/>
    <n v="9"/>
    <n v="2.6040000000000005"/>
    <n v="2.79"/>
    <n v="70.14"/>
    <n v="2174.34"/>
    <n v="487.08333333333326"/>
    <n v="324.72222222222217"/>
    <n v="38.050950000000007"/>
    <n v="116.25"/>
    <n v="2328.64095"/>
    <n v="75.117450000000005"/>
    <n v="521.64895833333333"/>
    <n v="347.76597222222222"/>
  </r>
  <r>
    <s v="11/06/2026"/>
    <s v="E"/>
    <s v="[1062] RAMGADH"/>
    <s v="[8401] DURGAWATI"/>
    <x v="32"/>
    <x v="32"/>
    <x v="32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11/06/2026"/>
    <s v="E"/>
    <s v="[1062] RAMGADH"/>
    <s v="[8401] DURGAWATI"/>
    <x v="32"/>
    <x v="32"/>
    <x v="32"/>
    <s v="C"/>
    <n v="31"/>
    <n v="4"/>
    <n v="8.1999999999999993"/>
    <n v="1.24"/>
    <n v="2.5419999999999998"/>
    <n v="39.477139800000003"/>
    <n v="1223.7913338000001"/>
    <n v="417.0120401408451"/>
    <n v="278.00802676056338"/>
    <n v="21.416348341500004"/>
    <n v="116.25"/>
    <n v="1361.4576821415001"/>
    <n v="43.917989746500005"/>
    <n v="463.92242689964797"/>
    <n v="309.28161793309863"/>
  </r>
  <r>
    <s v="05/06/2026"/>
    <s v="M"/>
    <s v="[1062] RAMGADH"/>
    <s v="[8403] MOHANIA"/>
    <x v="33"/>
    <x v="33"/>
    <x v="33"/>
    <s v="B"/>
    <n v="60"/>
    <n v="6.2"/>
    <n v="8.8000000000000007"/>
    <n v="3.72"/>
    <n v="5.28"/>
    <n v="51.252300000000005"/>
    <n v="3075.1380000000004"/>
    <n v="424.74281767955802"/>
    <n v="283.1618784530387"/>
    <n v="53.814915000000013"/>
    <n v="225"/>
    <n v="3353.9529150000003"/>
    <n v="55.899215250000005"/>
    <n v="463.25316505524864"/>
    <n v="308.83544337016576"/>
  </r>
  <r>
    <s v="05/06/2026"/>
    <s v="M"/>
    <s v="[1062] RAMGADH"/>
    <s v="[8403] MOHANIA"/>
    <x v="33"/>
    <x v="33"/>
    <x v="33"/>
    <s v="C"/>
    <n v="59"/>
    <n v="3.5"/>
    <n v="8.1999999999999993"/>
    <n v="2.0649999999999999"/>
    <n v="4.8379999999999992"/>
    <n v="37.392139800000002"/>
    <n v="2206.1362482"/>
    <n v="417.01271152416359"/>
    <n v="278.00847434944239"/>
    <n v="38.607384343500001"/>
    <n v="221.25"/>
    <n v="2465.9936325435001"/>
    <n v="41.796502246500005"/>
    <n v="466.13199531412641"/>
    <n v="310.75466354275096"/>
  </r>
  <r>
    <s v="05/06/2026"/>
    <s v="E"/>
    <s v="[1062] RAMGADH"/>
    <s v="[8403] MOHANIA"/>
    <x v="33"/>
    <x v="33"/>
    <x v="33"/>
    <s v="B"/>
    <n v="73"/>
    <n v="5.8"/>
    <n v="8.8000000000000007"/>
    <n v="4.234"/>
    <n v="6.4240000000000013"/>
    <n v="47.945700000000002"/>
    <n v="3500.0361000000003"/>
    <n v="410.96314285714288"/>
    <n v="273.97542857142861"/>
    <n v="61.250631750000011"/>
    <n v="273.75"/>
    <n v="3835.0367317500004"/>
    <n v="52.534749750000003"/>
    <n v="450.29785500000003"/>
    <n v="300.19857000000002"/>
  </r>
  <r>
    <s v="05/06/2026"/>
    <s v="E"/>
    <s v="[1062] RAMGADH"/>
    <s v="[8403] MOHANIA"/>
    <x v="33"/>
    <x v="33"/>
    <x v="33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6/06/2026"/>
    <s v="M"/>
    <s v="[1062] RAMGADH"/>
    <s v="[8403] MOHANIA"/>
    <x v="33"/>
    <x v="33"/>
    <x v="33"/>
    <s v="B"/>
    <n v="72"/>
    <n v="6"/>
    <n v="8.8000000000000007"/>
    <n v="4.32"/>
    <n v="6.3360000000000003"/>
    <n v="49.599000000000004"/>
    <n v="3571.1280000000002"/>
    <n v="417.96910112359552"/>
    <n v="278.64606741573033"/>
    <n v="62.494740000000007"/>
    <n v="270"/>
    <n v="3903.6227400000002"/>
    <n v="54.2169825"/>
    <n v="456.88468398876404"/>
    <n v="304.58978932584267"/>
  </r>
  <r>
    <s v="06/06/2026"/>
    <s v="M"/>
    <s v="[1062] RAMGADH"/>
    <s v="[8403] MOHANIA"/>
    <x v="33"/>
    <x v="33"/>
    <x v="33"/>
    <s v="C"/>
    <n v="48"/>
    <n v="4"/>
    <n v="8.1999999999999993"/>
    <n v="1.92"/>
    <n v="3.9359999999999995"/>
    <n v="39.477139800000003"/>
    <n v="1894.9027104000002"/>
    <n v="417.0120401408451"/>
    <n v="278.00802676056338"/>
    <n v="33.160797432000003"/>
    <n v="180"/>
    <n v="2108.0635078320001"/>
    <n v="43.917989746500005"/>
    <n v="463.92242689964797"/>
    <n v="309.28161793309863"/>
  </r>
  <r>
    <s v="06/06/2026"/>
    <s v="E"/>
    <s v="[1062] RAMGADH"/>
    <s v="[8403] MOHANIA"/>
    <x v="33"/>
    <x v="33"/>
    <x v="33"/>
    <s v="B"/>
    <n v="65"/>
    <n v="6.1"/>
    <n v="9"/>
    <n v="3.9649999999999999"/>
    <n v="5.85"/>
    <n v="50.935000000000002"/>
    <n v="3310.7750000000001"/>
    <n v="420.95041322314052"/>
    <n v="280.63360881542701"/>
    <n v="57.93856250000001"/>
    <n v="243.75"/>
    <n v="3612.4635625000001"/>
    <n v="55.576362500000002"/>
    <n v="459.30878099173555"/>
    <n v="306.20585399449038"/>
  </r>
  <r>
    <s v="06/06/2026"/>
    <s v="E"/>
    <s v="[1062] RAMGADH"/>
    <s v="[8403] MOHANIA"/>
    <x v="33"/>
    <x v="33"/>
    <x v="33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7/06/2026"/>
    <s v="M"/>
    <s v="[1062] RAMGADH"/>
    <s v="[8403] MOHANIA"/>
    <x v="33"/>
    <x v="33"/>
    <x v="33"/>
    <s v="B"/>
    <n v="78"/>
    <n v="5.7"/>
    <n v="8.8000000000000007"/>
    <n v="4.4460000000000006"/>
    <n v="6.8640000000000008"/>
    <n v="47.119050000000001"/>
    <n v="3675.2859000000003"/>
    <n v="407.3693083573487"/>
    <n v="271.57953890489915"/>
    <n v="64.317503250000016"/>
    <n v="292.5"/>
    <n v="4032.1034032500002"/>
    <n v="51.693633375000005"/>
    <n v="446.91902053314124"/>
    <n v="297.94601368876084"/>
  </r>
  <r>
    <s v="07/06/2026"/>
    <s v="M"/>
    <s v="[1062] RAMGADH"/>
    <s v="[8403] MOHANIA"/>
    <x v="33"/>
    <x v="33"/>
    <x v="33"/>
    <s v="C"/>
    <n v="49"/>
    <n v="3.4"/>
    <n v="8.1"/>
    <n v="1.6659999999999999"/>
    <n v="3.9689999999999999"/>
    <n v="36.697125900000003"/>
    <n v="1798.1591691000001"/>
    <n v="417.01279431818188"/>
    <n v="278.00852954545456"/>
    <n v="31.467785459250006"/>
    <n v="183.75"/>
    <n v="2013.3769545592502"/>
    <n v="41.089325603250003"/>
    <n v="466.92415458238645"/>
    <n v="311.28276972159097"/>
  </r>
  <r>
    <s v="07/06/2026"/>
    <s v="E"/>
    <s v="[1062] RAMGADH"/>
    <s v="[8403] MOHANIA"/>
    <x v="33"/>
    <x v="33"/>
    <x v="33"/>
    <s v="B"/>
    <n v="75"/>
    <n v="5.6"/>
    <n v="8.4"/>
    <n v="4.2"/>
    <n v="6.3"/>
    <n v="45.357199999999999"/>
    <n v="3401.79"/>
    <n v="404.97500000000002"/>
    <n v="269.98333333333335"/>
    <n v="59.531325000000002"/>
    <n v="281.25"/>
    <n v="3742.5713249999999"/>
    <n v="49.900950999999999"/>
    <n v="445.54420535714291"/>
    <n v="297.02947023809526"/>
  </r>
  <r>
    <s v="07/06/2026"/>
    <s v="E"/>
    <s v="[1062] RAMGADH"/>
    <s v="[8403] MOHANIA"/>
    <x v="33"/>
    <x v="33"/>
    <x v="33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8/06/2026"/>
    <s v="M"/>
    <s v="[1062] RAMGADH"/>
    <s v="[8403] MOHANIA"/>
    <x v="33"/>
    <x v="33"/>
    <x v="33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08/06/2026"/>
    <s v="M"/>
    <s v="[1062] RAMGADH"/>
    <s v="[8403] MOHANIA"/>
    <x v="33"/>
    <x v="33"/>
    <x v="33"/>
    <s v="C"/>
    <n v="51"/>
    <n v="3.4"/>
    <n v="8.1"/>
    <n v="1.734"/>
    <n v="4.1309999999999993"/>
    <n v="36.697125900000003"/>
    <n v="1871.5534209000002"/>
    <n v="417.01279431818188"/>
    <n v="278.00852954545456"/>
    <n v="32.75218486575001"/>
    <n v="191.25"/>
    <n v="2095.5556057657504"/>
    <n v="41.08932560325001"/>
    <n v="466.92415458238651"/>
    <n v="311.28276972159102"/>
  </r>
  <r>
    <s v="08/06/2026"/>
    <s v="E"/>
    <s v="[1062] RAMGADH"/>
    <s v="[8403] MOHANIA"/>
    <x v="33"/>
    <x v="33"/>
    <x v="33"/>
    <s v="B"/>
    <n v="71"/>
    <n v="6"/>
    <n v="9"/>
    <n v="4.26"/>
    <n v="6.39"/>
    <n v="50.1"/>
    <n v="3557.1"/>
    <n v="417.5"/>
    <n v="278.33333333333331"/>
    <n v="62.249250000000004"/>
    <n v="266.25"/>
    <n v="3885.5992499999998"/>
    <n v="54.726749999999996"/>
    <n v="456.05624999999998"/>
    <n v="304.03749999999997"/>
  </r>
  <r>
    <s v="08/06/2026"/>
    <s v="E"/>
    <s v="[1062] RAMGADH"/>
    <s v="[8403] MOHANIA"/>
    <x v="33"/>
    <x v="33"/>
    <x v="33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09/06/2026"/>
    <s v="M"/>
    <s v="[1062] RAMGADH"/>
    <s v="[8403] MOHANIA"/>
    <x v="33"/>
    <x v="33"/>
    <x v="33"/>
    <s v="B"/>
    <n v="71"/>
    <n v="5.8"/>
    <n v="8.8000000000000007"/>
    <n v="4.1180000000000003"/>
    <n v="6.2480000000000011"/>
    <n v="47.945700000000002"/>
    <n v="3404.1447000000003"/>
    <n v="410.96314285714288"/>
    <n v="273.97542857142861"/>
    <n v="59.572532250000009"/>
    <n v="266.25"/>
    <n v="3729.9672322500001"/>
    <n v="52.534749750000003"/>
    <n v="450.29785500000003"/>
    <n v="300.19857000000002"/>
  </r>
  <r>
    <s v="09/06/2026"/>
    <s v="M"/>
    <s v="[1062] RAMGADH"/>
    <s v="[8403] MOHANIA"/>
    <x v="33"/>
    <x v="33"/>
    <x v="33"/>
    <s v="C"/>
    <n v="46"/>
    <n v="3.4"/>
    <n v="8"/>
    <n v="1.5640000000000001"/>
    <n v="3.68"/>
    <n v="36.419112000000005"/>
    <n v="1675.2791520000003"/>
    <n v="417.01273282442747"/>
    <n v="278.00848854961833"/>
    <n v="29.317385160000008"/>
    <n v="172.5"/>
    <n v="1877.0965371600003"/>
    <n v="40.806446460000004"/>
    <n v="467.24938694656487"/>
    <n v="311.49959129770991"/>
  </r>
  <r>
    <s v="09/06/2026"/>
    <s v="E"/>
    <s v="[1062] RAMGADH"/>
    <s v="[8403] MOHANIA"/>
    <x v="33"/>
    <x v="33"/>
    <x v="33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s v="09/06/2026"/>
    <s v="E"/>
    <s v="[1062] RAMGADH"/>
    <s v="[8403] MOHANIA"/>
    <x v="33"/>
    <x v="33"/>
    <x v="33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10/06/2026"/>
    <s v="M"/>
    <s v="[1062] RAMGADH"/>
    <s v="[8403] MOHANIA"/>
    <x v="33"/>
    <x v="33"/>
    <x v="33"/>
    <s v="B"/>
    <n v="72"/>
    <n v="6.1"/>
    <n v="9"/>
    <n v="4.3919999999999995"/>
    <n v="6.48"/>
    <n v="50.935000000000002"/>
    <n v="3667.32"/>
    <n v="420.95041322314052"/>
    <n v="280.63360881542701"/>
    <n v="64.178100000000015"/>
    <n v="270"/>
    <n v="4001.4981000000002"/>
    <n v="55.576362500000002"/>
    <n v="459.30878099173555"/>
    <n v="306.20585399449038"/>
  </r>
  <r>
    <s v="10/06/2026"/>
    <s v="M"/>
    <s v="[1062] RAMGADH"/>
    <s v="[8403] MOHANIA"/>
    <x v="33"/>
    <x v="33"/>
    <x v="33"/>
    <s v="C"/>
    <n v="51"/>
    <n v="3.2"/>
    <n v="8.1"/>
    <n v="1.6320000000000001"/>
    <n v="4.1309999999999993"/>
    <n v="35.8631259"/>
    <n v="1829.0194209000001"/>
    <n v="417.01309186046512"/>
    <n v="278.00872790697673"/>
    <n v="32.007839865750007"/>
    <n v="191.25"/>
    <n v="2052.2772607657503"/>
    <n v="40.240730603250007"/>
    <n v="467.91547213081407"/>
    <n v="311.9436480872094"/>
  </r>
  <r>
    <s v="10/06/2026"/>
    <s v="E"/>
    <s v="[1062] RAMGADH"/>
    <s v="[8403] MOHANIA"/>
    <x v="33"/>
    <x v="33"/>
    <x v="33"/>
    <s v="B"/>
    <n v="78"/>
    <n v="5.8"/>
    <n v="9"/>
    <n v="4.524"/>
    <n v="7.02"/>
    <n v="48.43"/>
    <n v="3777.54"/>
    <n v="410.42372881355936"/>
    <n v="273.61581920903956"/>
    <n v="66.106950000000012"/>
    <n v="292.5"/>
    <n v="4136.1469500000003"/>
    <n v="53.027525000000004"/>
    <n v="449.38580508474581"/>
    <n v="299.59053672316389"/>
  </r>
  <r>
    <s v="10/06/2026"/>
    <s v="E"/>
    <s v="[1062] RAMGADH"/>
    <s v="[8403] MOHANIA"/>
    <x v="33"/>
    <x v="33"/>
    <x v="33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11/06/2026"/>
    <s v="M"/>
    <s v="[1062] RAMGADH"/>
    <s v="[8403] MOHANIA"/>
    <x v="33"/>
    <x v="33"/>
    <x v="33"/>
    <s v="B"/>
    <n v="68"/>
    <n v="5.9"/>
    <n v="8.8000000000000007"/>
    <n v="4.0120000000000005"/>
    <n v="5.9840000000000009"/>
    <n v="48.772350000000003"/>
    <n v="3316.5198"/>
    <n v="414.49589235127479"/>
    <n v="276.33059490084986"/>
    <n v="58.039096500000007"/>
    <n v="255"/>
    <n v="3629.5588965000002"/>
    <n v="53.375866125000002"/>
    <n v="453.61925885269125"/>
    <n v="302.41283923512748"/>
  </r>
  <r>
    <s v="11/06/2026"/>
    <s v="M"/>
    <s v="[1062] RAMGADH"/>
    <s v="[8403] MOHANIA"/>
    <x v="33"/>
    <x v="33"/>
    <x v="33"/>
    <s v="C"/>
    <n v="51"/>
    <n v="3.4"/>
    <n v="8.1999999999999993"/>
    <n v="1.734"/>
    <n v="4.1819999999999995"/>
    <n v="36.975139800000001"/>
    <n v="1885.7321297999999"/>
    <n v="417.01285488721805"/>
    <n v="278.00856992481204"/>
    <n v="33.0003122715"/>
    <n v="191.25"/>
    <n v="2109.9824420714999"/>
    <n v="41.372204746499996"/>
    <n v="466.60381293045106"/>
    <n v="311.06920862030069"/>
  </r>
  <r>
    <s v="11/06/2026"/>
    <s v="E"/>
    <s v="[1062] RAMGADH"/>
    <s v="[8403] MOHANIA"/>
    <x v="33"/>
    <x v="33"/>
    <x v="33"/>
    <s v="B"/>
    <n v="57"/>
    <n v="5.7"/>
    <n v="8.8000000000000007"/>
    <n v="3.2490000000000006"/>
    <n v="5.016"/>
    <n v="47.119050000000001"/>
    <n v="2685.7858500000002"/>
    <n v="407.3693083573487"/>
    <n v="271.57953890489915"/>
    <n v="47.001252375000007"/>
    <n v="213.75"/>
    <n v="2946.5371023750004"/>
    <n v="51.693633375000005"/>
    <n v="446.91902053314124"/>
    <n v="297.94601368876084"/>
  </r>
  <r>
    <s v="11/06/2026"/>
    <s v="E"/>
    <s v="[1062] RAMGADH"/>
    <s v="[8403] MOHANIA"/>
    <x v="33"/>
    <x v="33"/>
    <x v="33"/>
    <s v="C"/>
    <n v="41"/>
    <n v="3.2"/>
    <n v="8"/>
    <n v="1.3120000000000003"/>
    <n v="3.28"/>
    <n v="35.585112000000002"/>
    <n v="1458.9895920000001"/>
    <n v="417.01303124999998"/>
    <n v="278.00868750000001"/>
    <n v="25.532317860000006"/>
    <n v="153.75"/>
    <n v="1638.2719098600001"/>
    <n v="39.957851460000001"/>
    <n v="468.25607179687495"/>
    <n v="312.17071453124998"/>
  </r>
  <r>
    <s v="05/06/2026"/>
    <s v="M"/>
    <s v="[1062] RAMGADH"/>
    <s v="[8401] DURGAWATI"/>
    <x v="34"/>
    <x v="34"/>
    <x v="34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05/06/2026"/>
    <s v="M"/>
    <s v="[1062] RAMGADH"/>
    <s v="[8401] DURGAWATI"/>
    <x v="34"/>
    <x v="34"/>
    <x v="34"/>
    <s v="C"/>
    <n v="29"/>
    <n v="4.0999999999999996"/>
    <n v="8.3000000000000007"/>
    <n v="1.1889999999999998"/>
    <n v="2.407"/>
    <n v="40.172153700000003"/>
    <n v="1164.9924573000001"/>
    <n v="417.01197612456752"/>
    <n v="278.00798408304502"/>
    <n v="20.387368002750001"/>
    <n v="108.75"/>
    <n v="1294.1298253027501"/>
    <n v="44.625166389749999"/>
    <n v="463.23702134688585"/>
    <n v="308.82468089792388"/>
  </r>
  <r>
    <s v="05/06/2026"/>
    <s v="E"/>
    <s v="[1062] RAMGADH"/>
    <s v="[8401] DURGAWATI"/>
    <x v="34"/>
    <x v="34"/>
    <x v="34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06/06/2026"/>
    <s v="M"/>
    <s v="[1062] RAMGADH"/>
    <s v="[8401] DURGAWATI"/>
    <x v="34"/>
    <x v="34"/>
    <x v="34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06/06/2026"/>
    <s v="E"/>
    <s v="[1062] RAMGADH"/>
    <s v="[8401] DURGAWATI"/>
    <x v="34"/>
    <x v="34"/>
    <x v="34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6/06/2026"/>
    <s v="E"/>
    <s v="[1062] RAMGADH"/>
    <s v="[8401] DURGAWATI"/>
    <x v="34"/>
    <x v="34"/>
    <x v="34"/>
    <s v="C"/>
    <n v="12"/>
    <n v="3.8"/>
    <n v="8.5"/>
    <n v="0.45599999999999996"/>
    <n v="1.02"/>
    <n v="39.4771815"/>
    <n v="473.726178"/>
    <n v="417.0124806338028"/>
    <n v="278.00832042253518"/>
    <n v="8.2902081150000004"/>
    <n v="45"/>
    <n v="527.01638611500005"/>
    <n v="43.918032176250001"/>
    <n v="463.92287510123236"/>
    <n v="309.28191673415489"/>
  </r>
  <r>
    <s v="07/06/2026"/>
    <s v="M"/>
    <s v="[1062] RAMGADH"/>
    <s v="[8401] DURGAWATI"/>
    <x v="34"/>
    <x v="34"/>
    <x v="34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07/06/2026"/>
    <s v="M"/>
    <s v="[1062] RAMGADH"/>
    <s v="[8401] DURGAWATI"/>
    <x v="34"/>
    <x v="34"/>
    <x v="34"/>
    <s v="C"/>
    <n v="32"/>
    <n v="3.9"/>
    <n v="8.4"/>
    <n v="1.248"/>
    <n v="2.6880000000000002"/>
    <n v="39.616167600000011"/>
    <n v="1267.7173632000004"/>
    <n v="417.01229052631589"/>
    <n v="278.0081936842106"/>
    <n v="22.185053856000007"/>
    <n v="120"/>
    <n v="1409.9024170560003"/>
    <n v="44.05945053300001"/>
    <n v="463.78368982105275"/>
    <n v="309.18912654736852"/>
  </r>
  <r>
    <s v="07/06/2026"/>
    <s v="E"/>
    <s v="[1062] RAMGADH"/>
    <s v="[8401] DURGAWATI"/>
    <x v="34"/>
    <x v="34"/>
    <x v="34"/>
    <s v="B"/>
    <n v="26"/>
    <n v="7.2"/>
    <n v="9"/>
    <n v="1.8720000000000001"/>
    <n v="2.34"/>
    <n v="60.120000000000005"/>
    <n v="1563.1200000000001"/>
    <n v="455.4545454545455"/>
    <n v="303.63636363636368"/>
    <n v="27.354600000000005"/>
    <n v="97.5"/>
    <n v="1687.9746"/>
    <n v="64.9221"/>
    <n v="491.83409090909089"/>
    <n v="327.88939393939393"/>
  </r>
  <r>
    <s v="07/06/2026"/>
    <s v="E"/>
    <s v="[1062] RAMGADH"/>
    <s v="[8401] DURGAWATI"/>
    <x v="34"/>
    <x v="34"/>
    <x v="34"/>
    <s v="C"/>
    <n v="11"/>
    <n v="3.8"/>
    <n v="8.4"/>
    <n v="0.41799999999999998"/>
    <n v="0.92400000000000004"/>
    <n v="39.19916760000001"/>
    <n v="431.19084360000011"/>
    <n v="417.01242127659583"/>
    <n v="278.00828085106389"/>
    <n v="7.5458397630000027"/>
    <n v="41.25"/>
    <n v="479.98668336300011"/>
    <n v="43.635153033000009"/>
    <n v="464.20375567021284"/>
    <n v="309.46917044680856"/>
  </r>
  <r>
    <s v="08/06/2026"/>
    <s v="M"/>
    <s v="[1062] RAMGADH"/>
    <s v="[8401] DURGAWATI"/>
    <x v="34"/>
    <x v="34"/>
    <x v="34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08/06/2026"/>
    <s v="M"/>
    <s v="[1062] RAMGADH"/>
    <s v="[8401] DURGAWATI"/>
    <x v="34"/>
    <x v="34"/>
    <x v="34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8/06/2026"/>
    <s v="E"/>
    <s v="[1062] RAMGADH"/>
    <s v="[8401] DURGAWATI"/>
    <x v="34"/>
    <x v="34"/>
    <x v="34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09/06/2026"/>
    <s v="M"/>
    <s v="[1062] RAMGADH"/>
    <s v="[8401] DURGAWATI"/>
    <x v="34"/>
    <x v="34"/>
    <x v="34"/>
    <s v="B"/>
    <n v="34"/>
    <n v="7.3"/>
    <n v="9"/>
    <n v="2.4819999999999998"/>
    <n v="3.06"/>
    <n v="60.954999999999998"/>
    <n v="2072.4699999999998"/>
    <n v="458.30827067669168"/>
    <n v="305.53884711779443"/>
    <n v="36.268225000000001"/>
    <n v="127.5"/>
    <n v="2236.2382249999996"/>
    <n v="65.771712499999992"/>
    <n v="494.52415413533828"/>
    <n v="329.68276942355885"/>
  </r>
  <r>
    <s v="09/06/2026"/>
    <s v="E"/>
    <s v="[1062] RAMGADH"/>
    <s v="[8401] DURGAWATI"/>
    <x v="34"/>
    <x v="34"/>
    <x v="34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10/06/2026"/>
    <s v="M"/>
    <s v="[1062] RAMGADH"/>
    <s v="[8401] DURGAWATI"/>
    <x v="34"/>
    <x v="34"/>
    <x v="34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10/06/2026"/>
    <s v="M"/>
    <s v="[1062] RAMGADH"/>
    <s v="[8401] DURGAWATI"/>
    <x v="34"/>
    <x v="34"/>
    <x v="34"/>
    <s v="C"/>
    <n v="21"/>
    <n v="3.9"/>
    <n v="8.4"/>
    <n v="0.81899999999999995"/>
    <n v="1.764"/>
    <n v="39.616167600000011"/>
    <n v="831.93951960000027"/>
    <n v="417.01229052631589"/>
    <n v="278.0081936842106"/>
    <n v="14.558941593000005"/>
    <n v="78.75"/>
    <n v="925.24846119300025"/>
    <n v="44.05945053300001"/>
    <n v="463.78368982105275"/>
    <n v="309.18912654736852"/>
  </r>
  <r>
    <s v="10/06/2026"/>
    <s v="E"/>
    <s v="[1062] RAMGADH"/>
    <s v="[8401] DURGAWATI"/>
    <x v="34"/>
    <x v="34"/>
    <x v="34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10/06/2026"/>
    <s v="E"/>
    <s v="[1062] RAMGADH"/>
    <s v="[8401] DURGAWATI"/>
    <x v="34"/>
    <x v="34"/>
    <x v="34"/>
    <s v="C"/>
    <n v="8"/>
    <n v="3.4"/>
    <n v="8.4"/>
    <n v="0.27200000000000002"/>
    <n v="0.67200000000000004"/>
    <n v="37.531167600000003"/>
    <n v="300.24934080000003"/>
    <n v="417.01297333333338"/>
    <n v="278.0086488888889"/>
    <n v="5.2543634640000008"/>
    <n v="30"/>
    <n v="335.50370426400002"/>
    <n v="41.937963033000003"/>
    <n v="465.97736703333339"/>
    <n v="310.65157802222228"/>
  </r>
  <r>
    <s v="11/06/2026"/>
    <s v="M"/>
    <s v="[1062] RAMGADH"/>
    <s v="[8401] DURGAWATI"/>
    <x v="34"/>
    <x v="34"/>
    <x v="34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11/06/2026"/>
    <s v="M"/>
    <s v="[1062] RAMGADH"/>
    <s v="[8401] DURGAWATI"/>
    <x v="34"/>
    <x v="34"/>
    <x v="34"/>
    <s v="C"/>
    <n v="30"/>
    <n v="4"/>
    <n v="8.3000000000000007"/>
    <n v="1.2"/>
    <n v="2.4900000000000002"/>
    <n v="39.755153700000008"/>
    <n v="1192.6546110000002"/>
    <n v="417.01210174825178"/>
    <n v="278.00806783216785"/>
    <n v="20.871455692500003"/>
    <n v="112.5"/>
    <n v="1326.0260666925001"/>
    <n v="44.200868889750005"/>
    <n v="463.6454778645105"/>
    <n v="309.096985243007"/>
  </r>
  <r>
    <s v="11/06/2026"/>
    <s v="E"/>
    <s v="[1062] RAMGADH"/>
    <s v="[8401] DURGAWATI"/>
    <x v="34"/>
    <x v="34"/>
    <x v="34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11/06/2026"/>
    <s v="E"/>
    <s v="[1062] RAMGADH"/>
    <s v="[8401] DURGAWATI"/>
    <x v="34"/>
    <x v="34"/>
    <x v="34"/>
    <s v="C"/>
    <n v="11"/>
    <n v="3.4"/>
    <n v="8.1999999999999993"/>
    <n v="0.374"/>
    <n v="0.90199999999999991"/>
    <n v="36.975139800000001"/>
    <n v="406.72653780000002"/>
    <n v="417.01285488721805"/>
    <n v="278.00856992481204"/>
    <n v="7.1177144115000006"/>
    <n v="41.25"/>
    <n v="455.09425221150002"/>
    <n v="41.372204746500003"/>
    <n v="466.60381293045111"/>
    <n v="311.06920862030074"/>
  </r>
  <r>
    <s v="05/06/2026"/>
    <s v="M"/>
    <s v="[1062] RAMGADH"/>
    <s v="[8403] MOHANIA"/>
    <x v="35"/>
    <x v="35"/>
    <x v="35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5/06/2026"/>
    <s v="E"/>
    <s v="[1062] RAMGADH"/>
    <s v="[8403] MOHANIA"/>
    <x v="35"/>
    <x v="35"/>
    <x v="35"/>
    <s v="C"/>
    <n v="44"/>
    <n v="3.3"/>
    <n v="8"/>
    <n v="1.452"/>
    <n v="3.52"/>
    <n v="36.002112000000004"/>
    <n v="1584.0929280000003"/>
    <n v="417.01288030888031"/>
    <n v="278.00858687258687"/>
    <n v="27.721626240000006"/>
    <n v="165"/>
    <n v="1776.8145542400002"/>
    <n v="40.382148960000002"/>
    <n v="467.74689915057911"/>
    <n v="311.83126610038607"/>
  </r>
  <r>
    <s v="06/06/2026"/>
    <s v="M"/>
    <s v="[1062] RAMGADH"/>
    <s v="[8403] MOHANIA"/>
    <x v="35"/>
    <x v="35"/>
    <x v="35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06/06/2026"/>
    <s v="M"/>
    <s v="[1062] RAMGADH"/>
    <s v="[8403] MOHANIA"/>
    <x v="35"/>
    <x v="35"/>
    <x v="35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6/06/2026"/>
    <s v="E"/>
    <s v="[1062] RAMGADH"/>
    <s v="[8403] MOHANIA"/>
    <x v="35"/>
    <x v="35"/>
    <x v="35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07/06/2026"/>
    <s v="M"/>
    <s v="[1062] RAMGADH"/>
    <s v="[8403] MOHANIA"/>
    <x v="35"/>
    <x v="35"/>
    <x v="35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s v="07/06/2026"/>
    <s v="M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6/2026"/>
    <s v="E"/>
    <s v="[1062] RAMGADH"/>
    <s v="[8403] MOHANIA"/>
    <x v="35"/>
    <x v="35"/>
    <x v="35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7/06/2026"/>
    <s v="E"/>
    <s v="[1062] RAMGADH"/>
    <s v="[8403] MOHANIA"/>
    <x v="35"/>
    <x v="35"/>
    <x v="35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8/06/2026"/>
    <s v="M"/>
    <s v="[1062] RAMGADH"/>
    <s v="[8403] MOHANIA"/>
    <x v="35"/>
    <x v="35"/>
    <x v="35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8/06/2026"/>
    <s v="M"/>
    <s v="[1062] RAMGADH"/>
    <s v="[8403] MOHANIA"/>
    <x v="35"/>
    <x v="35"/>
    <x v="35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6/2026"/>
    <s v="E"/>
    <s v="[1062] RAMGADH"/>
    <s v="[8403] MOHANIA"/>
    <x v="35"/>
    <x v="35"/>
    <x v="35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09/06/2026"/>
    <s v="M"/>
    <s v="[1062] RAMGADH"/>
    <s v="[8403] MOHANIA"/>
    <x v="35"/>
    <x v="35"/>
    <x v="35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09/06/2026"/>
    <s v="M"/>
    <s v="[1062] RAMGADH"/>
    <s v="[8403] MOHANIA"/>
    <x v="35"/>
    <x v="35"/>
    <x v="35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6/2026"/>
    <s v="E"/>
    <s v="[1062] RAMGADH"/>
    <s v="[8403] MOHANIA"/>
    <x v="35"/>
    <x v="35"/>
    <x v="35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3] MOHANIA"/>
    <x v="35"/>
    <x v="35"/>
    <x v="35"/>
    <s v="B"/>
    <n v="6"/>
    <n v="6.3"/>
    <n v="8.8000000000000007"/>
    <n v="0.37799999999999995"/>
    <n v="0.52800000000000002"/>
    <n v="52.078949999999999"/>
    <n v="312.47370000000001"/>
    <n v="428.04616438356163"/>
    <n v="285.36410958904111"/>
    <n v="5.4682897500000003"/>
    <n v="22.5"/>
    <n v="340.44198975"/>
    <n v="56.740331625000003"/>
    <n v="466.35889006849317"/>
    <n v="310.90592671232878"/>
  </r>
  <r>
    <s v="10/06/2026"/>
    <s v="M"/>
    <s v="[1062] RAMGADH"/>
    <s v="[8403] MOHANIA"/>
    <x v="35"/>
    <x v="35"/>
    <x v="35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0/06/2026"/>
    <s v="E"/>
    <s v="[1062] RAMGADH"/>
    <s v="[8403] MOHANIA"/>
    <x v="35"/>
    <x v="35"/>
    <x v="35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1/06/2026"/>
    <s v="M"/>
    <s v="[1062] RAMGADH"/>
    <s v="[8403] MOHANIA"/>
    <x v="35"/>
    <x v="35"/>
    <x v="35"/>
    <s v="B"/>
    <n v="7"/>
    <n v="5.8"/>
    <n v="8.6"/>
    <n v="0.40600000000000003"/>
    <n v="0.60199999999999998"/>
    <n v="47.461399999999998"/>
    <n v="332.22979999999995"/>
    <n v="411.51502890173413"/>
    <n v="274.34335260115608"/>
    <n v="5.8140215"/>
    <n v="26.25"/>
    <n v="364.29382149999998"/>
    <n v="52.041974499999995"/>
    <n v="451.23099277456652"/>
    <n v="300.82066184971103"/>
  </r>
  <r>
    <s v="11/06/2026"/>
    <s v="M"/>
    <s v="[1062] RAMGADH"/>
    <s v="[8403] MOHANIA"/>
    <x v="35"/>
    <x v="35"/>
    <x v="35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1/06/2026"/>
    <s v="E"/>
    <s v="[1062] RAMGADH"/>
    <s v="[8403] MOHANIA"/>
    <x v="35"/>
    <x v="35"/>
    <x v="35"/>
    <s v="C"/>
    <n v="46"/>
    <n v="3.3"/>
    <n v="8"/>
    <n v="1.5179999999999998"/>
    <n v="3.68"/>
    <n v="36.002112000000004"/>
    <n v="1656.0971520000003"/>
    <n v="417.01288030888031"/>
    <n v="278.00858687258687"/>
    <n v="28.981700160000006"/>
    <n v="172.5"/>
    <n v="1857.5788521600002"/>
    <n v="40.382148960000002"/>
    <n v="467.74689915057911"/>
    <n v="311.83126610038607"/>
  </r>
  <r>
    <s v="05/06/2026"/>
    <s v="M"/>
    <s v="[1062] RAMGADH"/>
    <s v="[8403] MOHANIA"/>
    <x v="36"/>
    <x v="36"/>
    <x v="36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05/06/2026"/>
    <s v="E"/>
    <s v="[1062] RAMGADH"/>
    <s v="[8403] MOHANIA"/>
    <x v="36"/>
    <x v="36"/>
    <x v="36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5/06/2026"/>
    <s v="E"/>
    <s v="[1062] RAMGADH"/>
    <s v="[8403] MOHANIA"/>
    <x v="36"/>
    <x v="36"/>
    <x v="36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6/06/2026"/>
    <s v="M"/>
    <s v="[1062] RAMGADH"/>
    <s v="[8403] MOHANIA"/>
    <x v="36"/>
    <x v="36"/>
    <x v="36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06/06/2026"/>
    <s v="M"/>
    <s v="[1062] RAMGADH"/>
    <s v="[8403] MOHANIA"/>
    <x v="36"/>
    <x v="36"/>
    <x v="36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6/06/2026"/>
    <s v="E"/>
    <s v="[1062] RAMGADH"/>
    <s v="[8403] MOHANIA"/>
    <x v="36"/>
    <x v="36"/>
    <x v="36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6/2026"/>
    <s v="E"/>
    <s v="[1062] RAMGADH"/>
    <s v="[8403] MOHANIA"/>
    <x v="36"/>
    <x v="36"/>
    <x v="36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6/2026"/>
    <s v="M"/>
    <s v="[1062] RAMGADH"/>
    <s v="[8403] MOHANIA"/>
    <x v="36"/>
    <x v="36"/>
    <x v="36"/>
    <s v="B"/>
    <n v="18"/>
    <n v="6.8"/>
    <n v="8.8000000000000007"/>
    <n v="1.224"/>
    <n v="1.5840000000000001"/>
    <n v="56.212200000000003"/>
    <n v="1011.8196"/>
    <n v="443.78052631578947"/>
    <n v="295.8536842105263"/>
    <n v="17.706843000000003"/>
    <n v="67.5"/>
    <n v="1097.026443"/>
    <n v="60.945913499999996"/>
    <n v="481.15194868421048"/>
    <n v="320.76796578947364"/>
  </r>
  <r>
    <s v="07/06/2026"/>
    <s v="M"/>
    <s v="[1062] RAMGADH"/>
    <s v="[8403] MOHANIA"/>
    <x v="36"/>
    <x v="36"/>
    <x v="36"/>
    <s v="C"/>
    <n v="66"/>
    <n v="3.3"/>
    <n v="8.1"/>
    <n v="2.1779999999999999"/>
    <n v="5.3460000000000001"/>
    <n v="36.280125900000002"/>
    <n v="2394.4883094000002"/>
    <n v="417.0129413793104"/>
    <n v="278.00862758620696"/>
    <n v="41.903545414500009"/>
    <n v="247.5"/>
    <n v="2683.8918548145002"/>
    <n v="40.665028103250002"/>
    <n v="467.4141161293104"/>
    <n v="311.6094107528736"/>
  </r>
  <r>
    <s v="07/06/2026"/>
    <s v="E"/>
    <s v="[1062] RAMGADH"/>
    <s v="[8403] MOHANIA"/>
    <x v="36"/>
    <x v="36"/>
    <x v="3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7/06/2026"/>
    <s v="E"/>
    <s v="[1062] RAMGADH"/>
    <s v="[8403] MOHANIA"/>
    <x v="36"/>
    <x v="36"/>
    <x v="3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8/06/2026"/>
    <s v="M"/>
    <s v="[1062] RAMGADH"/>
    <s v="[8403] MOHANIA"/>
    <x v="36"/>
    <x v="36"/>
    <x v="36"/>
    <s v="B"/>
    <n v="17"/>
    <n v="6.4"/>
    <n v="8.8000000000000007"/>
    <n v="1.0880000000000001"/>
    <n v="1.4960000000000002"/>
    <n v="52.9056"/>
    <n v="899.39520000000005"/>
    <n v="431.29565217391303"/>
    <n v="287.53043478260867"/>
    <n v="15.739416000000002"/>
    <n v="63.75"/>
    <n v="978.88461600000005"/>
    <n v="57.581448000000002"/>
    <n v="469.41397826086956"/>
    <n v="312.94265217391302"/>
  </r>
  <r>
    <s v="08/06/2026"/>
    <s v="M"/>
    <s v="[1062] RAMGADH"/>
    <s v="[8403] MOHANIA"/>
    <x v="36"/>
    <x v="36"/>
    <x v="36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08/06/2026"/>
    <s v="E"/>
    <s v="[1062] RAMGADH"/>
    <s v="[8403] MOHANIA"/>
    <x v="36"/>
    <x v="36"/>
    <x v="36"/>
    <s v="B"/>
    <n v="18"/>
    <n v="5.8"/>
    <n v="8.6"/>
    <n v="1.0439999999999998"/>
    <n v="1.5479999999999998"/>
    <n v="47.461399999999998"/>
    <n v="854.30520000000001"/>
    <n v="411.51502890173413"/>
    <n v="274.34335260115608"/>
    <n v="14.950341000000002"/>
    <n v="67.5"/>
    <n v="936.75554099999999"/>
    <n v="52.041974500000002"/>
    <n v="451.23099277456657"/>
    <n v="300.82066184971103"/>
  </r>
  <r>
    <s v="08/06/2026"/>
    <s v="E"/>
    <s v="[1062] RAMGADH"/>
    <s v="[8403] MOHANIA"/>
    <x v="36"/>
    <x v="36"/>
    <x v="36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9/06/2026"/>
    <s v="M"/>
    <s v="[1062] RAMGADH"/>
    <s v="[8403] MOHANIA"/>
    <x v="36"/>
    <x v="36"/>
    <x v="36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9/06/2026"/>
    <s v="M"/>
    <s v="[1062] RAMGADH"/>
    <s v="[8403] MOHANIA"/>
    <x v="36"/>
    <x v="36"/>
    <x v="36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09/06/2026"/>
    <s v="E"/>
    <s v="[1062] RAMGADH"/>
    <s v="[8403] MOHANIA"/>
    <x v="36"/>
    <x v="36"/>
    <x v="36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9/06/2026"/>
    <s v="E"/>
    <s v="[1062] RAMGADH"/>
    <s v="[8403] MOHANIA"/>
    <x v="36"/>
    <x v="36"/>
    <x v="36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0/06/2026"/>
    <s v="M"/>
    <s v="[1062] RAMGADH"/>
    <s v="[8403] MOHANIA"/>
    <x v="36"/>
    <x v="36"/>
    <x v="36"/>
    <s v="B"/>
    <n v="17"/>
    <n v="7"/>
    <n v="8.8000000000000007"/>
    <n v="1.19"/>
    <n v="1.4960000000000002"/>
    <n v="57.865500000000004"/>
    <n v="983.71350000000007"/>
    <n v="449.73186528497411"/>
    <n v="299.82124352331607"/>
    <n v="17.214986250000003"/>
    <n v="63.75"/>
    <n v="1064.6784862500001"/>
    <n v="62.628146250000007"/>
    <n v="486.74725064766841"/>
    <n v="324.49816709844561"/>
  </r>
  <r>
    <s v="10/06/2026"/>
    <s v="M"/>
    <s v="[1062] RAMGADH"/>
    <s v="[8403] MOHANIA"/>
    <x v="36"/>
    <x v="36"/>
    <x v="36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0/06/2026"/>
    <s v="E"/>
    <s v="[1062] RAMGADH"/>
    <s v="[8403] MOHANIA"/>
    <x v="36"/>
    <x v="36"/>
    <x v="3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0/06/2026"/>
    <s v="E"/>
    <s v="[1062] RAMGADH"/>
    <s v="[8403] MOHANIA"/>
    <x v="36"/>
    <x v="36"/>
    <x v="36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11/06/2026"/>
    <s v="M"/>
    <s v="[1062] RAMGADH"/>
    <s v="[8403] MOHANIA"/>
    <x v="36"/>
    <x v="36"/>
    <x v="36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11/06/2026"/>
    <s v="M"/>
    <s v="[1062] RAMGADH"/>
    <s v="[8403] MOHANIA"/>
    <x v="36"/>
    <x v="36"/>
    <x v="36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11/06/2026"/>
    <s v="E"/>
    <s v="[1062] RAMGADH"/>
    <s v="[8403] MOHANIA"/>
    <x v="36"/>
    <x v="36"/>
    <x v="36"/>
    <s v="B"/>
    <n v="14"/>
    <n v="6.1"/>
    <n v="8.6"/>
    <n v="0.85399999999999987"/>
    <n v="1.204"/>
    <n v="49.9163"/>
    <n v="698.82820000000004"/>
    <n v="421.82788732394374"/>
    <n v="281.21859154929581"/>
    <n v="12.229493500000002"/>
    <n v="52.5"/>
    <n v="763.55769350000003"/>
    <n v="54.539835250000003"/>
    <n v="460.90001619718316"/>
    <n v="307.26667746478876"/>
  </r>
  <r>
    <s v="11/06/2026"/>
    <s v="E"/>
    <s v="[1062] RAMGADH"/>
    <s v="[8403] MOHANIA"/>
    <x v="36"/>
    <x v="36"/>
    <x v="36"/>
    <s v="C"/>
    <n v="39"/>
    <n v="3.3"/>
    <n v="8.1"/>
    <n v="1.2869999999999999"/>
    <n v="3.1589999999999998"/>
    <n v="36.280125900000002"/>
    <n v="1414.9249101"/>
    <n v="417.0129413793104"/>
    <n v="278.00862758620696"/>
    <n v="24.761185926750002"/>
    <n v="146.25"/>
    <n v="1585.93609602675"/>
    <n v="40.665028103250002"/>
    <n v="467.4141161293104"/>
    <n v="311.6094107528736"/>
  </r>
  <r>
    <s v="05/06/2026"/>
    <s v="M"/>
    <s v="[1062] RAMGADH"/>
    <s v="[8404] CHANDESH"/>
    <x v="37"/>
    <x v="37"/>
    <x v="37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05/06/2026"/>
    <s v="M"/>
    <s v="[1062] RAMGADH"/>
    <s v="[8404] CHANDESH"/>
    <x v="37"/>
    <x v="37"/>
    <x v="37"/>
    <s v="C"/>
    <n v="51"/>
    <n v="3.6"/>
    <n v="8.1999999999999993"/>
    <n v="1.8359999999999999"/>
    <n v="4.1819999999999995"/>
    <n v="37.809139800000004"/>
    <n v="1928.2661298000003"/>
    <n v="417.01257132352941"/>
    <n v="278.00838088235292"/>
    <n v="33.74465727150001"/>
    <n v="191.25"/>
    <n v="2153.2607870715001"/>
    <n v="42.220799746499999"/>
    <n v="465.6705854393382"/>
    <n v="310.44705695955878"/>
  </r>
  <r>
    <s v="05/06/2026"/>
    <s v="E"/>
    <s v="[1062] RAMGADH"/>
    <s v="[8404] CHANDESH"/>
    <x v="37"/>
    <x v="37"/>
    <x v="37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5/06/2026"/>
    <s v="E"/>
    <s v="[1062] RAMGADH"/>
    <s v="[8404] CHANDESH"/>
    <x v="37"/>
    <x v="37"/>
    <x v="37"/>
    <s v="C"/>
    <n v="24"/>
    <n v="3.8"/>
    <n v="8.3000000000000007"/>
    <n v="0.91199999999999992"/>
    <n v="1.9920000000000002"/>
    <n v="38.921153700000005"/>
    <n v="934.10768880000012"/>
    <n v="417.01236107142859"/>
    <n v="278.00824071428571"/>
    <n v="16.346884554000003"/>
    <n v="90"/>
    <n v="1040.4545733540001"/>
    <n v="43.352273889750002"/>
    <n v="464.48864881874999"/>
    <n v="309.6590992125"/>
  </r>
  <r>
    <s v="06/06/2026"/>
    <s v="M"/>
    <s v="[1062] RAMGADH"/>
    <s v="[8404] CHANDESH"/>
    <x v="37"/>
    <x v="37"/>
    <x v="37"/>
    <s v="B"/>
    <n v="24"/>
    <n v="7.6"/>
    <n v="9"/>
    <n v="1.8239999999999998"/>
    <n v="2.16"/>
    <n v="63.46"/>
    <n v="1523.04"/>
    <n v="466.61764705882348"/>
    <n v="311.07843137254901"/>
    <n v="26.653200000000002"/>
    <n v="90"/>
    <n v="1639.6931999999999"/>
    <n v="68.320549999999997"/>
    <n v="502.35698529411758"/>
    <n v="334.90465686274507"/>
  </r>
  <r>
    <s v="06/06/2026"/>
    <s v="M"/>
    <s v="[1062] RAMGADH"/>
    <s v="[8404] CHANDESH"/>
    <x v="37"/>
    <x v="37"/>
    <x v="37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06/06/2026"/>
    <s v="E"/>
    <s v="[1062] RAMGADH"/>
    <s v="[8404] CHANDESH"/>
    <x v="37"/>
    <x v="37"/>
    <x v="37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06/06/2026"/>
    <s v="E"/>
    <s v="[1062] RAMGADH"/>
    <s v="[8404] CHANDESH"/>
    <x v="37"/>
    <x v="37"/>
    <x v="37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7/06/2026"/>
    <s v="M"/>
    <s v="[1062] RAMGADH"/>
    <s v="[8404] CHANDESH"/>
    <x v="37"/>
    <x v="37"/>
    <x v="37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07/06/2026"/>
    <s v="M"/>
    <s v="[1062] RAMGADH"/>
    <s v="[8404] CHANDESH"/>
    <x v="37"/>
    <x v="37"/>
    <x v="37"/>
    <s v="C"/>
    <n v="21"/>
    <n v="4.3"/>
    <n v="8.4"/>
    <n v="0.90300000000000002"/>
    <n v="1.764"/>
    <n v="41.284167600000004"/>
    <n v="866.96751960000006"/>
    <n v="417.01179393939395"/>
    <n v="278.00786262626264"/>
    <n v="15.171931593000002"/>
    <n v="78.75"/>
    <n v="960.88945119300001"/>
    <n v="45.756640533000002"/>
    <n v="462.18828821212122"/>
    <n v="308.12552547474746"/>
  </r>
  <r>
    <s v="07/06/2026"/>
    <s v="E"/>
    <s v="[1062] RAMGADH"/>
    <s v="[8404] CHANDESH"/>
    <x v="37"/>
    <x v="37"/>
    <x v="37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7/06/2026"/>
    <s v="E"/>
    <s v="[1062] RAMGADH"/>
    <s v="[8404] CHANDESH"/>
    <x v="37"/>
    <x v="37"/>
    <x v="37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8/06/2026"/>
    <s v="M"/>
    <s v="[1062] RAMGADH"/>
    <s v="[8404] CHANDESH"/>
    <x v="37"/>
    <x v="37"/>
    <x v="37"/>
    <s v="B"/>
    <n v="28"/>
    <n v="7.6"/>
    <n v="9"/>
    <n v="2.1279999999999997"/>
    <n v="2.52"/>
    <n v="63.46"/>
    <n v="1776.88"/>
    <n v="466.61764705882348"/>
    <n v="311.07843137254901"/>
    <n v="31.095400000000005"/>
    <n v="105"/>
    <n v="1912.9754"/>
    <n v="68.320549999999997"/>
    <n v="502.35698529411758"/>
    <n v="334.90465686274507"/>
  </r>
  <r>
    <s v="08/06/2026"/>
    <s v="M"/>
    <s v="[1062] RAMGADH"/>
    <s v="[8404] CHANDESH"/>
    <x v="37"/>
    <x v="37"/>
    <x v="37"/>
    <s v="C"/>
    <n v="23"/>
    <n v="4.0999999999999996"/>
    <n v="8.4"/>
    <n v="0.94299999999999995"/>
    <n v="1.9320000000000002"/>
    <n v="40.4501676"/>
    <n v="930.35385480000002"/>
    <n v="417.01203711340207"/>
    <n v="278.00802474226805"/>
    <n v="16.281192459000003"/>
    <n v="86.25"/>
    <n v="1032.885047259"/>
    <n v="44.908045532999999"/>
    <n v="462.96954157731955"/>
    <n v="308.64636105154636"/>
  </r>
  <r>
    <s v="08/06/2026"/>
    <s v="E"/>
    <s v="[1062] RAMGADH"/>
    <s v="[8404] CHANDESH"/>
    <x v="37"/>
    <x v="37"/>
    <x v="37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08/06/2026"/>
    <s v="E"/>
    <s v="[1062] RAMGADH"/>
    <s v="[8404] CHANDESH"/>
    <x v="37"/>
    <x v="37"/>
    <x v="37"/>
    <s v="C"/>
    <n v="16"/>
    <n v="4"/>
    <n v="8.4"/>
    <n v="0.64"/>
    <n v="1.3440000000000001"/>
    <n v="40.033167600000006"/>
    <n v="640.53068160000009"/>
    <n v="417.01216250000004"/>
    <n v="278.00810833333338"/>
    <n v="11.209286928000003"/>
    <n v="60"/>
    <n v="711.73996852800008"/>
    <n v="44.483748033000005"/>
    <n v="463.37237534375004"/>
    <n v="308.91491689583336"/>
  </r>
  <r>
    <s v="09/06/2026"/>
    <s v="M"/>
    <s v="[1062] RAMGADH"/>
    <s v="[8404] CHANDESH"/>
    <x v="37"/>
    <x v="37"/>
    <x v="37"/>
    <s v="B"/>
    <n v="21"/>
    <n v="7.7"/>
    <n v="9"/>
    <n v="1.6170000000000002"/>
    <n v="1.89"/>
    <n v="64.295000000000002"/>
    <n v="1350.1949999999999"/>
    <n v="469.30656934306569"/>
    <n v="312.87104622871044"/>
    <n v="23.6284125"/>
    <n v="78.75"/>
    <n v="1452.5734124999999"/>
    <n v="69.170162499999989"/>
    <n v="504.89169708029186"/>
    <n v="336.59446472019459"/>
  </r>
  <r>
    <s v="09/06/2026"/>
    <s v="M"/>
    <s v="[1062] RAMGADH"/>
    <s v="[8404] CHANDESH"/>
    <x v="37"/>
    <x v="37"/>
    <x v="37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09/06/2026"/>
    <s v="E"/>
    <s v="[1062] RAMGADH"/>
    <s v="[8404] CHANDESH"/>
    <x v="37"/>
    <x v="37"/>
    <x v="37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09/06/2026"/>
    <s v="E"/>
    <s v="[1062] RAMGADH"/>
    <s v="[8404] CHANDESH"/>
    <x v="37"/>
    <x v="37"/>
    <x v="37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10/06/2026"/>
    <s v="M"/>
    <s v="[1062] RAMGADH"/>
    <s v="[8404] CHANDESH"/>
    <x v="37"/>
    <x v="37"/>
    <x v="37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10/06/2026"/>
    <s v="M"/>
    <s v="[1062] RAMGADH"/>
    <s v="[8404] CHANDESH"/>
    <x v="37"/>
    <x v="37"/>
    <x v="37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10/06/2026"/>
    <s v="E"/>
    <s v="[1062] RAMGADH"/>
    <s v="[8404] CHANDESH"/>
    <x v="37"/>
    <x v="37"/>
    <x v="37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10/06/2026"/>
    <s v="E"/>
    <s v="[1062] RAMGADH"/>
    <s v="[8404] CHANDESH"/>
    <x v="37"/>
    <x v="37"/>
    <x v="37"/>
    <s v="C"/>
    <n v="30"/>
    <n v="3.7"/>
    <n v="8.4"/>
    <n v="1.1100000000000001"/>
    <n v="2.52"/>
    <n v="38.782167600000008"/>
    <n v="1163.4650280000003"/>
    <n v="417.01255483870978"/>
    <n v="278.00836989247318"/>
    <n v="20.360637990000008"/>
    <n v="112.5"/>
    <n v="1296.3256659900003"/>
    <n v="43.210855533000007"/>
    <n v="464.63285519354849"/>
    <n v="309.75523679569898"/>
  </r>
  <r>
    <s v="11/06/2026"/>
    <s v="M"/>
    <s v="[1062] RAMGADH"/>
    <s v="[8404] CHANDESH"/>
    <x v="37"/>
    <x v="37"/>
    <x v="37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1/06/2026"/>
    <s v="E"/>
    <s v="[1062] RAMGADH"/>
    <s v="[8404] CHANDESH"/>
    <x v="37"/>
    <x v="37"/>
    <x v="37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05/06/2026"/>
    <s v="M"/>
    <s v="[1062] RAMGADH"/>
    <s v="[8403] MOHANIA"/>
    <x v="38"/>
    <x v="38"/>
    <x v="38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05/06/2026"/>
    <s v="M"/>
    <s v="[1062] RAMGADH"/>
    <s v="[8403] MOHANIA"/>
    <x v="38"/>
    <x v="38"/>
    <x v="38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05/06/2026"/>
    <s v="E"/>
    <s v="[1062] RAMGADH"/>
    <s v="[8403] MOHANIA"/>
    <x v="38"/>
    <x v="38"/>
    <x v="38"/>
    <s v="C"/>
    <n v="40"/>
    <n v="4.7"/>
    <n v="8.5"/>
    <n v="1.88"/>
    <n v="3.4"/>
    <n v="43.2301815"/>
    <n v="1729.2072600000001"/>
    <n v="417.01139710610931"/>
    <n v="278.00759807073956"/>
    <n v="30.261127050000006"/>
    <n v="150"/>
    <n v="1909.46838705"/>
    <n v="47.736709676250001"/>
    <n v="460.48272999598072"/>
    <n v="306.98848666398715"/>
  </r>
  <r>
    <s v="06/06/2026"/>
    <s v="M"/>
    <s v="[1062] RAMGADH"/>
    <s v="[8403] MOHANIA"/>
    <x v="38"/>
    <x v="38"/>
    <x v="38"/>
    <s v="B"/>
    <n v="30"/>
    <n v="5.9"/>
    <n v="8.8000000000000007"/>
    <n v="1.77"/>
    <n v="2.64"/>
    <n v="48.772350000000003"/>
    <n v="1463.1705000000002"/>
    <n v="414.49589235127479"/>
    <n v="276.33059490084986"/>
    <n v="25.605483750000005"/>
    <n v="112.5"/>
    <n v="1601.2759837500003"/>
    <n v="53.375866125000009"/>
    <n v="453.6192588526913"/>
    <n v="302.41283923512754"/>
  </r>
  <r>
    <s v="06/06/2026"/>
    <s v="M"/>
    <s v="[1062] RAMGADH"/>
    <s v="[8403] MOHANIA"/>
    <x v="38"/>
    <x v="38"/>
    <x v="38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6/06/2026"/>
    <s v="E"/>
    <s v="[1062] RAMGADH"/>
    <s v="[8403] MOHANIA"/>
    <x v="38"/>
    <x v="38"/>
    <x v="38"/>
    <s v="B"/>
    <n v="31"/>
    <n v="5.6"/>
    <n v="8.4"/>
    <n v="1.736"/>
    <n v="2.6040000000000005"/>
    <n v="45.357199999999999"/>
    <n v="1406.0732"/>
    <n v="404.97500000000002"/>
    <n v="269.98333333333335"/>
    <n v="24.606281000000003"/>
    <n v="116.25"/>
    <n v="1546.9294810000001"/>
    <n v="49.900951000000006"/>
    <n v="445.54420535714297"/>
    <n v="297.02947023809531"/>
  </r>
  <r>
    <s v="06/06/2026"/>
    <s v="E"/>
    <s v="[1062] RAMGADH"/>
    <s v="[8403] MOHANIA"/>
    <x v="38"/>
    <x v="38"/>
    <x v="3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7/06/2026"/>
    <s v="M"/>
    <s v="[1062] RAMGADH"/>
    <s v="[8403] MOHANIA"/>
    <x v="38"/>
    <x v="38"/>
    <x v="38"/>
    <s v="B"/>
    <n v="29"/>
    <n v="6.1"/>
    <n v="8.8000000000000007"/>
    <n v="1.7689999999999997"/>
    <n v="2.552"/>
    <n v="50.425650000000005"/>
    <n v="1462.3438500000002"/>
    <n v="421.38426183844012"/>
    <n v="280.92284122562677"/>
    <n v="25.591017375000007"/>
    <n v="108.75"/>
    <n v="1596.6848673750003"/>
    <n v="55.058098875000013"/>
    <n v="460.09553377437334"/>
    <n v="306.73035584958222"/>
  </r>
  <r>
    <s v="07/06/2026"/>
    <s v="M"/>
    <s v="[1062] RAMGADH"/>
    <s v="[8403] MOHANIA"/>
    <x v="38"/>
    <x v="38"/>
    <x v="38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7/06/2026"/>
    <s v="E"/>
    <s v="[1062] RAMGADH"/>
    <s v="[8403] MOHANIA"/>
    <x v="38"/>
    <x v="38"/>
    <x v="38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07/06/2026"/>
    <s v="E"/>
    <s v="[1062] RAMGADH"/>
    <s v="[8403] MOHANIA"/>
    <x v="38"/>
    <x v="38"/>
    <x v="38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8/06/2026"/>
    <s v="M"/>
    <s v="[1062] RAMGADH"/>
    <s v="[8403] MOHANIA"/>
    <x v="38"/>
    <x v="38"/>
    <x v="38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08/06/2026"/>
    <s v="M"/>
    <s v="[1062] RAMGADH"/>
    <s v="[8403] MOHANIA"/>
    <x v="38"/>
    <x v="38"/>
    <x v="38"/>
    <s v="C"/>
    <n v="24"/>
    <n v="3.5"/>
    <n v="8"/>
    <n v="0.84"/>
    <n v="1.92"/>
    <n v="36.836112000000007"/>
    <n v="884.06668800000011"/>
    <n v="417.01258867924531"/>
    <n v="278.00839245283021"/>
    <n v="15.471167040000003"/>
    <n v="90"/>
    <n v="989.53785504000007"/>
    <n v="41.230743960000005"/>
    <n v="466.76313916981132"/>
    <n v="311.17542611320755"/>
  </r>
  <r>
    <s v="08/06/2026"/>
    <s v="E"/>
    <s v="[1062] RAMGADH"/>
    <s v="[8403] MOHANIA"/>
    <x v="38"/>
    <x v="38"/>
    <x v="38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8/06/2026"/>
    <s v="E"/>
    <s v="[1062] RAMGADH"/>
    <s v="[8403] MOHANIA"/>
    <x v="38"/>
    <x v="38"/>
    <x v="3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9/06/2026"/>
    <s v="M"/>
    <s v="[1062] RAMGADH"/>
    <s v="[8403] MOHANIA"/>
    <x v="38"/>
    <x v="38"/>
    <x v="38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09/06/2026"/>
    <s v="M"/>
    <s v="[1062] RAMGADH"/>
    <s v="[8403] MOHANIA"/>
    <x v="38"/>
    <x v="38"/>
    <x v="38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9/06/2026"/>
    <s v="E"/>
    <s v="[1062] RAMGADH"/>
    <s v="[8403] MOHANIA"/>
    <x v="38"/>
    <x v="38"/>
    <x v="38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09/06/2026"/>
    <s v="E"/>
    <s v="[1062] RAMGADH"/>
    <s v="[8403] MOHANIA"/>
    <x v="38"/>
    <x v="38"/>
    <x v="38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0/06/2026"/>
    <s v="M"/>
    <s v="[1062] RAMGADH"/>
    <s v="[8403] MOHANIA"/>
    <x v="38"/>
    <x v="38"/>
    <x v="38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10/06/2026"/>
    <s v="M"/>
    <s v="[1062] RAMGADH"/>
    <s v="[8403] MOHANIA"/>
    <x v="38"/>
    <x v="38"/>
    <x v="38"/>
    <s v="C"/>
    <n v="40"/>
    <n v="3.4"/>
    <n v="8"/>
    <n v="1.36"/>
    <n v="3.2"/>
    <n v="36.419112000000005"/>
    <n v="1456.7644800000003"/>
    <n v="417.01273282442747"/>
    <n v="278.00848854961833"/>
    <n v="25.493378400000008"/>
    <n v="150"/>
    <n v="1632.2578584000003"/>
    <n v="40.806446460000004"/>
    <n v="467.24938694656487"/>
    <n v="311.49959129770991"/>
  </r>
  <r>
    <s v="10/06/2026"/>
    <s v="E"/>
    <s v="[1062] RAMGADH"/>
    <s v="[8403] MOHANIA"/>
    <x v="38"/>
    <x v="38"/>
    <x v="38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0/06/2026"/>
    <s v="E"/>
    <s v="[1062] RAMGADH"/>
    <s v="[8403] MOHANIA"/>
    <x v="38"/>
    <x v="38"/>
    <x v="3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1/06/2026"/>
    <s v="M"/>
    <s v="[1062] RAMGADH"/>
    <s v="[8403] MOHANIA"/>
    <x v="38"/>
    <x v="38"/>
    <x v="3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s v="11/06/2026"/>
    <s v="M"/>
    <s v="[1062] RAMGADH"/>
    <s v="[8403] MOHANIA"/>
    <x v="38"/>
    <x v="38"/>
    <x v="38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1/06/2026"/>
    <s v="E"/>
    <s v="[1062] RAMGADH"/>
    <s v="[8403] MOHANIA"/>
    <x v="38"/>
    <x v="38"/>
    <x v="38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11/06/2026"/>
    <s v="E"/>
    <s v="[1062] RAMGADH"/>
    <s v="[8403] MOHANIA"/>
    <x v="38"/>
    <x v="38"/>
    <x v="38"/>
    <s v="C"/>
    <n v="29"/>
    <n v="3.1"/>
    <n v="8"/>
    <n v="0.89900000000000002"/>
    <n v="2.3199999999999998"/>
    <n v="35.168112000000008"/>
    <n v="1019.8752480000003"/>
    <n v="417.01318577075102"/>
    <n v="278.00879051383401"/>
    <n v="17.847816840000007"/>
    <n v="108.75"/>
    <n v="1146.4730648400002"/>
    <n v="39.533553960000006"/>
    <n v="468.77731968379447"/>
    <n v="312.51821312252963"/>
  </r>
  <r>
    <s v="05/06/2026"/>
    <s v="M"/>
    <s v="[1062] RAMGADH"/>
    <s v="[8402] RAMPUR"/>
    <x v="39"/>
    <x v="39"/>
    <x v="39"/>
    <s v="B"/>
    <n v="82"/>
    <n v="5.8"/>
    <n v="8.6"/>
    <n v="4.7559999999999993"/>
    <n v="7.0519999999999996"/>
    <n v="47.461399999999998"/>
    <n v="3891.8347999999996"/>
    <n v="411.51502890173413"/>
    <n v="274.34335260115608"/>
    <n v="68.107108999999994"/>
    <n v="307.5"/>
    <n v="4267.4419089999992"/>
    <n v="52.041974499999988"/>
    <n v="451.23099277456646"/>
    <n v="300.82066184971097"/>
  </r>
  <r>
    <s v="05/06/2026"/>
    <s v="M"/>
    <s v="[1062] RAMGADH"/>
    <s v="[8402] RAMPUR"/>
    <x v="39"/>
    <x v="39"/>
    <x v="3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6/2026"/>
    <s v="E"/>
    <s v="[1062] RAMGADH"/>
    <s v="[8402] RAMPUR"/>
    <x v="39"/>
    <x v="39"/>
    <x v="39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s v="05/06/2026"/>
    <s v="E"/>
    <s v="[1062] RAMGADH"/>
    <s v="[8402] RAMPUR"/>
    <x v="39"/>
    <x v="39"/>
    <x v="39"/>
    <s v="C"/>
    <n v="26"/>
    <n v="3.3"/>
    <n v="8"/>
    <n v="0.85799999999999998"/>
    <n v="2.08"/>
    <n v="36.002112000000004"/>
    <n v="936.05491200000006"/>
    <n v="417.01288030888031"/>
    <n v="278.00858687258687"/>
    <n v="16.380960960000003"/>
    <n v="97.5"/>
    <n v="1049.9358729600001"/>
    <n v="40.382148960000002"/>
    <n v="467.74689915057911"/>
    <n v="311.83126610038607"/>
  </r>
  <r>
    <s v="06/06/2026"/>
    <s v="M"/>
    <s v="[1062] RAMGADH"/>
    <s v="[8402] RAMPUR"/>
    <x v="39"/>
    <x v="39"/>
    <x v="39"/>
    <s v="B"/>
    <n v="26"/>
    <n v="5.9"/>
    <n v="8.6"/>
    <n v="1.534"/>
    <n v="2.2359999999999998"/>
    <n v="48.279699999999998"/>
    <n v="1255.2721999999999"/>
    <n v="415.01174785100284"/>
    <n v="276.67449856733521"/>
    <n v="21.967263500000001"/>
    <n v="97.5"/>
    <n v="1374.7394634999998"/>
    <n v="52.874594749999993"/>
    <n v="454.50941045845269"/>
    <n v="303.00627363896848"/>
  </r>
  <r>
    <s v="06/06/2026"/>
    <s v="E"/>
    <s v="[1062] RAMGADH"/>
    <s v="[8402] RAMPUR"/>
    <x v="39"/>
    <x v="39"/>
    <x v="39"/>
    <s v="C"/>
    <n v="106"/>
    <n v="4.0999999999999996"/>
    <n v="8.1"/>
    <n v="4.3460000000000001"/>
    <n v="8.5859999999999985"/>
    <n v="39.6161259"/>
    <n v="4199.3093454"/>
    <n v="417.01185157894736"/>
    <n v="278.00790105263155"/>
    <n v="73.487913544500003"/>
    <n v="397.5"/>
    <n v="4670.2972589444998"/>
    <n v="44.05940810325"/>
    <n v="463.78324319210526"/>
    <n v="309.18882879473682"/>
  </r>
  <r>
    <s v="07/06/2026"/>
    <s v="M"/>
    <s v="[1062] RAMGADH"/>
    <s v="[8402] RAMPUR"/>
    <x v="39"/>
    <x v="39"/>
    <x v="39"/>
    <s v="B"/>
    <n v="41"/>
    <n v="6.9"/>
    <n v="8.8000000000000007"/>
    <n v="2.8290000000000002"/>
    <n v="3.6080000000000001"/>
    <n v="57.038850000000004"/>
    <n v="2338.59285"/>
    <n v="446.77950391644907"/>
    <n v="297.85300261096603"/>
    <n v="40.925374875000003"/>
    <n v="153.75"/>
    <n v="2533.2682248749998"/>
    <n v="61.787029874999995"/>
    <n v="483.97151338120096"/>
    <n v="322.64767558746729"/>
  </r>
  <r>
    <s v="07/06/2026"/>
    <s v="M"/>
    <s v="[1062] RAMGADH"/>
    <s v="[8402] RAMPUR"/>
    <x v="39"/>
    <x v="39"/>
    <x v="39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07/06/2026"/>
    <s v="E"/>
    <s v="[1062] RAMGADH"/>
    <s v="[8402] RAMPUR"/>
    <x v="39"/>
    <x v="39"/>
    <x v="39"/>
    <s v="C"/>
    <n v="91"/>
    <n v="3.7"/>
    <n v="8.1"/>
    <n v="3.367"/>
    <n v="7.3710000000000004"/>
    <n v="37.948125900000008"/>
    <n v="3453.2794569000007"/>
    <n v="417.01237252747262"/>
    <n v="278.00824835164843"/>
    <n v="60.43239049575002"/>
    <n v="341.25"/>
    <n v="3854.9618473957507"/>
    <n v="42.362218103250008"/>
    <n v="465.51888025549459"/>
    <n v="310.34592017032975"/>
  </r>
  <r>
    <s v="08/06/2026"/>
    <s v="M"/>
    <s v="[1062] RAMGADH"/>
    <s v="[8402] RAMPUR"/>
    <x v="39"/>
    <x v="39"/>
    <x v="39"/>
    <s v="B"/>
    <n v="78"/>
    <n v="5.8"/>
    <n v="8.6"/>
    <n v="4.524"/>
    <n v="6.7079999999999993"/>
    <n v="47.461399999999998"/>
    <n v="3701.9892"/>
    <n v="411.51502890173413"/>
    <n v="274.34335260115608"/>
    <n v="64.784811000000005"/>
    <n v="292.5"/>
    <n v="4059.274011"/>
    <n v="52.041974500000002"/>
    <n v="451.23099277456657"/>
    <n v="300.82066184971103"/>
  </r>
  <r>
    <s v="08/06/2026"/>
    <s v="M"/>
    <s v="[1062] RAMGADH"/>
    <s v="[8402] RAMPUR"/>
    <x v="39"/>
    <x v="39"/>
    <x v="39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08/06/2026"/>
    <s v="E"/>
    <s v="[1062] RAMGADH"/>
    <s v="[8402] RAMPUR"/>
    <x v="39"/>
    <x v="39"/>
    <x v="3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8/06/2026"/>
    <s v="E"/>
    <s v="[1062] RAMGADH"/>
    <s v="[8402] RAMPUR"/>
    <x v="39"/>
    <x v="39"/>
    <x v="3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9/06/2026"/>
    <s v="M"/>
    <s v="[1062] RAMGADH"/>
    <s v="[8402] RAMPUR"/>
    <x v="39"/>
    <x v="39"/>
    <x v="39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09/06/2026"/>
    <s v="M"/>
    <s v="[1062] RAMGADH"/>
    <s v="[8402] RAMPUR"/>
    <x v="39"/>
    <x v="39"/>
    <x v="39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9/06/2026"/>
    <s v="E"/>
    <s v="[1062] RAMGADH"/>
    <s v="[8402] RAMPUR"/>
    <x v="39"/>
    <x v="39"/>
    <x v="39"/>
    <s v="B"/>
    <n v="56"/>
    <n v="5.6"/>
    <n v="8.4"/>
    <n v="3.1359999999999997"/>
    <n v="4.7040000000000006"/>
    <n v="45.357199999999999"/>
    <n v="2540.0032000000001"/>
    <n v="404.97500000000002"/>
    <n v="269.98333333333335"/>
    <n v="44.450056000000004"/>
    <n v="210"/>
    <n v="2794.4532560000002"/>
    <n v="49.900951000000006"/>
    <n v="445.54420535714297"/>
    <n v="297.02947023809531"/>
  </r>
  <r>
    <s v="09/06/2026"/>
    <s v="E"/>
    <s v="[1062] RAMGADH"/>
    <s v="[8402] RAMPUR"/>
    <x v="39"/>
    <x v="39"/>
    <x v="39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10/06/2026"/>
    <s v="M"/>
    <s v="[1062] RAMGADH"/>
    <s v="[8402] RAMPUR"/>
    <x v="39"/>
    <x v="39"/>
    <x v="39"/>
    <s v="B"/>
    <n v="61"/>
    <n v="6.2"/>
    <n v="8.8000000000000007"/>
    <n v="3.782"/>
    <n v="5.3680000000000003"/>
    <n v="51.252300000000005"/>
    <n v="3126.3903000000005"/>
    <n v="424.74281767955802"/>
    <n v="283.1618784530387"/>
    <n v="54.711830250000013"/>
    <n v="228.75"/>
    <n v="3409.8521302500003"/>
    <n v="55.899215250000005"/>
    <n v="463.25316505524864"/>
    <n v="308.83544337016576"/>
  </r>
  <r>
    <s v="10/06/2026"/>
    <s v="M"/>
    <s v="[1062] RAMGADH"/>
    <s v="[8402] RAMPUR"/>
    <x v="39"/>
    <x v="39"/>
    <x v="39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10/06/2026"/>
    <s v="E"/>
    <s v="[1062] RAMGADH"/>
    <s v="[8402] RAMPUR"/>
    <x v="39"/>
    <x v="39"/>
    <x v="39"/>
    <s v="C"/>
    <n v="90"/>
    <n v="3.6"/>
    <n v="8.1"/>
    <n v="3.24"/>
    <n v="7.29"/>
    <n v="37.531125900000006"/>
    <n v="3377.8013310000006"/>
    <n v="417.01251000000008"/>
    <n v="278.00834000000003"/>
    <n v="59.111523292500017"/>
    <n v="337.5"/>
    <n v="3774.4128542925005"/>
    <n v="41.937920603250006"/>
    <n v="465.97689559166673"/>
    <n v="310.6512637277778"/>
  </r>
  <r>
    <s v="11/06/2026"/>
    <s v="M"/>
    <s v="[1062] RAMGADH"/>
    <s v="[8402] RAMPUR"/>
    <x v="39"/>
    <x v="39"/>
    <x v="39"/>
    <s v="B"/>
    <n v="70"/>
    <n v="5.8"/>
    <n v="8.4"/>
    <n v="4.0599999999999996"/>
    <n v="5.88"/>
    <n v="46.9771"/>
    <n v="3288.3969999999999"/>
    <n v="412.07982456140354"/>
    <n v="274.71988304093571"/>
    <n v="57.546947500000002"/>
    <n v="262.5"/>
    <n v="3608.4439474999999"/>
    <n v="51.549199250000001"/>
    <n v="452.18595833333336"/>
    <n v="301.45730555555559"/>
  </r>
  <r>
    <s v="11/06/2026"/>
    <s v="M"/>
    <s v="[1062] RAMGADH"/>
    <s v="[8402] RAMPUR"/>
    <x v="39"/>
    <x v="39"/>
    <x v="39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1/06/2026"/>
    <s v="E"/>
    <s v="[1062] RAMGADH"/>
    <s v="[8402] RAMPUR"/>
    <x v="39"/>
    <x v="39"/>
    <x v="39"/>
    <s v="B"/>
    <n v="55"/>
    <n v="5.6"/>
    <n v="8.4"/>
    <n v="3.08"/>
    <n v="4.62"/>
    <n v="45.357199999999999"/>
    <n v="2494.6459999999997"/>
    <n v="404.97500000000002"/>
    <n v="269.98333333333335"/>
    <n v="43.656304999999996"/>
    <n v="206.25"/>
    <n v="2744.5523049999997"/>
    <n v="49.900950999999992"/>
    <n v="445.54420535714286"/>
    <n v="297.02947023809526"/>
  </r>
  <r>
    <s v="11/06/2026"/>
    <s v="E"/>
    <s v="[1062] RAMGADH"/>
    <s v="[8402] RAMPUR"/>
    <x v="39"/>
    <x v="39"/>
    <x v="39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5/06/2026"/>
    <s v="M"/>
    <s v="[1062] RAMGADH"/>
    <s v="[8401] DURGAWATI"/>
    <x v="40"/>
    <x v="40"/>
    <x v="40"/>
    <s v="B"/>
    <n v="60"/>
    <n v="6.4"/>
    <n v="8.8000000000000007"/>
    <n v="3.84"/>
    <n v="5.28"/>
    <n v="52.9056"/>
    <n v="3174.3359999999998"/>
    <n v="431.29565217391303"/>
    <n v="287.53043478260867"/>
    <n v="55.550879999999999"/>
    <n v="225"/>
    <n v="3454.88688"/>
    <n v="57.581448000000002"/>
    <n v="469.41397826086956"/>
    <n v="312.94265217391302"/>
  </r>
  <r>
    <s v="05/06/2026"/>
    <s v="M"/>
    <s v="[1062] RAMGADH"/>
    <s v="[8401] DURGAWATI"/>
    <x v="40"/>
    <x v="40"/>
    <x v="40"/>
    <s v="C"/>
    <n v="24"/>
    <n v="3.7"/>
    <n v="8"/>
    <n v="0.88800000000000012"/>
    <n v="1.92"/>
    <n v="37.670112000000003"/>
    <n v="904.08268800000008"/>
    <n v="417.0123099630996"/>
    <n v="278.0082066420664"/>
    <n v="15.821447040000002"/>
    <n v="90"/>
    <n v="1009.90413504"/>
    <n v="42.079338960000001"/>
    <n v="465.82294051660512"/>
    <n v="310.5486270110701"/>
  </r>
  <r>
    <s v="05/06/2026"/>
    <s v="E"/>
    <s v="[1062] RAMGADH"/>
    <s v="[8401] DURGAWATI"/>
    <x v="40"/>
    <x v="40"/>
    <x v="40"/>
    <s v="B"/>
    <n v="33"/>
    <n v="5.9"/>
    <n v="8.6"/>
    <n v="1.9470000000000001"/>
    <n v="2.8380000000000001"/>
    <n v="48.279699999999998"/>
    <n v="1593.2301"/>
    <n v="415.01174785100284"/>
    <n v="276.67449856733521"/>
    <n v="27.881526750000003"/>
    <n v="123.75"/>
    <n v="1744.8616267499999"/>
    <n v="52.87459475"/>
    <n v="454.50941045845275"/>
    <n v="303.00627363896848"/>
  </r>
  <r>
    <s v="05/06/2026"/>
    <s v="E"/>
    <s v="[1062] RAMGADH"/>
    <s v="[8401] DURGAWATI"/>
    <x v="40"/>
    <x v="40"/>
    <x v="40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6/2026"/>
    <s v="M"/>
    <s v="[1062] RAMGADH"/>
    <s v="[8401] DURGAWATI"/>
    <x v="40"/>
    <x v="40"/>
    <x v="40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06/06/2026"/>
    <s v="M"/>
    <s v="[1062] RAMGADH"/>
    <s v="[8401] DURGAWATI"/>
    <x v="40"/>
    <x v="40"/>
    <x v="40"/>
    <s v="C"/>
    <n v="34"/>
    <n v="3.6"/>
    <n v="8.1"/>
    <n v="1.224"/>
    <n v="2.7539999999999996"/>
    <n v="37.531125900000006"/>
    <n v="1276.0582806000002"/>
    <n v="417.01251000000008"/>
    <n v="278.00834000000003"/>
    <n v="22.331019910500007"/>
    <n v="127.5"/>
    <n v="1425.8893005105001"/>
    <n v="41.937920603250006"/>
    <n v="465.97689559166673"/>
    <n v="310.6512637277778"/>
  </r>
  <r>
    <s v="06/06/2026"/>
    <s v="E"/>
    <s v="[1062] RAMGADH"/>
    <s v="[8401] DURGAWATI"/>
    <x v="40"/>
    <x v="40"/>
    <x v="40"/>
    <s v="B"/>
    <n v="30"/>
    <n v="6"/>
    <n v="8.6"/>
    <n v="1.8"/>
    <n v="2.58"/>
    <n v="49.097999999999999"/>
    <n v="1472.94"/>
    <n v="418.44886363636368"/>
    <n v="278.96590909090912"/>
    <n v="25.776450000000004"/>
    <n v="112.5"/>
    <n v="1611.2164500000001"/>
    <n v="53.707215000000005"/>
    <n v="457.73194602272736"/>
    <n v="305.15463068181822"/>
  </r>
  <r>
    <s v="06/06/2026"/>
    <s v="E"/>
    <s v="[1062] RAMGADH"/>
    <s v="[8401] DURGAWATI"/>
    <x v="40"/>
    <x v="40"/>
    <x v="40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7/06/2026"/>
    <s v="M"/>
    <s v="[1062] RAMGADH"/>
    <s v="[8401] DURGAWATI"/>
    <x v="40"/>
    <x v="40"/>
    <x v="40"/>
    <s v="B"/>
    <n v="62"/>
    <n v="6.7"/>
    <n v="8.8000000000000007"/>
    <n v="4.1539999999999999"/>
    <n v="5.4560000000000004"/>
    <n v="55.385550000000002"/>
    <n v="3433.9041000000002"/>
    <n v="440.73381962864721"/>
    <n v="293.82254641909816"/>
    <n v="60.093321750000008"/>
    <n v="232.5"/>
    <n v="3726.4974217500003"/>
    <n v="60.104797125000005"/>
    <n v="478.28751027851456"/>
    <n v="318.85834018567635"/>
  </r>
  <r>
    <s v="07/06/2026"/>
    <s v="M"/>
    <s v="[1062] RAMGADH"/>
    <s v="[8401] DURGAWATI"/>
    <x v="40"/>
    <x v="40"/>
    <x v="40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7/06/2026"/>
    <s v="E"/>
    <s v="[1062] RAMGADH"/>
    <s v="[8401] DURGAWATI"/>
    <x v="40"/>
    <x v="40"/>
    <x v="40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07/06/2026"/>
    <s v="E"/>
    <s v="[1062] RAMGADH"/>
    <s v="[8401] DURGAWATI"/>
    <x v="40"/>
    <x v="40"/>
    <x v="4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6/2026"/>
    <s v="M"/>
    <s v="[1062] RAMGADH"/>
    <s v="[8401] DURGAWATI"/>
    <x v="40"/>
    <x v="40"/>
    <x v="40"/>
    <s v="B"/>
    <n v="62"/>
    <n v="6.6"/>
    <n v="8.8000000000000007"/>
    <n v="4.0919999999999996"/>
    <n v="5.4560000000000004"/>
    <n v="54.558900000000001"/>
    <n v="3382.6518000000001"/>
    <n v="437.63823529411764"/>
    <n v="291.75882352941176"/>
    <n v="59.196406500000009"/>
    <n v="232.5"/>
    <n v="3674.3482065000003"/>
    <n v="59.263680750000006"/>
    <n v="475.37711831550803"/>
    <n v="316.91807887700537"/>
  </r>
  <r>
    <s v="08/06/2026"/>
    <s v="M"/>
    <s v="[1062] RAMGADH"/>
    <s v="[8401] DURGAWATI"/>
    <x v="40"/>
    <x v="40"/>
    <x v="40"/>
    <s v="C"/>
    <n v="35"/>
    <n v="3.9"/>
    <n v="8.1999999999999993"/>
    <n v="1.365"/>
    <n v="2.87"/>
    <n v="39.060139800000002"/>
    <n v="1367.1048930000002"/>
    <n v="417.01216868327407"/>
    <n v="278.00811245551603"/>
    <n v="23.924335627500007"/>
    <n v="131.25"/>
    <n v="1522.2792286275003"/>
    <n v="43.493692246500011"/>
    <n v="464.34546882384353"/>
    <n v="309.56364588256235"/>
  </r>
  <r>
    <s v="08/06/2026"/>
    <s v="E"/>
    <s v="[1062] RAMGADH"/>
    <s v="[8401] DURGAWATI"/>
    <x v="40"/>
    <x v="40"/>
    <x v="40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08/06/2026"/>
    <s v="E"/>
    <s v="[1062] RAMGADH"/>
    <s v="[8401] DURGAWATI"/>
    <x v="40"/>
    <x v="40"/>
    <x v="40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09/06/2026"/>
    <s v="M"/>
    <s v="[1062] RAMGADH"/>
    <s v="[8401] DURGAWATI"/>
    <x v="40"/>
    <x v="40"/>
    <x v="40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9/06/2026"/>
    <s v="M"/>
    <s v="[1062] RAMGADH"/>
    <s v="[8401] DURGAWATI"/>
    <x v="40"/>
    <x v="40"/>
    <x v="40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09/06/2026"/>
    <s v="E"/>
    <s v="[1062] RAMGADH"/>
    <s v="[8401] DURGAWATI"/>
    <x v="40"/>
    <x v="40"/>
    <x v="40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09/06/2026"/>
    <s v="E"/>
    <s v="[1062] RAMGADH"/>
    <s v="[8401] DURGAWATI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1] DURGAWATI"/>
    <x v="40"/>
    <x v="40"/>
    <x v="40"/>
    <s v="B"/>
    <n v="60"/>
    <n v="6.9"/>
    <n v="8.8000000000000007"/>
    <n v="4.1399999999999997"/>
    <n v="5.28"/>
    <n v="57.038850000000004"/>
    <n v="3422.3310000000001"/>
    <n v="446.77950391644907"/>
    <n v="297.85300261096603"/>
    <n v="59.890792500000011"/>
    <n v="225"/>
    <n v="3707.2217925"/>
    <n v="61.787029875000002"/>
    <n v="483.97151338120102"/>
    <n v="322.64767558746735"/>
  </r>
  <r>
    <s v="10/06/2026"/>
    <s v="M"/>
    <s v="[1062] RAMGADH"/>
    <s v="[8401] DURGAWATI"/>
    <x v="40"/>
    <x v="40"/>
    <x v="40"/>
    <s v="C"/>
    <n v="41"/>
    <n v="3.6"/>
    <n v="8.1"/>
    <n v="1.476"/>
    <n v="3.3209999999999997"/>
    <n v="37.531125900000006"/>
    <n v="1538.7761619000003"/>
    <n v="417.01251000000008"/>
    <n v="278.00834000000003"/>
    <n v="26.928582833250008"/>
    <n v="153.75"/>
    <n v="1719.4547447332502"/>
    <n v="41.937920603250006"/>
    <n v="465.97689559166673"/>
    <n v="310.6512637277778"/>
  </r>
  <r>
    <s v="10/06/2026"/>
    <s v="E"/>
    <s v="[1062] RAMGADH"/>
    <s v="[8401] DURGAWATI"/>
    <x v="40"/>
    <x v="40"/>
    <x v="40"/>
    <s v="B"/>
    <n v="33"/>
    <n v="6"/>
    <n v="8.6"/>
    <n v="1.98"/>
    <n v="2.8380000000000001"/>
    <n v="49.097999999999999"/>
    <n v="1620.2339999999999"/>
    <n v="418.44886363636368"/>
    <n v="278.96590909090912"/>
    <n v="28.354095000000001"/>
    <n v="123.75"/>
    <n v="1772.3380949999998"/>
    <n v="53.707214999999998"/>
    <n v="457.7319460227273"/>
    <n v="305.15463068181822"/>
  </r>
  <r>
    <s v="10/06/2026"/>
    <s v="E"/>
    <s v="[1062] RAMGADH"/>
    <s v="[8401] DURGAWATI"/>
    <x v="40"/>
    <x v="40"/>
    <x v="4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11/06/2026"/>
    <s v="M"/>
    <s v="[1062] RAMGADH"/>
    <s v="[8401] DURGAWATI"/>
    <x v="40"/>
    <x v="40"/>
    <x v="40"/>
    <s v="B"/>
    <n v="63"/>
    <n v="6.6"/>
    <n v="8.8000000000000007"/>
    <n v="4.1579999999999995"/>
    <n v="5.5440000000000005"/>
    <n v="54.558900000000001"/>
    <n v="3437.2107000000001"/>
    <n v="437.63823529411764"/>
    <n v="291.75882352941176"/>
    <n v="60.151187250000007"/>
    <n v="236.25"/>
    <n v="3733.6118872500001"/>
    <n v="59.263680749999999"/>
    <n v="475.37711831550797"/>
    <n v="316.91807887700531"/>
  </r>
  <r>
    <s v="11/06/2026"/>
    <s v="M"/>
    <s v="[1062] RAMGADH"/>
    <s v="[8401] DURGAWATI"/>
    <x v="40"/>
    <x v="40"/>
    <x v="40"/>
    <s v="C"/>
    <n v="40"/>
    <n v="3.6"/>
    <n v="8.1"/>
    <n v="1.44"/>
    <n v="3.24"/>
    <n v="37.531125900000006"/>
    <n v="1501.2450360000003"/>
    <n v="417.01251000000008"/>
    <n v="278.00834000000003"/>
    <n v="26.271788130000008"/>
    <n v="150"/>
    <n v="1677.5168241300003"/>
    <n v="41.937920603250006"/>
    <n v="465.97689559166673"/>
    <n v="310.6512637277778"/>
  </r>
  <r>
    <s v="11/06/2026"/>
    <s v="E"/>
    <s v="[1062] RAMGADH"/>
    <s v="[8401] DURGAWATI"/>
    <x v="40"/>
    <x v="40"/>
    <x v="40"/>
    <s v="C"/>
    <n v="35"/>
    <n v="4.2"/>
    <n v="8.1"/>
    <n v="1.47"/>
    <n v="2.835"/>
    <n v="40.033125900000002"/>
    <n v="1401.1594065000002"/>
    <n v="417.01172812499999"/>
    <n v="278.00781875000001"/>
    <n v="24.520289613750005"/>
    <n v="131.25"/>
    <n v="1556.9296961137502"/>
    <n v="44.483705603250009"/>
    <n v="463.37193336718758"/>
    <n v="308.9146222447917"/>
  </r>
  <r>
    <s v="05/06/2026"/>
    <s v="M"/>
    <s v="[1062] RAMGADH"/>
    <s v="[8403] MOHANIA"/>
    <x v="41"/>
    <x v="41"/>
    <x v="41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5/06/2026"/>
    <s v="M"/>
    <s v="[1062] RAMGADH"/>
    <s v="[8403] MOHANIA"/>
    <x v="41"/>
    <x v="41"/>
    <x v="41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05/06/2026"/>
    <s v="E"/>
    <s v="[1062] RAMGADH"/>
    <s v="[8403] MOHANIA"/>
    <x v="41"/>
    <x v="41"/>
    <x v="41"/>
    <s v="B"/>
    <n v="8"/>
    <n v="5.8"/>
    <n v="8.6"/>
    <n v="0.46399999999999997"/>
    <n v="0.68799999999999994"/>
    <n v="47.461399999999998"/>
    <n v="379.69119999999998"/>
    <n v="411.51502890173413"/>
    <n v="274.34335260115608"/>
    <n v="6.6445959999999999"/>
    <n v="30"/>
    <n v="416.33579599999996"/>
    <n v="52.041974499999995"/>
    <n v="451.23099277456652"/>
    <n v="300.82066184971103"/>
  </r>
  <r>
    <s v="05/06/2026"/>
    <s v="E"/>
    <s v="[1062] RAMGADH"/>
    <s v="[8403] MOHANIA"/>
    <x v="41"/>
    <x v="41"/>
    <x v="41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6/2026"/>
    <s v="M"/>
    <s v="[1062] RAMGADH"/>
    <s v="[8403] MOHANIA"/>
    <x v="41"/>
    <x v="41"/>
    <x v="41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6/06/2026"/>
    <s v="M"/>
    <s v="[1062] RAMGADH"/>
    <s v="[8403] MOHANIA"/>
    <x v="41"/>
    <x v="41"/>
    <x v="41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06/06/2026"/>
    <s v="E"/>
    <s v="[1062] RAMGADH"/>
    <s v="[8403] MOHANIA"/>
    <x v="41"/>
    <x v="41"/>
    <x v="41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6/06/2026"/>
    <s v="E"/>
    <s v="[1062] RAMGADH"/>
    <s v="[8403] MOHANIA"/>
    <x v="41"/>
    <x v="41"/>
    <x v="41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7/06/2026"/>
    <s v="M"/>
    <s v="[1062] RAMGADH"/>
    <s v="[8403] MOHANIA"/>
    <x v="41"/>
    <x v="41"/>
    <x v="41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7/06/2026"/>
    <s v="M"/>
    <s v="[1062] RAMGADH"/>
    <s v="[8403] MOHANIA"/>
    <x v="41"/>
    <x v="41"/>
    <x v="41"/>
    <s v="C"/>
    <n v="36"/>
    <n v="3.3"/>
    <n v="8"/>
    <n v="1.1879999999999999"/>
    <n v="2.88"/>
    <n v="36.002112000000004"/>
    <n v="1296.0760320000002"/>
    <n v="417.01288030888031"/>
    <n v="278.00858687258687"/>
    <n v="22.681330560000006"/>
    <n v="135"/>
    <n v="1453.7573625600003"/>
    <n v="40.382148960000009"/>
    <n v="467.74689915057917"/>
    <n v="311.83126610038613"/>
  </r>
  <r>
    <s v="07/06/2026"/>
    <s v="E"/>
    <s v="[1062] RAMGADH"/>
    <s v="[8403] MOHANIA"/>
    <x v="41"/>
    <x v="41"/>
    <x v="41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08/06/2026"/>
    <s v="M"/>
    <s v="[1062] RAMGADH"/>
    <s v="[8403] MOHANIA"/>
    <x v="41"/>
    <x v="41"/>
    <x v="41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08/06/2026"/>
    <s v="M"/>
    <s v="[1062] RAMGADH"/>
    <s v="[8403] MOHANIA"/>
    <x v="41"/>
    <x v="41"/>
    <x v="41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08/06/2026"/>
    <s v="E"/>
    <s v="[1062] RAMGADH"/>
    <s v="[8403] MOHANIA"/>
    <x v="41"/>
    <x v="41"/>
    <x v="41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8/06/2026"/>
    <s v="E"/>
    <s v="[1062] RAMGADH"/>
    <s v="[8403] MOHANIA"/>
    <x v="41"/>
    <x v="41"/>
    <x v="41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09/06/2026"/>
    <s v="M"/>
    <s v="[1062] RAMGADH"/>
    <s v="[8403] MOHANIA"/>
    <x v="41"/>
    <x v="41"/>
    <x v="41"/>
    <s v="B"/>
    <n v="16"/>
    <n v="6.7"/>
    <n v="8.8000000000000007"/>
    <n v="1.0720000000000001"/>
    <n v="1.4080000000000001"/>
    <n v="55.385550000000002"/>
    <n v="886.16880000000003"/>
    <n v="440.73381962864721"/>
    <n v="293.82254641909816"/>
    <n v="15.507954000000002"/>
    <n v="60"/>
    <n v="961.67675400000007"/>
    <n v="60.104797125000005"/>
    <n v="478.28751027851456"/>
    <n v="318.85834018567635"/>
  </r>
  <r>
    <s v="09/06/2026"/>
    <s v="M"/>
    <s v="[1062] RAMGADH"/>
    <s v="[8403] MOHANIA"/>
    <x v="41"/>
    <x v="41"/>
    <x v="41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9/06/2026"/>
    <s v="E"/>
    <s v="[1062] RAMGADH"/>
    <s v="[8403] MOHANIA"/>
    <x v="41"/>
    <x v="41"/>
    <x v="41"/>
    <s v="B"/>
    <n v="6"/>
    <n v="7"/>
    <n v="8.8000000000000007"/>
    <n v="0.42"/>
    <n v="0.52800000000000002"/>
    <n v="57.865500000000004"/>
    <n v="347.19300000000004"/>
    <n v="449.73186528497411"/>
    <n v="299.82124352331607"/>
    <n v="6.0758775000000016"/>
    <n v="22.5"/>
    <n v="375.76887750000003"/>
    <n v="62.628146250000007"/>
    <n v="486.74725064766841"/>
    <n v="324.49816709844561"/>
  </r>
  <r>
    <s v="09/06/2026"/>
    <s v="E"/>
    <s v="[1062] RAMGADH"/>
    <s v="[8403] MOHANIA"/>
    <x v="41"/>
    <x v="41"/>
    <x v="41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10/06/2026"/>
    <s v="M"/>
    <s v="[1062] RAMGADH"/>
    <s v="[8403] MOHANIA"/>
    <x v="41"/>
    <x v="41"/>
    <x v="41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0/06/2026"/>
    <s v="M"/>
    <s v="[1062] RAMGADH"/>
    <s v="[8403] MOHANIA"/>
    <x v="41"/>
    <x v="41"/>
    <x v="41"/>
    <s v="C"/>
    <n v="35"/>
    <n v="3.4"/>
    <n v="8.1"/>
    <n v="1.19"/>
    <n v="2.835"/>
    <n v="36.697125900000003"/>
    <n v="1284.3994065000002"/>
    <n v="417.01279431818188"/>
    <n v="278.00852954545456"/>
    <n v="22.476989613750003"/>
    <n v="131.25"/>
    <n v="1438.1263961137502"/>
    <n v="41.089325603250003"/>
    <n v="466.92415458238645"/>
    <n v="311.28276972159097"/>
  </r>
  <r>
    <s v="10/06/2026"/>
    <s v="E"/>
    <s v="[1062] RAMGADH"/>
    <s v="[8403] MOHANIA"/>
    <x v="41"/>
    <x v="41"/>
    <x v="41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11/06/2026"/>
    <s v="M"/>
    <s v="[1062] RAMGADH"/>
    <s v="[8403] MOHANIA"/>
    <x v="41"/>
    <x v="41"/>
    <x v="41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11/06/2026"/>
    <s v="M"/>
    <s v="[1062] RAMGADH"/>
    <s v="[8403] MOHANIA"/>
    <x v="41"/>
    <x v="41"/>
    <x v="41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11/06/2026"/>
    <s v="E"/>
    <s v="[1062] RAMGADH"/>
    <s v="[8403] MOHANIA"/>
    <x v="41"/>
    <x v="41"/>
    <x v="41"/>
    <s v="B"/>
    <n v="6"/>
    <n v="6.9"/>
    <n v="8.8000000000000007"/>
    <n v="0.41400000000000003"/>
    <n v="0.52800000000000002"/>
    <n v="57.038850000000004"/>
    <n v="342.23310000000004"/>
    <n v="446.77950391644907"/>
    <n v="297.85300261096603"/>
    <n v="5.9890792500000014"/>
    <n v="22.5"/>
    <n v="370.72217925000007"/>
    <n v="61.787029875000009"/>
    <n v="483.97151338120108"/>
    <n v="322.6476755874674"/>
  </r>
  <r>
    <s v="11/06/2026"/>
    <s v="E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5/06/2026"/>
    <s v="M"/>
    <s v="[1062] RAMGADH"/>
    <s v="[8401] DURGAWATI"/>
    <x v="42"/>
    <x v="42"/>
    <x v="42"/>
    <s v="B"/>
    <n v="32"/>
    <n v="6.3"/>
    <n v="8.8000000000000007"/>
    <n v="2.016"/>
    <n v="2.8160000000000003"/>
    <n v="52.078949999999999"/>
    <n v="1666.5264"/>
    <n v="428.04616438356163"/>
    <n v="285.36410958904111"/>
    <n v="29.164212000000003"/>
    <n v="120"/>
    <n v="1815.6906119999999"/>
    <n v="56.740331624999996"/>
    <n v="466.35889006849311"/>
    <n v="310.90592671232872"/>
  </r>
  <r>
    <s v="05/06/2026"/>
    <s v="M"/>
    <s v="[1062] RAMGADH"/>
    <s v="[8401] DURGAWATI"/>
    <x v="42"/>
    <x v="42"/>
    <x v="42"/>
    <s v="C"/>
    <n v="13"/>
    <n v="3.7"/>
    <n v="8.1"/>
    <n v="0.48100000000000004"/>
    <n v="1.0529999999999999"/>
    <n v="37.948125900000008"/>
    <n v="493.32563670000013"/>
    <n v="417.01237252747262"/>
    <n v="278.00824835164843"/>
    <n v="8.6331986422500027"/>
    <n v="48.75"/>
    <n v="550.70883534225015"/>
    <n v="42.362218103250015"/>
    <n v="465.51888025549471"/>
    <n v="310.3459201703298"/>
  </r>
  <r>
    <s v="05/06/2026"/>
    <s v="E"/>
    <s v="[1062] RAMGADH"/>
    <s v="[8401] DURGAWATI"/>
    <x v="42"/>
    <x v="42"/>
    <x v="42"/>
    <s v="B"/>
    <n v="16"/>
    <n v="5.7"/>
    <n v="8.5"/>
    <n v="0.91200000000000003"/>
    <n v="1.36"/>
    <n v="46.167149999999999"/>
    <n v="738.67439999999999"/>
    <n v="406.16260997067451"/>
    <n v="270.77507331378303"/>
    <n v="12.926802"/>
    <n v="60"/>
    <n v="811.60120199999994"/>
    <n v="50.725075124999996"/>
    <n v="446.2616579912023"/>
    <n v="297.50777199413488"/>
  </r>
  <r>
    <s v="05/06/2026"/>
    <s v="E"/>
    <s v="[1062] RAMGADH"/>
    <s v="[8401] DURGAWATI"/>
    <x v="42"/>
    <x v="42"/>
    <x v="4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6/06/2026"/>
    <s v="M"/>
    <s v="[1062] RAMGADH"/>
    <s v="[8401] DURGAWATI"/>
    <x v="42"/>
    <x v="42"/>
    <x v="42"/>
    <s v="B"/>
    <n v="9"/>
    <n v="7.4"/>
    <n v="8.8000000000000007"/>
    <n v="0.66600000000000004"/>
    <n v="0.79200000000000004"/>
    <n v="61.172100000000007"/>
    <n v="550.54890000000012"/>
    <n v="461.09623115577887"/>
    <n v="307.39748743718593"/>
    <n v="9.6346057500000022"/>
    <n v="33.75"/>
    <n v="593.93350575000011"/>
    <n v="65.992611750000009"/>
    <n v="497.43174685929648"/>
    <n v="331.6211645728643"/>
  </r>
  <r>
    <s v="06/06/2026"/>
    <s v="E"/>
    <s v="[1062] RAMGADH"/>
    <s v="[8401] DURGAWATI"/>
    <x v="42"/>
    <x v="42"/>
    <x v="42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6/06/2026"/>
    <s v="E"/>
    <s v="[1062] RAMGADH"/>
    <s v="[8401] DURGAWATI"/>
    <x v="42"/>
    <x v="42"/>
    <x v="42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7/06/2026"/>
    <s v="M"/>
    <s v="[1062] RAMGADH"/>
    <s v="[8401] DURGAWATI"/>
    <x v="42"/>
    <x v="42"/>
    <x v="42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07/06/2026"/>
    <s v="E"/>
    <s v="[1062] RAMGADH"/>
    <s v="[8401] DURGAWATI"/>
    <x v="42"/>
    <x v="42"/>
    <x v="4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7/06/2026"/>
    <s v="E"/>
    <s v="[1062] RAMGADH"/>
    <s v="[8401] DURGAWATI"/>
    <x v="42"/>
    <x v="42"/>
    <x v="42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6/2026"/>
    <s v="M"/>
    <s v="[1062] RAMGADH"/>
    <s v="[8401] DURGAWATI"/>
    <x v="42"/>
    <x v="42"/>
    <x v="42"/>
    <s v="B"/>
    <n v="38"/>
    <n v="6.4"/>
    <n v="8.8000000000000007"/>
    <n v="2.4320000000000004"/>
    <n v="3.3440000000000003"/>
    <n v="52.9056"/>
    <n v="2010.4128000000001"/>
    <n v="431.29565217391303"/>
    <n v="287.53043478260867"/>
    <n v="35.182224000000005"/>
    <n v="142.5"/>
    <n v="2188.0950240000002"/>
    <n v="57.581448000000002"/>
    <n v="469.41397826086956"/>
    <n v="312.94265217391302"/>
  </r>
  <r>
    <s v="08/06/2026"/>
    <s v="M"/>
    <s v="[1062] RAMGADH"/>
    <s v="[8401] DURGAWATI"/>
    <x v="42"/>
    <x v="42"/>
    <x v="42"/>
    <s v="C"/>
    <n v="11"/>
    <n v="4"/>
    <n v="8.1999999999999993"/>
    <n v="0.44"/>
    <n v="0.90199999999999991"/>
    <n v="39.477139800000003"/>
    <n v="434.24853780000001"/>
    <n v="417.0120401408451"/>
    <n v="278.00802676056338"/>
    <n v="7.5993494115000004"/>
    <n v="41.25"/>
    <n v="483.09788721149999"/>
    <n v="43.917989746499998"/>
    <n v="463.92242689964786"/>
    <n v="309.28161793309857"/>
  </r>
  <r>
    <s v="08/06/2026"/>
    <s v="E"/>
    <s v="[1062] RAMGADH"/>
    <s v="[8401] DURGAWATI"/>
    <x v="42"/>
    <x v="42"/>
    <x v="42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08/06/2026"/>
    <s v="E"/>
    <s v="[1062] RAMGADH"/>
    <s v="[8401] DURGAWATI"/>
    <x v="42"/>
    <x v="42"/>
    <x v="42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9/06/2026"/>
    <s v="M"/>
    <s v="[1062] RAMGADH"/>
    <s v="[8401] DURGAWATI"/>
    <x v="42"/>
    <x v="42"/>
    <x v="42"/>
    <s v="B"/>
    <n v="25"/>
    <n v="6.6"/>
    <n v="8.8000000000000007"/>
    <n v="1.65"/>
    <n v="2.2000000000000002"/>
    <n v="54.558900000000001"/>
    <n v="1363.9725000000001"/>
    <n v="437.63823529411764"/>
    <n v="291.75882352941176"/>
    <n v="23.869518750000005"/>
    <n v="93.75"/>
    <n v="1481.5920187500001"/>
    <n v="59.263680750000006"/>
    <n v="475.37711831550803"/>
    <n v="316.91807887700537"/>
  </r>
  <r>
    <s v="09/06/2026"/>
    <s v="M"/>
    <s v="[1062] RAMGADH"/>
    <s v="[8401] DURGAWATI"/>
    <x v="42"/>
    <x v="42"/>
    <x v="42"/>
    <s v="C"/>
    <n v="6"/>
    <n v="4.2"/>
    <n v="8.1999999999999993"/>
    <n v="0.252"/>
    <n v="0.49199999999999994"/>
    <n v="40.311139799999999"/>
    <n v="241.86683879999998"/>
    <n v="417.01179103448277"/>
    <n v="278.00786068965516"/>
    <n v="4.2326696789999998"/>
    <n v="22.5"/>
    <n v="268.59950847900001"/>
    <n v="44.766584746500001"/>
    <n v="463.10260082586211"/>
    <n v="308.73506721724141"/>
  </r>
  <r>
    <s v="09/06/2026"/>
    <s v="E"/>
    <s v="[1062] RAMGADH"/>
    <s v="[8401] DURGAWATI"/>
    <x v="42"/>
    <x v="42"/>
    <x v="42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09/06/2026"/>
    <s v="E"/>
    <s v="[1062] RAMGADH"/>
    <s v="[8401] DURGAWATI"/>
    <x v="42"/>
    <x v="42"/>
    <x v="42"/>
    <s v="C"/>
    <n v="10"/>
    <n v="4"/>
    <n v="8.1"/>
    <n v="0.4"/>
    <n v="0.81"/>
    <n v="39.199125899999999"/>
    <n v="391.99125900000001"/>
    <n v="417.01197765957443"/>
    <n v="278.00798510638293"/>
    <n v="6.8598470325000012"/>
    <n v="37.5"/>
    <n v="436.35110603250001"/>
    <n v="43.635110603249998"/>
    <n v="464.20330428989359"/>
    <n v="309.46886952659571"/>
  </r>
  <r>
    <s v="10/06/2026"/>
    <s v="M"/>
    <s v="[1062] RAMGADH"/>
    <s v="[8401] DURGAWATI"/>
    <x v="42"/>
    <x v="42"/>
    <x v="42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10/06/2026"/>
    <s v="E"/>
    <s v="[1062] RAMGADH"/>
    <s v="[8401] DURGAWATI"/>
    <x v="42"/>
    <x v="42"/>
    <x v="42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10/06/2026"/>
    <s v="E"/>
    <s v="[1062] RAMGADH"/>
    <s v="[8401] DURGAWATI"/>
    <x v="42"/>
    <x v="42"/>
    <x v="42"/>
    <s v="C"/>
    <n v="4"/>
    <n v="3.7"/>
    <n v="8.1"/>
    <n v="0.14800000000000002"/>
    <n v="0.32400000000000001"/>
    <n v="37.948125900000008"/>
    <n v="151.79250360000003"/>
    <n v="417.01237252747262"/>
    <n v="278.00824835164843"/>
    <n v="2.6563688130000007"/>
    <n v="15"/>
    <n v="169.44887241300003"/>
    <n v="42.362218103250008"/>
    <n v="465.51888025549459"/>
    <n v="310.34592017032975"/>
  </r>
  <r>
    <s v="11/06/2026"/>
    <s v="E"/>
    <s v="[1062] RAMGADH"/>
    <s v="[8401] DURGAWATI"/>
    <x v="42"/>
    <x v="42"/>
    <x v="42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11/06/2026"/>
    <s v="E"/>
    <s v="[1062] RAMGADH"/>
    <s v="[8401] DURGAWATI"/>
    <x v="42"/>
    <x v="42"/>
    <x v="42"/>
    <s v="C"/>
    <n v="5"/>
    <n v="3.2"/>
    <n v="8.1"/>
    <n v="0.16"/>
    <n v="0.40500000000000003"/>
    <n v="35.8631259"/>
    <n v="179.3156295"/>
    <n v="417.01309186046512"/>
    <n v="278.00872790697673"/>
    <n v="3.1380235162500001"/>
    <n v="18.75"/>
    <n v="201.20365301625"/>
    <n v="40.24073060325"/>
    <n v="467.91547213081401"/>
    <n v="311.94364808720934"/>
  </r>
  <r>
    <s v="05/06/2026"/>
    <s v="M"/>
    <s v="[1062] RAMGADH"/>
    <s v="[8401] DURGAWATI"/>
    <x v="43"/>
    <x v="43"/>
    <x v="43"/>
    <s v="B"/>
    <n v="17"/>
    <n v="7.7"/>
    <n v="8.8000000000000007"/>
    <n v="1.3090000000000002"/>
    <n v="1.4960000000000002"/>
    <n v="63.652050000000003"/>
    <n v="1082.08485"/>
    <n v="469.17972972972979"/>
    <n v="312.78648648648652"/>
    <n v="18.936484875000001"/>
    <n v="63.75"/>
    <n v="1164.7713348749999"/>
    <n v="68.51596087499999"/>
    <n v="505.03165264127762"/>
    <n v="336.68776842751839"/>
  </r>
  <r>
    <s v="05/06/2026"/>
    <s v="M"/>
    <s v="[1062] RAMGADH"/>
    <s v="[8401] DURGAWATI"/>
    <x v="43"/>
    <x v="43"/>
    <x v="43"/>
    <s v="C"/>
    <n v="4"/>
    <n v="3.7"/>
    <n v="8.1"/>
    <n v="0.14800000000000002"/>
    <n v="0.32400000000000001"/>
    <n v="37.948125900000008"/>
    <n v="151.79250360000003"/>
    <n v="417.01237252747262"/>
    <n v="278.00824835164843"/>
    <n v="2.6563688130000007"/>
    <n v="15"/>
    <n v="169.44887241300003"/>
    <n v="42.362218103250008"/>
    <n v="465.51888025549459"/>
    <n v="310.34592017032975"/>
  </r>
  <r>
    <s v="05/06/2026"/>
    <s v="E"/>
    <s v="[1062] RAMGADH"/>
    <s v="[8401] DURGAWATI"/>
    <x v="43"/>
    <x v="43"/>
    <x v="43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06/06/2026"/>
    <s v="M"/>
    <s v="[1062] RAMGADH"/>
    <s v="[8401] DURGAWATI"/>
    <x v="43"/>
    <x v="43"/>
    <x v="43"/>
    <s v="B"/>
    <n v="15"/>
    <n v="7.8"/>
    <n v="8.8000000000000007"/>
    <n v="1.17"/>
    <n v="1.32"/>
    <n v="64.478699999999989"/>
    <n v="967.18049999999982"/>
    <n v="471.7953658536585"/>
    <n v="314.530243902439"/>
    <n v="16.92565875"/>
    <n v="56.25"/>
    <n v="1040.3561587499998"/>
    <n v="69.357077249999989"/>
    <n v="507.49080914634141"/>
    <n v="338.32720609756092"/>
  </r>
  <r>
    <s v="06/06/2026"/>
    <s v="M"/>
    <s v="[1062] RAMGADH"/>
    <s v="[8401] DURGAWATI"/>
    <x v="43"/>
    <x v="43"/>
    <x v="43"/>
    <s v="C"/>
    <n v="5"/>
    <n v="3.3"/>
    <n v="8.1"/>
    <n v="0.16500000000000001"/>
    <n v="0.40500000000000003"/>
    <n v="36.280125900000002"/>
    <n v="181.40062950000001"/>
    <n v="417.0129413793104"/>
    <n v="278.00862758620696"/>
    <n v="3.1745110162500003"/>
    <n v="18.75"/>
    <n v="203.32514051625"/>
    <n v="40.665028103250002"/>
    <n v="467.4141161293104"/>
    <n v="311.6094107528736"/>
  </r>
  <r>
    <s v="06/06/2026"/>
    <s v="E"/>
    <s v="[1062] RAMGADH"/>
    <s v="[8401] DURGAWATI"/>
    <x v="43"/>
    <x v="43"/>
    <x v="43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7/06/2026"/>
    <s v="M"/>
    <s v="[1062] RAMGADH"/>
    <s v="[8401] DURGAWATI"/>
    <x v="43"/>
    <x v="43"/>
    <x v="43"/>
    <s v="B"/>
    <n v="21"/>
    <n v="6.7"/>
    <n v="8.8000000000000007"/>
    <n v="1.4070000000000003"/>
    <n v="1.8480000000000001"/>
    <n v="55.385550000000002"/>
    <n v="1163.09655"/>
    <n v="440.73381962864721"/>
    <n v="293.82254641909816"/>
    <n v="20.354189625"/>
    <n v="78.75"/>
    <n v="1262.2007396250001"/>
    <n v="60.104797125000005"/>
    <n v="478.28751027851456"/>
    <n v="318.85834018567635"/>
  </r>
  <r>
    <s v="07/06/2026"/>
    <s v="M"/>
    <s v="[1062] RAMGADH"/>
    <s v="[8401] DURGAWATI"/>
    <x v="43"/>
    <x v="43"/>
    <x v="43"/>
    <s v="C"/>
    <n v="4"/>
    <n v="3.3"/>
    <n v="8"/>
    <n v="0.13200000000000001"/>
    <n v="0.32"/>
    <n v="36.002112000000004"/>
    <n v="144.00844800000002"/>
    <n v="417.01288030888031"/>
    <n v="278.00858687258687"/>
    <n v="2.5201478400000004"/>
    <n v="15"/>
    <n v="161.52859584000001"/>
    <n v="40.382148960000002"/>
    <n v="467.74689915057911"/>
    <n v="311.83126610038607"/>
  </r>
  <r>
    <s v="07/06/2026"/>
    <s v="E"/>
    <s v="[1062] RAMGADH"/>
    <s v="[8401] DURGAWATI"/>
    <x v="43"/>
    <x v="43"/>
    <x v="43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07/06/2026"/>
    <s v="E"/>
    <s v="[1062] RAMGADH"/>
    <s v="[8401] DURGAWATI"/>
    <x v="43"/>
    <x v="43"/>
    <x v="43"/>
    <s v="C"/>
    <n v="8"/>
    <n v="4.2"/>
    <n v="8.1"/>
    <n v="0.33600000000000002"/>
    <n v="0.64800000000000002"/>
    <n v="40.033125900000002"/>
    <n v="320.26500720000001"/>
    <n v="417.01172812499999"/>
    <n v="278.00781875000001"/>
    <n v="5.6046376260000006"/>
    <n v="30"/>
    <n v="355.86964482600001"/>
    <n v="44.483705603250002"/>
    <n v="463.37193336718752"/>
    <n v="308.9146222447917"/>
  </r>
  <r>
    <s v="08/06/2026"/>
    <s v="M"/>
    <s v="[1062] RAMGADH"/>
    <s v="[8401] DURGAWATI"/>
    <x v="43"/>
    <x v="43"/>
    <x v="43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8/06/2026"/>
    <s v="M"/>
    <s v="[1062] RAMGADH"/>
    <s v="[8401] DURGAWATI"/>
    <x v="43"/>
    <x v="43"/>
    <x v="43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8/06/2026"/>
    <s v="E"/>
    <s v="[1062] RAMGADH"/>
    <s v="[8401] DURGAWATI"/>
    <x v="43"/>
    <x v="43"/>
    <x v="43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09/06/2026"/>
    <s v="M"/>
    <s v="[1062] RAMGADH"/>
    <s v="[8401] DURGAWATI"/>
    <x v="43"/>
    <x v="43"/>
    <x v="43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09/06/2026"/>
    <s v="M"/>
    <s v="[1062] RAMGADH"/>
    <s v="[8401] DURGAWATI"/>
    <x v="43"/>
    <x v="43"/>
    <x v="43"/>
    <s v="C"/>
    <n v="8"/>
    <n v="3.9"/>
    <n v="8.1"/>
    <n v="0.312"/>
    <n v="0.64800000000000002"/>
    <n v="38.782125900000004"/>
    <n v="310.25700720000003"/>
    <n v="417.01210645161296"/>
    <n v="278.00807096774196"/>
    <n v="5.4294976260000007"/>
    <n v="30"/>
    <n v="345.68650482600003"/>
    <n v="43.210813103250004"/>
    <n v="464.63239895967746"/>
    <n v="309.75493263978495"/>
  </r>
  <r>
    <s v="09/06/2026"/>
    <s v="E"/>
    <s v="[1062] RAMGADH"/>
    <s v="[8401] DURGAWATI"/>
    <x v="43"/>
    <x v="43"/>
    <x v="43"/>
    <s v="B"/>
    <n v="8"/>
    <n v="6.4"/>
    <n v="8.8000000000000007"/>
    <n v="0.51200000000000001"/>
    <n v="0.70400000000000007"/>
    <n v="52.9056"/>
    <n v="423.2448"/>
    <n v="431.29565217391303"/>
    <n v="287.53043478260867"/>
    <n v="7.4067840000000009"/>
    <n v="30"/>
    <n v="460.65158400000001"/>
    <n v="57.581448000000002"/>
    <n v="469.41397826086956"/>
    <n v="312.94265217391302"/>
  </r>
  <r>
    <s v="10/06/2026"/>
    <s v="M"/>
    <s v="[1062] RAMGADH"/>
    <s v="[8401] DURGAWATI"/>
    <x v="43"/>
    <x v="43"/>
    <x v="43"/>
    <s v="B"/>
    <n v="10"/>
    <n v="8"/>
    <n v="8.8000000000000007"/>
    <n v="0.8"/>
    <n v="0.88"/>
    <n v="66.131999999999991"/>
    <n v="661.31999999999994"/>
    <n v="476.91346153846149"/>
    <n v="317.94230769230768"/>
    <n v="11.5731"/>
    <n v="37.5"/>
    <n v="710.39309999999989"/>
    <n v="71.039309999999986"/>
    <n v="512.30271634615372"/>
    <n v="341.53514423076916"/>
  </r>
  <r>
    <s v="10/06/2026"/>
    <s v="M"/>
    <s v="[1062] RAMGADH"/>
    <s v="[8401] DURGAWATI"/>
    <x v="43"/>
    <x v="43"/>
    <x v="43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10/06/2026"/>
    <s v="E"/>
    <s v="[1062] RAMGADH"/>
    <s v="[8401] DURGAWATI"/>
    <x v="43"/>
    <x v="43"/>
    <x v="43"/>
    <s v="B"/>
    <n v="14"/>
    <n v="7.4"/>
    <n v="8.8000000000000007"/>
    <n v="1.036"/>
    <n v="1.2320000000000002"/>
    <n v="61.172100000000007"/>
    <n v="856.40940000000012"/>
    <n v="461.09623115577887"/>
    <n v="307.39748743718593"/>
    <n v="14.987164500000004"/>
    <n v="52.5"/>
    <n v="923.89656450000007"/>
    <n v="65.992611750000009"/>
    <n v="497.43174685929648"/>
    <n v="331.6211645728643"/>
  </r>
  <r>
    <s v="10/06/2026"/>
    <s v="E"/>
    <s v="[1062] RAMGADH"/>
    <s v="[8401] DURGAWATI"/>
    <x v="43"/>
    <x v="43"/>
    <x v="43"/>
    <s v="C"/>
    <n v="2"/>
    <n v="3.8"/>
    <n v="8.1999999999999993"/>
    <n v="7.5999999999999998E-2"/>
    <n v="0.16399999999999998"/>
    <n v="38.6431398"/>
    <n v="77.2862796"/>
    <n v="417.01230000000004"/>
    <n v="278.00820000000004"/>
    <n v="1.3525098930000001"/>
    <n v="7.5"/>
    <n v="86.138789493000004"/>
    <n v="43.069394746500002"/>
    <n v="464.77764114928061"/>
    <n v="309.85176076618706"/>
  </r>
  <r>
    <s v="11/06/2026"/>
    <s v="M"/>
    <s v="[1062] RAMGADH"/>
    <s v="[8401] DURGAWATI"/>
    <x v="43"/>
    <x v="43"/>
    <x v="43"/>
    <s v="B"/>
    <n v="17"/>
    <n v="7.6"/>
    <n v="8.8000000000000007"/>
    <n v="1.2919999999999998"/>
    <n v="1.4960000000000002"/>
    <n v="62.825400000000002"/>
    <n v="1068.0318"/>
    <n v="466.5252475247525"/>
    <n v="311.01683168316833"/>
    <n v="18.690556500000003"/>
    <n v="63.75"/>
    <n v="1150.4723564999999"/>
    <n v="67.674844499999992"/>
    <n v="502.53597400990094"/>
    <n v="335.02398267326731"/>
  </r>
  <r>
    <s v="11/06/2026"/>
    <s v="M"/>
    <s v="[1062] RAMGADH"/>
    <s v="[8401] DURGAWATI"/>
    <x v="43"/>
    <x v="43"/>
    <x v="43"/>
    <s v="C"/>
    <n v="5"/>
    <n v="4.2"/>
    <n v="8.1999999999999993"/>
    <n v="0.21"/>
    <n v="0.41"/>
    <n v="40.311139799999999"/>
    <n v="201.555699"/>
    <n v="417.01179103448277"/>
    <n v="278.00786068965516"/>
    <n v="3.5272247325000006"/>
    <n v="18.75"/>
    <n v="223.83292373250001"/>
    <n v="44.766584746500001"/>
    <n v="463.10260082586211"/>
    <n v="308.73506721724141"/>
  </r>
  <r>
    <s v="11/06/2026"/>
    <s v="E"/>
    <s v="[1062] RAMGADH"/>
    <s v="[8401] DURGAWATI"/>
    <x v="43"/>
    <x v="43"/>
    <x v="43"/>
    <s v="B"/>
    <n v="13"/>
    <n v="6.6"/>
    <n v="8.8000000000000007"/>
    <n v="0.85799999999999998"/>
    <n v="1.1440000000000001"/>
    <n v="54.558900000000001"/>
    <n v="709.26570000000004"/>
    <n v="437.63823529411764"/>
    <n v="291.75882352941176"/>
    <n v="12.412149750000001"/>
    <n v="48.75"/>
    <n v="770.42784975000006"/>
    <n v="59.263680750000006"/>
    <n v="475.37711831550803"/>
    <n v="316.91807887700537"/>
  </r>
  <r>
    <s v="05/06/2026"/>
    <s v="M"/>
    <s v="[1062] RAMGADH"/>
    <s v="[8402] RAMPUR"/>
    <x v="44"/>
    <x v="44"/>
    <x v="44"/>
    <s v="B"/>
    <n v="21"/>
    <n v="7.6"/>
    <n v="8.8000000000000007"/>
    <n v="1.5959999999999999"/>
    <n v="1.8480000000000001"/>
    <n v="62.825400000000002"/>
    <n v="1319.3334"/>
    <n v="466.5252475247525"/>
    <n v="311.01683168316833"/>
    <n v="23.088334500000002"/>
    <n v="78.75"/>
    <n v="1421.1717345"/>
    <n v="67.674844499999992"/>
    <n v="502.53597400990094"/>
    <n v="335.02398267326731"/>
  </r>
  <r>
    <s v="05/06/2026"/>
    <s v="M"/>
    <s v="[1062] RAMGADH"/>
    <s v="[8402] RAMPUR"/>
    <x v="44"/>
    <x v="44"/>
    <x v="44"/>
    <s v="C"/>
    <n v="24"/>
    <n v="4"/>
    <n v="8.1999999999999993"/>
    <n v="0.96"/>
    <n v="1.9679999999999997"/>
    <n v="39.477139800000003"/>
    <n v="947.45135520000008"/>
    <n v="417.0120401408451"/>
    <n v="278.00802676056338"/>
    <n v="16.580398716000001"/>
    <n v="90"/>
    <n v="1054.0317539160001"/>
    <n v="43.917989746500005"/>
    <n v="463.92242689964797"/>
    <n v="309.28161793309863"/>
  </r>
  <r>
    <s v="05/06/2026"/>
    <s v="E"/>
    <s v="[1062] RAMGADH"/>
    <s v="[8402] RAMPUR"/>
    <x v="44"/>
    <x v="44"/>
    <x v="44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5/06/2026"/>
    <s v="E"/>
    <s v="[1062] RAMGADH"/>
    <s v="[8402] RAMPUR"/>
    <x v="44"/>
    <x v="44"/>
    <x v="44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6/06/2026"/>
    <s v="M"/>
    <s v="[1062] RAMGADH"/>
    <s v="[8402] RAMPUR"/>
    <x v="44"/>
    <x v="44"/>
    <x v="44"/>
    <s v="B"/>
    <n v="22"/>
    <n v="7.2"/>
    <n v="8.8000000000000007"/>
    <n v="1.5840000000000001"/>
    <n v="1.9360000000000002"/>
    <n v="59.518800000000006"/>
    <n v="1309.4136000000001"/>
    <n v="455.50102040816324"/>
    <n v="303.66734693877549"/>
    <n v="22.914738000000003"/>
    <n v="82.5"/>
    <n v="1414.828338"/>
    <n v="64.310378999999998"/>
    <n v="492.17126785714277"/>
    <n v="328.11417857142851"/>
  </r>
  <r>
    <s v="06/06/2026"/>
    <s v="M"/>
    <s v="[1062] RAMGADH"/>
    <s v="[8402] RAMPUR"/>
    <x v="44"/>
    <x v="44"/>
    <x v="44"/>
    <s v="C"/>
    <n v="27"/>
    <n v="4.2"/>
    <n v="8.1"/>
    <n v="1.1340000000000001"/>
    <n v="2.1869999999999998"/>
    <n v="40.033125900000002"/>
    <n v="1080.8943993"/>
    <n v="417.01172812499999"/>
    <n v="278.00781875000001"/>
    <n v="18.915651987750003"/>
    <n v="101.25"/>
    <n v="1201.06005128775"/>
    <n v="44.483705603250002"/>
    <n v="463.37193336718752"/>
    <n v="308.9146222447917"/>
  </r>
  <r>
    <s v="06/06/2026"/>
    <s v="E"/>
    <s v="[1062] RAMGADH"/>
    <s v="[8402] RAMPUR"/>
    <x v="44"/>
    <x v="44"/>
    <x v="44"/>
    <s v="B"/>
    <n v="18"/>
    <n v="6.3"/>
    <n v="8.6"/>
    <n v="1.1339999999999999"/>
    <n v="1.5479999999999998"/>
    <n v="51.552899999999994"/>
    <n v="927.95219999999995"/>
    <n v="428.41745152354571"/>
    <n v="285.61163434903045"/>
    <n v="16.2391635"/>
    <n v="67.5"/>
    <n v="1011.6913635"/>
    <n v="56.205075749999999"/>
    <n v="467.07819182825489"/>
    <n v="311.38546121883661"/>
  </r>
  <r>
    <s v="06/06/2026"/>
    <s v="E"/>
    <s v="[1062] RAMGADH"/>
    <s v="[8402] RAMPUR"/>
    <x v="44"/>
    <x v="44"/>
    <x v="44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07/06/2026"/>
    <s v="M"/>
    <s v="[1062] RAMGADH"/>
    <s v="[8402] RAMPUR"/>
    <x v="44"/>
    <x v="44"/>
    <x v="44"/>
    <s v="B"/>
    <n v="19"/>
    <n v="7.1"/>
    <n v="8.8000000000000007"/>
    <n v="1.349"/>
    <n v="1.6720000000000002"/>
    <n v="58.692149999999998"/>
    <n v="1115.15085"/>
    <n v="452.63868894601546"/>
    <n v="301.75912596401031"/>
    <n v="19.515139875000003"/>
    <n v="71.25"/>
    <n v="1205.9159898749999"/>
    <n v="63.469262624999999"/>
    <n v="489.48017448586126"/>
    <n v="326.32011632390748"/>
  </r>
  <r>
    <s v="07/06/2026"/>
    <s v="M"/>
    <s v="[1062] RAMGADH"/>
    <s v="[8402] RAMPUR"/>
    <x v="44"/>
    <x v="44"/>
    <x v="44"/>
    <s v="C"/>
    <n v="34"/>
    <n v="3.7"/>
    <n v="8.1"/>
    <n v="1.258"/>
    <n v="2.7539999999999996"/>
    <n v="37.948125900000008"/>
    <n v="1290.2362806000003"/>
    <n v="417.01237252747262"/>
    <n v="278.00824835164843"/>
    <n v="22.579134910500009"/>
    <n v="127.5"/>
    <n v="1440.3154155105003"/>
    <n v="42.362218103250008"/>
    <n v="465.51888025549459"/>
    <n v="310.34592017032975"/>
  </r>
  <r>
    <s v="07/06/2026"/>
    <s v="E"/>
    <s v="[1062] RAMGADH"/>
    <s v="[8402] RAMPUR"/>
    <x v="44"/>
    <x v="44"/>
    <x v="44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7/06/2026"/>
    <s v="E"/>
    <s v="[1062] RAMGADH"/>
    <s v="[8402] RAMPUR"/>
    <x v="44"/>
    <x v="44"/>
    <x v="44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8/06/2026"/>
    <s v="M"/>
    <s v="[1062] RAMGADH"/>
    <s v="[8402] RAMPUR"/>
    <x v="44"/>
    <x v="44"/>
    <x v="44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08/06/2026"/>
    <s v="M"/>
    <s v="[1062] RAMGADH"/>
    <s v="[8402] RAMPUR"/>
    <x v="44"/>
    <x v="44"/>
    <x v="44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08/06/2026"/>
    <s v="E"/>
    <s v="[1062] RAMGADH"/>
    <s v="[8402] RAMPUR"/>
    <x v="44"/>
    <x v="44"/>
    <x v="44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08/06/2026"/>
    <s v="E"/>
    <s v="[1062] RAMGADH"/>
    <s v="[8402] RAMPUR"/>
    <x v="44"/>
    <x v="44"/>
    <x v="44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09/06/2026"/>
    <s v="M"/>
    <s v="[1062] RAMGADH"/>
    <s v="[8402] RAMPUR"/>
    <x v="44"/>
    <x v="44"/>
    <x v="44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9/06/2026"/>
    <s v="M"/>
    <s v="[1062] RAMGADH"/>
    <s v="[8402] RAMPUR"/>
    <x v="44"/>
    <x v="44"/>
    <x v="44"/>
    <s v="C"/>
    <n v="32"/>
    <n v="4.3"/>
    <n v="8.1999999999999993"/>
    <n v="1.3759999999999999"/>
    <n v="2.6239999999999997"/>
    <n v="40.728139799999994"/>
    <n v="1303.3004735999998"/>
    <n v="417.01167030716726"/>
    <n v="278.00778020477816"/>
    <n v="22.807758287999999"/>
    <n v="120"/>
    <n v="1446.1082318879999"/>
    <n v="45.190882246499996"/>
    <n v="462.70527897440275"/>
    <n v="308.47018598293516"/>
  </r>
  <r>
    <s v="09/06/2026"/>
    <s v="E"/>
    <s v="[1062] RAMGADH"/>
    <s v="[8402] RAMPUR"/>
    <x v="44"/>
    <x v="44"/>
    <x v="44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9/06/2026"/>
    <s v="E"/>
    <s v="[1062] RAMGADH"/>
    <s v="[8402] RAMPUR"/>
    <x v="44"/>
    <x v="44"/>
    <x v="44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10/06/2026"/>
    <s v="M"/>
    <s v="[1062] RAMGADH"/>
    <s v="[8402] RAMPUR"/>
    <x v="44"/>
    <x v="44"/>
    <x v="44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10/06/2026"/>
    <s v="M"/>
    <s v="[1062] RAMGADH"/>
    <s v="[8402] RAMPUR"/>
    <x v="44"/>
    <x v="44"/>
    <x v="44"/>
    <s v="C"/>
    <n v="33"/>
    <n v="3.9"/>
    <n v="8.1"/>
    <n v="1.2869999999999999"/>
    <n v="2.673"/>
    <n v="38.782125900000004"/>
    <n v="1279.8101547000001"/>
    <n v="417.01210645161296"/>
    <n v="278.00807096774196"/>
    <n v="22.396677707250003"/>
    <n v="123.75"/>
    <n v="1425.9568324072502"/>
    <n v="43.210813103250004"/>
    <n v="464.63239895967746"/>
    <n v="309.75493263978495"/>
  </r>
  <r>
    <s v="10/06/2026"/>
    <s v="E"/>
    <s v="[1062] RAMGADH"/>
    <s v="[8402] RAMPUR"/>
    <x v="44"/>
    <x v="44"/>
    <x v="44"/>
    <s v="B"/>
    <n v="18"/>
    <n v="6.9"/>
    <n v="8.8000000000000007"/>
    <n v="1.242"/>
    <n v="1.5840000000000001"/>
    <n v="57.038850000000004"/>
    <n v="1026.6993"/>
    <n v="446.77950391644907"/>
    <n v="297.85300261096603"/>
    <n v="17.967237750000002"/>
    <n v="67.5"/>
    <n v="1112.1665377500001"/>
    <n v="61.787029875000002"/>
    <n v="483.97151338120102"/>
    <n v="322.64767558746735"/>
  </r>
  <r>
    <s v="10/06/2026"/>
    <s v="E"/>
    <s v="[1062] RAMGADH"/>
    <s v="[8402] RAMPUR"/>
    <x v="44"/>
    <x v="44"/>
    <x v="44"/>
    <s v="C"/>
    <n v="23"/>
    <n v="3.3"/>
    <n v="8.1"/>
    <n v="0.7589999999999999"/>
    <n v="1.8629999999999998"/>
    <n v="36.280125900000002"/>
    <n v="834.44289570000001"/>
    <n v="417.0129413793104"/>
    <n v="278.00862758620696"/>
    <n v="14.602750674750002"/>
    <n v="86.25"/>
    <n v="935.29564637475005"/>
    <n v="40.665028103250002"/>
    <n v="467.4141161293104"/>
    <n v="311.6094107528736"/>
  </r>
  <r>
    <s v="11/06/2026"/>
    <s v="M"/>
    <s v="[1062] RAMGADH"/>
    <s v="[8402] RAMPUR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s v="11/06/2026"/>
    <s v="M"/>
    <s v="[1062] RAMGADH"/>
    <s v="[8402] RAMPUR"/>
    <x v="44"/>
    <x v="44"/>
    <x v="44"/>
    <s v="C"/>
    <n v="29"/>
    <n v="4.3"/>
    <n v="8.1"/>
    <n v="1.2469999999999999"/>
    <n v="2.3489999999999998"/>
    <n v="40.450125900000003"/>
    <n v="1173.0536511"/>
    <n v="417.01160721649489"/>
    <n v="278.00773814432995"/>
    <n v="20.528438894250002"/>
    <n v="108.75"/>
    <n v="1302.3320899942501"/>
    <n v="44.908003103250003"/>
    <n v="462.96910415721652"/>
    <n v="308.64606943814437"/>
  </r>
  <r>
    <s v="11/06/2026"/>
    <s v="E"/>
    <s v="[1062] RAMGADH"/>
    <s v="[8402] RAMPUR"/>
    <x v="44"/>
    <x v="44"/>
    <x v="44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11/06/2026"/>
    <s v="E"/>
    <s v="[1062] RAMGADH"/>
    <s v="[8402] RAMPUR"/>
    <x v="44"/>
    <x v="44"/>
    <x v="44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05/06/2026"/>
    <s v="M"/>
    <s v="[1062] RAMGADH"/>
    <s v="[8405] RAMGADH"/>
    <x v="45"/>
    <x v="45"/>
    <x v="45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05/06/2026"/>
    <s v="M"/>
    <s v="[1062] RAMGADH"/>
    <s v="[8405] RAMGADH"/>
    <x v="45"/>
    <x v="45"/>
    <x v="45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5/06/2026"/>
    <s v="E"/>
    <s v="[1062] RAMGADH"/>
    <s v="[8405] RAMGADH"/>
    <x v="45"/>
    <x v="45"/>
    <x v="4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6/06/2026"/>
    <s v="M"/>
    <s v="[1062] RAMGADH"/>
    <s v="[8405] RAMGADH"/>
    <x v="45"/>
    <x v="45"/>
    <x v="45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6/06/2026"/>
    <s v="M"/>
    <s v="[1062] RAMGADH"/>
    <s v="[8405] RAMGADH"/>
    <x v="45"/>
    <x v="45"/>
    <x v="4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6/2026"/>
    <s v="E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7/06/2026"/>
    <s v="M"/>
    <s v="[1062] RAMGADH"/>
    <s v="[8405] RAMGADH"/>
    <x v="45"/>
    <x v="45"/>
    <x v="45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07/06/2026"/>
    <s v="M"/>
    <s v="[1062] RAMGADH"/>
    <s v="[8405] RAMGADH"/>
    <x v="45"/>
    <x v="45"/>
    <x v="4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7/06/2026"/>
    <s v="E"/>
    <s v="[1062] RAMGADH"/>
    <s v="[8405] RAMGADH"/>
    <x v="45"/>
    <x v="45"/>
    <x v="45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8/06/2026"/>
    <s v="M"/>
    <s v="[1062] RAMGADH"/>
    <s v="[8405] RAMGADH"/>
    <x v="45"/>
    <x v="45"/>
    <x v="45"/>
    <s v="B"/>
    <n v="13"/>
    <n v="5.8"/>
    <n v="8.6"/>
    <n v="0.75399999999999989"/>
    <n v="1.1179999999999999"/>
    <n v="47.461399999999998"/>
    <n v="616.9982"/>
    <n v="411.51502890173413"/>
    <n v="274.34335260115608"/>
    <n v="10.797468500000001"/>
    <n v="48.75"/>
    <n v="676.54566850000003"/>
    <n v="52.041974500000002"/>
    <n v="451.23099277456657"/>
    <n v="300.82066184971103"/>
  </r>
  <r>
    <s v="08/06/2026"/>
    <s v="M"/>
    <s v="[1062] RAMGADH"/>
    <s v="[8405] RAMGADH"/>
    <x v="45"/>
    <x v="45"/>
    <x v="45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8/06/2026"/>
    <s v="E"/>
    <s v="[1062] RAMGADH"/>
    <s v="[8405] RAMGADH"/>
    <x v="45"/>
    <x v="45"/>
    <x v="45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9/06/2026"/>
    <s v="M"/>
    <s v="[1062] RAMGADH"/>
    <s v="[8405] RAMGADH"/>
    <x v="45"/>
    <x v="45"/>
    <x v="45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9/06/2026"/>
    <s v="M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9/06/2026"/>
    <s v="E"/>
    <s v="[1062] RAMGADH"/>
    <s v="[8405] RAMGADH"/>
    <x v="45"/>
    <x v="45"/>
    <x v="45"/>
    <s v="C"/>
    <n v="26"/>
    <n v="4"/>
    <n v="8.1"/>
    <n v="1.04"/>
    <n v="2.1059999999999999"/>
    <n v="39.199125899999999"/>
    <n v="1019.1772734"/>
    <n v="417.01197765957443"/>
    <n v="278.00798510638293"/>
    <n v="17.835602284500002"/>
    <n v="97.5"/>
    <n v="1134.5128756844999"/>
    <n v="43.635110603249998"/>
    <n v="464.20330428989359"/>
    <n v="309.46886952659571"/>
  </r>
  <r>
    <s v="10/06/2026"/>
    <s v="M"/>
    <s v="[1062] RAMGADH"/>
    <s v="[8405] RAMGADH"/>
    <x v="45"/>
    <x v="45"/>
    <x v="45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0/06/2026"/>
    <s v="M"/>
    <s v="[1062] RAMGADH"/>
    <s v="[8405] RAMGADH"/>
    <x v="45"/>
    <x v="45"/>
    <x v="4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6/2026"/>
    <s v="E"/>
    <s v="[1062] RAMGADH"/>
    <s v="[8405] RAMGADH"/>
    <x v="45"/>
    <x v="45"/>
    <x v="45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11/06/2026"/>
    <s v="M"/>
    <s v="[1062] RAMGADH"/>
    <s v="[8405] RAMGADH"/>
    <x v="45"/>
    <x v="45"/>
    <x v="45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11/06/2026"/>
    <s v="M"/>
    <s v="[1062] RAMGADH"/>
    <s v="[8405] RAMGADH"/>
    <x v="45"/>
    <x v="45"/>
    <x v="4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1/06/2026"/>
    <s v="E"/>
    <s v="[1062] RAMGADH"/>
    <s v="[8405] RAMGADH"/>
    <x v="45"/>
    <x v="45"/>
    <x v="45"/>
    <s v="C"/>
    <n v="21"/>
    <n v="3.2"/>
    <n v="8.1"/>
    <n v="0.67200000000000004"/>
    <n v="1.7009999999999998"/>
    <n v="35.8631259"/>
    <n v="753.1256439"/>
    <n v="417.01309186046512"/>
    <n v="278.00872790697673"/>
    <n v="13.179698768250001"/>
    <n v="78.75"/>
    <n v="845.05534266824998"/>
    <n v="40.24073060325"/>
    <n v="467.91547213081401"/>
    <n v="311.94364808720934"/>
  </r>
  <r>
    <s v="05/06/2026"/>
    <s v="M"/>
    <s v="[1062] RAMGADH"/>
    <s v="[8403] MOHANIA"/>
    <x v="46"/>
    <x v="46"/>
    <x v="46"/>
    <s v="B"/>
    <n v="25"/>
    <n v="6.4"/>
    <n v="8.6"/>
    <n v="1.6"/>
    <n v="2.15"/>
    <n v="52.371199999999995"/>
    <n v="1309.28"/>
    <n v="431.6307692307692"/>
    <n v="287.75384615384615"/>
    <n v="22.912400000000002"/>
    <n v="93.75"/>
    <n v="1425.9423999999999"/>
    <n v="57.037695999999997"/>
    <n v="470.0909010989011"/>
    <n v="313.39393406593405"/>
  </r>
  <r>
    <s v="05/06/2026"/>
    <s v="M"/>
    <s v="[1062] RAMGADH"/>
    <s v="[8403] MOHANIA"/>
    <x v="46"/>
    <x v="46"/>
    <x v="46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05/06/2026"/>
    <s v="E"/>
    <s v="[1062] RAMGADH"/>
    <s v="[8403] MOHANIA"/>
    <x v="46"/>
    <x v="46"/>
    <x v="46"/>
    <s v="C"/>
    <n v="19"/>
    <n v="4.3"/>
    <n v="8.1"/>
    <n v="0.81700000000000006"/>
    <n v="1.5390000000000001"/>
    <n v="40.450125900000003"/>
    <n v="768.55239210000002"/>
    <n v="417.01160721649489"/>
    <n v="278.00773814432995"/>
    <n v="13.449666861750002"/>
    <n v="71.25"/>
    <n v="853.25205896174998"/>
    <n v="44.908003103249996"/>
    <n v="462.96910415721646"/>
    <n v="308.64606943814431"/>
  </r>
  <r>
    <s v="06/06/2026"/>
    <s v="M"/>
    <s v="[1062] RAMGADH"/>
    <s v="[8403] MOHANIA"/>
    <x v="46"/>
    <x v="46"/>
    <x v="46"/>
    <s v="B"/>
    <n v="28"/>
    <n v="6"/>
    <n v="8.6"/>
    <n v="1.68"/>
    <n v="2.4079999999999999"/>
    <n v="49.097999999999999"/>
    <n v="1374.7439999999999"/>
    <n v="418.44886363636368"/>
    <n v="278.96590909090912"/>
    <n v="24.058019999999999"/>
    <n v="105"/>
    <n v="1503.8020199999999"/>
    <n v="53.707214999999998"/>
    <n v="457.7319460227273"/>
    <n v="305.15463068181822"/>
  </r>
  <r>
    <s v="06/06/2026"/>
    <s v="M"/>
    <s v="[1062] RAMGADH"/>
    <s v="[8403] MOHANIA"/>
    <x v="46"/>
    <x v="46"/>
    <x v="46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6/06/2026"/>
    <s v="E"/>
    <s v="[1062] RAMGADH"/>
    <s v="[8403] MOHANIA"/>
    <x v="46"/>
    <x v="46"/>
    <x v="46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07/06/2026"/>
    <s v="M"/>
    <s v="[1062] RAMGADH"/>
    <s v="[8403] MOHANIA"/>
    <x v="46"/>
    <x v="46"/>
    <x v="46"/>
    <s v="B"/>
    <n v="29"/>
    <n v="6.3"/>
    <n v="8.8000000000000007"/>
    <n v="1.827"/>
    <n v="2.552"/>
    <n v="52.078949999999999"/>
    <n v="1510.28955"/>
    <n v="428.04616438356163"/>
    <n v="285.36410958904111"/>
    <n v="26.430067125000001"/>
    <n v="108.75"/>
    <n v="1645.469617125"/>
    <n v="56.740331625000003"/>
    <n v="466.35889006849317"/>
    <n v="310.90592671232878"/>
  </r>
  <r>
    <s v="07/06/2026"/>
    <s v="M"/>
    <s v="[1062] RAMGADH"/>
    <s v="[8403] MOHANIA"/>
    <x v="46"/>
    <x v="46"/>
    <x v="46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7/06/2026"/>
    <s v="E"/>
    <s v="[1062] RAMGADH"/>
    <s v="[8403] MOHANIA"/>
    <x v="46"/>
    <x v="46"/>
    <x v="46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08/06/2026"/>
    <s v="M"/>
    <s v="[1062] RAMGADH"/>
    <s v="[8403] MOHANIA"/>
    <x v="46"/>
    <x v="46"/>
    <x v="46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08/06/2026"/>
    <s v="M"/>
    <s v="[1062] RAMGADH"/>
    <s v="[8403] MOHANIA"/>
    <x v="46"/>
    <x v="46"/>
    <x v="46"/>
    <s v="C"/>
    <n v="17"/>
    <n v="3.6"/>
    <n v="8.1"/>
    <n v="0.61199999999999999"/>
    <n v="1.3769999999999998"/>
    <n v="37.531125900000006"/>
    <n v="638.02914030000011"/>
    <n v="417.01251000000008"/>
    <n v="278.00834000000003"/>
    <n v="11.165509955250004"/>
    <n v="63.75"/>
    <n v="712.94465025525005"/>
    <n v="41.937920603250006"/>
    <n v="465.97689559166673"/>
    <n v="310.6512637277778"/>
  </r>
  <r>
    <s v="08/06/2026"/>
    <s v="E"/>
    <s v="[1062] RAMGADH"/>
    <s v="[8403] MOHANIA"/>
    <x v="46"/>
    <x v="46"/>
    <x v="46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09/06/2026"/>
    <s v="M"/>
    <s v="[1062] RAMGADH"/>
    <s v="[8403] MOHANIA"/>
    <x v="46"/>
    <x v="46"/>
    <x v="46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09/06/2026"/>
    <s v="M"/>
    <s v="[1062] RAMGADH"/>
    <s v="[8403] MOHANIA"/>
    <x v="46"/>
    <x v="46"/>
    <x v="46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9/06/2026"/>
    <s v="E"/>
    <s v="[1062] RAMGADH"/>
    <s v="[8403] MOHANIA"/>
    <x v="46"/>
    <x v="46"/>
    <x v="46"/>
    <s v="C"/>
    <n v="19"/>
    <n v="4.7"/>
    <n v="8.1999999999999993"/>
    <n v="0.89300000000000002"/>
    <n v="1.5579999999999998"/>
    <n v="42.3961398"/>
    <n v="805.52665620000005"/>
    <n v="417.01121114754102"/>
    <n v="278.00747409836066"/>
    <n v="14.096716483500002"/>
    <n v="71.25"/>
    <n v="890.87337268350007"/>
    <n v="46.888072246500002"/>
    <n v="461.19415324426234"/>
    <n v="307.46276882950821"/>
  </r>
  <r>
    <s v="10/06/2026"/>
    <s v="M"/>
    <s v="[1062] RAMGADH"/>
    <s v="[8403] MOHANIA"/>
    <x v="46"/>
    <x v="46"/>
    <x v="46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10/06/2026"/>
    <s v="M"/>
    <s v="[1062] RAMGADH"/>
    <s v="[8403] MOHANIA"/>
    <x v="46"/>
    <x v="46"/>
    <x v="46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10/06/2026"/>
    <s v="E"/>
    <s v="[1062] RAMGADH"/>
    <s v="[8403] MOHANIA"/>
    <x v="46"/>
    <x v="46"/>
    <x v="46"/>
    <s v="C"/>
    <n v="22"/>
    <n v="4"/>
    <n v="8.1"/>
    <n v="0.88"/>
    <n v="1.7819999999999998"/>
    <n v="39.199125899999999"/>
    <n v="862.38076979999994"/>
    <n v="417.01197765957443"/>
    <n v="278.00798510638293"/>
    <n v="15.0916634715"/>
    <n v="82.5"/>
    <n v="959.97243327149999"/>
    <n v="43.635110603249998"/>
    <n v="464.20330428989359"/>
    <n v="309.46886952659571"/>
  </r>
  <r>
    <s v="11/06/2026"/>
    <s v="M"/>
    <s v="[1062] RAMGADH"/>
    <s v="[8403] MOHANIA"/>
    <x v="46"/>
    <x v="46"/>
    <x v="46"/>
    <s v="B"/>
    <n v="29"/>
    <n v="6.2"/>
    <n v="8.6"/>
    <n v="1.798"/>
    <n v="2.4939999999999998"/>
    <n v="50.7346"/>
    <n v="1471.3034"/>
    <n v="425.15027932960902"/>
    <n v="283.4335195530727"/>
    <n v="25.747809500000002"/>
    <n v="108.75"/>
    <n v="1605.8012094999999"/>
    <n v="55.372455499999994"/>
    <n v="464.01499022346371"/>
    <n v="309.34332681564246"/>
  </r>
  <r>
    <s v="11/06/2026"/>
    <s v="M"/>
    <s v="[1062] RAMGADH"/>
    <s v="[8403] MOHANIA"/>
    <x v="46"/>
    <x v="46"/>
    <x v="46"/>
    <s v="C"/>
    <n v="17"/>
    <n v="3.2"/>
    <n v="8"/>
    <n v="0.54400000000000004"/>
    <n v="1.36"/>
    <n v="35.585112000000002"/>
    <n v="604.94690400000002"/>
    <n v="417.01303124999998"/>
    <n v="278.00868750000001"/>
    <n v="10.586570820000002"/>
    <n v="63.75"/>
    <n v="679.28347482000004"/>
    <n v="39.957851460000001"/>
    <n v="468.25607179687495"/>
    <n v="312.17071453124998"/>
  </r>
  <r>
    <s v="11/06/2026"/>
    <s v="E"/>
    <s v="[1062] RAMGADH"/>
    <s v="[8403] MOHANIA"/>
    <x v="46"/>
    <x v="46"/>
    <x v="46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05/06/2026"/>
    <s v="M"/>
    <s v="[1062] RAMGADH"/>
    <s v="[8401] DURGAWATI"/>
    <x v="47"/>
    <x v="47"/>
    <x v="47"/>
    <s v="B"/>
    <n v="20"/>
    <n v="7.3"/>
    <n v="8.8000000000000007"/>
    <n v="1.46"/>
    <n v="1.76"/>
    <n v="60.34545"/>
    <n v="1206.9090000000001"/>
    <n v="458.31987341772157"/>
    <n v="305.54658227848103"/>
    <n v="21.120907500000005"/>
    <n v="75"/>
    <n v="1303.0299075"/>
    <n v="65.151495374999996"/>
    <n v="494.82148386075949"/>
    <n v="329.88098924050632"/>
  </r>
  <r>
    <s v="05/06/2026"/>
    <s v="M"/>
    <s v="[1062] RAMGADH"/>
    <s v="[8401] DURGAWATI"/>
    <x v="47"/>
    <x v="47"/>
    <x v="4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6/2026"/>
    <s v="E"/>
    <s v="[1062] RAMGADH"/>
    <s v="[8401] DURGAWATI"/>
    <x v="47"/>
    <x v="47"/>
    <x v="47"/>
    <s v="C"/>
    <n v="24"/>
    <n v="4.8"/>
    <n v="8.3000000000000007"/>
    <n v="1.1519999999999999"/>
    <n v="1.9920000000000002"/>
    <n v="43.091153700000007"/>
    <n v="1034.1876888000002"/>
    <n v="417.01116483870976"/>
    <n v="278.00744322580653"/>
    <n v="18.098284554000003"/>
    <n v="90"/>
    <n v="1142.2859733540001"/>
    <n v="47.595248889750003"/>
    <n v="460.5991828040323"/>
    <n v="307.06612186935484"/>
  </r>
  <r>
    <s v="06/06/2026"/>
    <s v="M"/>
    <s v="[1062] RAMGADH"/>
    <s v="[8401] DURGAWATI"/>
    <x v="47"/>
    <x v="47"/>
    <x v="47"/>
    <s v="B"/>
    <n v="23"/>
    <n v="7.1"/>
    <n v="8.8000000000000007"/>
    <n v="1.6329999999999998"/>
    <n v="2.024"/>
    <n v="58.692149999999998"/>
    <n v="1349.9194499999999"/>
    <n v="452.63868894601546"/>
    <n v="301.75912596401031"/>
    <n v="23.623590374999999"/>
    <n v="86.25"/>
    <n v="1459.7930403749999"/>
    <n v="63.469262624999999"/>
    <n v="489.48017448586126"/>
    <n v="326.32011632390748"/>
  </r>
  <r>
    <s v="06/06/2026"/>
    <s v="M"/>
    <s v="[1062] RAMGADH"/>
    <s v="[8401] DURGAWATI"/>
    <x v="47"/>
    <x v="47"/>
    <x v="47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6/06/2026"/>
    <s v="E"/>
    <s v="[1062] RAMGADH"/>
    <s v="[8401] DURGAWATI"/>
    <x v="47"/>
    <x v="47"/>
    <x v="47"/>
    <s v="C"/>
    <n v="36"/>
    <n v="4.5"/>
    <n v="8.1"/>
    <n v="1.62"/>
    <n v="2.9159999999999995"/>
    <n v="41.284125900000006"/>
    <n v="1486.2285324000002"/>
    <n v="417.01137272727277"/>
    <n v="278.00758181818185"/>
    <n v="26.008999317000004"/>
    <n v="135"/>
    <n v="1647.2375317170001"/>
    <n v="45.756598103250006"/>
    <n v="462.18785962878792"/>
    <n v="308.12523975252526"/>
  </r>
  <r>
    <s v="07/06/2026"/>
    <s v="M"/>
    <s v="[1062] RAMGADH"/>
    <s v="[8401] DURGAWATI"/>
    <x v="47"/>
    <x v="47"/>
    <x v="47"/>
    <s v="B"/>
    <n v="25"/>
    <n v="6.7"/>
    <n v="8.8000000000000007"/>
    <n v="1.675"/>
    <n v="2.2000000000000002"/>
    <n v="55.385550000000002"/>
    <n v="1384.6387500000001"/>
    <n v="440.73381962864721"/>
    <n v="293.82254641909816"/>
    <n v="24.231178125000003"/>
    <n v="93.75"/>
    <n v="1502.6199281250001"/>
    <n v="60.104797125000005"/>
    <n v="478.28751027851456"/>
    <n v="318.85834018567635"/>
  </r>
  <r>
    <s v="07/06/2026"/>
    <s v="M"/>
    <s v="[1062] RAMGADH"/>
    <s v="[8401] DURGAWATI"/>
    <x v="47"/>
    <x v="47"/>
    <x v="47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7/06/2026"/>
    <s v="E"/>
    <s v="[1062] RAMGADH"/>
    <s v="[8401] DURGAWATI"/>
    <x v="47"/>
    <x v="47"/>
    <x v="47"/>
    <s v="C"/>
    <n v="27"/>
    <n v="4.8"/>
    <n v="8.3000000000000007"/>
    <n v="1.296"/>
    <n v="2.2410000000000001"/>
    <n v="43.091153700000007"/>
    <n v="1163.4611499000002"/>
    <n v="417.01116483870976"/>
    <n v="278.00744322580653"/>
    <n v="20.360570123250007"/>
    <n v="101.25"/>
    <n v="1285.0717200232502"/>
    <n v="47.59524888975001"/>
    <n v="460.59918280403235"/>
    <n v="307.0661218693549"/>
  </r>
  <r>
    <s v="08/06/2026"/>
    <s v="M"/>
    <s v="[1062] RAMGADH"/>
    <s v="[8401] DURGAWATI"/>
    <x v="47"/>
    <x v="47"/>
    <x v="47"/>
    <s v="B"/>
    <n v="30"/>
    <n v="7"/>
    <n v="8.8000000000000007"/>
    <n v="2.1"/>
    <n v="2.64"/>
    <n v="57.865500000000004"/>
    <n v="1735.9650000000001"/>
    <n v="449.73186528497411"/>
    <n v="299.82124352331607"/>
    <n v="30.379387500000007"/>
    <n v="112.5"/>
    <n v="1878.8443875000003"/>
    <n v="62.628146250000007"/>
    <n v="486.74725064766841"/>
    <n v="324.49816709844561"/>
  </r>
  <r>
    <s v="08/06/2026"/>
    <s v="M"/>
    <s v="[1062] RAMGADH"/>
    <s v="[8401] DURGAWATI"/>
    <x v="47"/>
    <x v="47"/>
    <x v="47"/>
    <s v="C"/>
    <n v="35"/>
    <n v="3.1"/>
    <n v="8"/>
    <n v="1.085"/>
    <n v="2.8"/>
    <n v="35.168112000000008"/>
    <n v="1230.8839200000002"/>
    <n v="417.01318577075102"/>
    <n v="278.00879051383401"/>
    <n v="21.540468600000004"/>
    <n v="131.25"/>
    <n v="1383.6743886000002"/>
    <n v="39.533553960000006"/>
    <n v="468.77731968379447"/>
    <n v="312.51821312252963"/>
  </r>
  <r>
    <s v="08/06/2026"/>
    <s v="E"/>
    <s v="[1062] RAMGADH"/>
    <s v="[8401] DURGAWATI"/>
    <x v="47"/>
    <x v="47"/>
    <x v="47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09/06/2026"/>
    <s v="M"/>
    <s v="[1062] RAMGADH"/>
    <s v="[8401] DURGAWATI"/>
    <x v="47"/>
    <x v="47"/>
    <x v="47"/>
    <s v="B"/>
    <n v="27"/>
    <n v="7.4"/>
    <n v="8.8000000000000007"/>
    <n v="1.9980000000000002"/>
    <n v="2.3760000000000003"/>
    <n v="61.172100000000007"/>
    <n v="1651.6467000000002"/>
    <n v="461.09623115577887"/>
    <n v="307.39748743718593"/>
    <n v="28.903817250000007"/>
    <n v="101.25"/>
    <n v="1781.8005172500002"/>
    <n v="65.992611750000009"/>
    <n v="497.43174685929648"/>
    <n v="331.6211645728643"/>
  </r>
  <r>
    <s v="09/06/2026"/>
    <s v="M"/>
    <s v="[1062] RAMGADH"/>
    <s v="[8401] DURGAWATI"/>
    <x v="47"/>
    <x v="47"/>
    <x v="4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9/06/2026"/>
    <s v="E"/>
    <s v="[1062] RAMGADH"/>
    <s v="[8401] DURGAWATI"/>
    <x v="47"/>
    <x v="47"/>
    <x v="47"/>
    <s v="C"/>
    <n v="25"/>
    <n v="4.7"/>
    <n v="8.4"/>
    <n v="1.175"/>
    <n v="2.1"/>
    <n v="42.95216760000001"/>
    <n v="1073.8041900000003"/>
    <n v="417.01133592233015"/>
    <n v="278.00755728155343"/>
    <n v="18.791573325000005"/>
    <n v="93.75"/>
    <n v="1186.3457633250002"/>
    <n v="47.453830533000009"/>
    <n v="460.71680129126219"/>
    <n v="307.14453419417481"/>
  </r>
  <r>
    <s v="10/06/2026"/>
    <s v="M"/>
    <s v="[1062] RAMGADH"/>
    <s v="[8401] DURGAWATI"/>
    <x v="47"/>
    <x v="47"/>
    <x v="47"/>
    <s v="B"/>
    <n v="26"/>
    <n v="7.1"/>
    <n v="8.8000000000000007"/>
    <n v="1.8459999999999999"/>
    <n v="2.2880000000000003"/>
    <n v="58.692149999999998"/>
    <n v="1525.9958999999999"/>
    <n v="452.63868894601546"/>
    <n v="301.75912596401031"/>
    <n v="26.704928250000002"/>
    <n v="97.5"/>
    <n v="1650.2008282499999"/>
    <n v="63.469262624999992"/>
    <n v="489.4801744858612"/>
    <n v="326.32011632390748"/>
  </r>
  <r>
    <s v="10/06/2026"/>
    <s v="M"/>
    <s v="[1062] RAMGADH"/>
    <s v="[8401] DURGAWATI"/>
    <x v="47"/>
    <x v="47"/>
    <x v="47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10/06/2026"/>
    <s v="E"/>
    <s v="[1062] RAMGADH"/>
    <s v="[8401] DURGAWATI"/>
    <x v="47"/>
    <x v="47"/>
    <x v="47"/>
    <s v="C"/>
    <n v="30"/>
    <n v="4.3"/>
    <n v="8.1"/>
    <n v="1.29"/>
    <n v="2.4300000000000002"/>
    <n v="40.450125900000003"/>
    <n v="1213.5037770000001"/>
    <n v="417.01160721649489"/>
    <n v="278.00773814432995"/>
    <n v="21.236316097500005"/>
    <n v="112.5"/>
    <n v="1347.2400930975002"/>
    <n v="44.90800310325001"/>
    <n v="462.96910415721658"/>
    <n v="308.64606943814437"/>
  </r>
  <r>
    <s v="11/06/2026"/>
    <s v="M"/>
    <s v="[1062] RAMGADH"/>
    <s v="[8401] DURGAWATI"/>
    <x v="47"/>
    <x v="47"/>
    <x v="47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11/06/2026"/>
    <s v="M"/>
    <s v="[1062] RAMGADH"/>
    <s v="[8401] DURGAWATI"/>
    <x v="47"/>
    <x v="47"/>
    <x v="47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11/06/2026"/>
    <s v="E"/>
    <s v="[1062] RAMGADH"/>
    <s v="[8401] DURGAWATI"/>
    <x v="47"/>
    <x v="47"/>
    <x v="47"/>
    <s v="C"/>
    <n v="22"/>
    <n v="4.3"/>
    <n v="8.1"/>
    <n v="0.94599999999999995"/>
    <n v="1.7819999999999998"/>
    <n v="40.450125900000003"/>
    <n v="889.9027698000001"/>
    <n v="417.01160721649489"/>
    <n v="278.00773814432995"/>
    <n v="15.573298471500003"/>
    <n v="82.5"/>
    <n v="987.97606827150014"/>
    <n v="44.908003103250003"/>
    <n v="462.96910415721652"/>
    <n v="308.64606943814437"/>
  </r>
  <r>
    <s v="05/06/2026"/>
    <s v="M"/>
    <s v="[1062] RAMGADH"/>
    <s v="[8404] CHANDESH"/>
    <x v="48"/>
    <x v="48"/>
    <x v="48"/>
    <s v="B"/>
    <n v="2"/>
    <n v="5.6"/>
    <n v="8.5"/>
    <n v="0.11199999999999999"/>
    <n v="0.17"/>
    <n v="45.357199999999999"/>
    <n v="90.714399999999998"/>
    <n v="402.57869822485208"/>
    <n v="268.38579881656807"/>
    <n v="1.5875020000000002"/>
    <n v="7.5"/>
    <n v="99.801901999999998"/>
    <n v="49.900950999999999"/>
    <n v="442.90784911242605"/>
    <n v="295.27189940828401"/>
  </r>
  <r>
    <s v="05/06/2026"/>
    <s v="E"/>
    <s v="[1062] RAMGADH"/>
    <s v="[8404] CHANDESH"/>
    <x v="48"/>
    <x v="48"/>
    <x v="48"/>
    <s v="B"/>
    <n v="36"/>
    <n v="6.8"/>
    <n v="9"/>
    <n v="2.448"/>
    <n v="3.24"/>
    <n v="56.78"/>
    <n v="2044.08"/>
    <n v="443.59375"/>
    <n v="295.72916666666669"/>
    <n v="35.7714"/>
    <n v="135"/>
    <n v="2214.8514"/>
    <n v="61.523650000000004"/>
    <n v="480.65351562500001"/>
    <n v="320.43567708333336"/>
  </r>
  <r>
    <s v="05/06/2026"/>
    <s v="E"/>
    <s v="[1062] RAMGADH"/>
    <s v="[8404] CHANDESH"/>
    <x v="48"/>
    <x v="48"/>
    <x v="48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6/06/2026"/>
    <s v="M"/>
    <s v="[1062] RAMGADH"/>
    <s v="[8404] CHANDESH"/>
    <x v="48"/>
    <x v="48"/>
    <x v="48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06/06/2026"/>
    <s v="E"/>
    <s v="[1062] RAMGADH"/>
    <s v="[8404] CHANDESH"/>
    <x v="48"/>
    <x v="48"/>
    <x v="48"/>
    <s v="B"/>
    <n v="27"/>
    <n v="6.8"/>
    <n v="8.8000000000000007"/>
    <n v="1.8359999999999999"/>
    <n v="2.3760000000000003"/>
    <n v="56.212200000000003"/>
    <n v="1517.7294000000002"/>
    <n v="443.78052631578947"/>
    <n v="295.8536842105263"/>
    <n v="26.560264500000006"/>
    <n v="101.25"/>
    <n v="1645.5396645000001"/>
    <n v="60.945913500000003"/>
    <n v="481.15194868421054"/>
    <n v="320.76796578947369"/>
  </r>
  <r>
    <s v="06/06/2026"/>
    <s v="E"/>
    <s v="[1062] RAMGADH"/>
    <s v="[8404] CHANDESH"/>
    <x v="48"/>
    <x v="48"/>
    <x v="4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7/06/2026"/>
    <s v="M"/>
    <s v="[1062] RAMGADH"/>
    <s v="[8404] CHANDESH"/>
    <x v="48"/>
    <x v="48"/>
    <x v="48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7/06/2026"/>
    <s v="M"/>
    <s v="[1062] RAMGADH"/>
    <s v="[8404] CHANDESH"/>
    <x v="48"/>
    <x v="48"/>
    <x v="48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7/06/2026"/>
    <s v="E"/>
    <s v="[1062] RAMGADH"/>
    <s v="[8404] CHANDESH"/>
    <x v="48"/>
    <x v="48"/>
    <x v="48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07/06/2026"/>
    <s v="E"/>
    <s v="[1062] RAMGADH"/>
    <s v="[8404] CHANDESH"/>
    <x v="48"/>
    <x v="48"/>
    <x v="48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8/06/2026"/>
    <s v="M"/>
    <s v="[1062] RAMGADH"/>
    <s v="[8404] CHANDESH"/>
    <x v="48"/>
    <x v="48"/>
    <x v="48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8/06/2026"/>
    <s v="M"/>
    <s v="[1062] RAMGADH"/>
    <s v="[8404] CHANDESH"/>
    <x v="48"/>
    <x v="48"/>
    <x v="48"/>
    <s v="C"/>
    <n v="43"/>
    <n v="4.2"/>
    <n v="8.1"/>
    <n v="1.806"/>
    <n v="3.4830000000000001"/>
    <n v="40.033125900000002"/>
    <n v="1721.4244137000001"/>
    <n v="417.01172812499999"/>
    <n v="278.00781875000001"/>
    <n v="30.124927239750004"/>
    <n v="161.25"/>
    <n v="1912.79934093975"/>
    <n v="44.483705603250002"/>
    <n v="463.37193336718752"/>
    <n v="308.9146222447917"/>
  </r>
  <r>
    <s v="08/06/2026"/>
    <s v="E"/>
    <s v="[1062] RAMGADH"/>
    <s v="[8404] CHANDESH"/>
    <x v="48"/>
    <x v="48"/>
    <x v="48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08/06/2026"/>
    <s v="E"/>
    <s v="[1062] RAMGADH"/>
    <s v="[8404] CHANDESH"/>
    <x v="48"/>
    <x v="48"/>
    <x v="48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09/06/2026"/>
    <s v="M"/>
    <s v="[1062] RAMGADH"/>
    <s v="[8404] CHANDESH"/>
    <x v="48"/>
    <x v="48"/>
    <x v="48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9/06/2026"/>
    <s v="M"/>
    <s v="[1062] RAMGADH"/>
    <s v="[8404] CHANDESH"/>
    <x v="48"/>
    <x v="48"/>
    <x v="48"/>
    <s v="C"/>
    <n v="48"/>
    <n v="3.6"/>
    <n v="8.1"/>
    <n v="1.7280000000000002"/>
    <n v="3.8879999999999995"/>
    <n v="37.531125900000006"/>
    <n v="1801.4940432000003"/>
    <n v="417.01251000000008"/>
    <n v="278.00834000000003"/>
    <n v="31.526145756000009"/>
    <n v="180"/>
    <n v="2013.0201889560003"/>
    <n v="41.937920603250006"/>
    <n v="465.97689559166673"/>
    <n v="310.6512637277778"/>
  </r>
  <r>
    <s v="09/06/2026"/>
    <s v="E"/>
    <s v="[1062] RAMGADH"/>
    <s v="[8404] CHANDESH"/>
    <x v="48"/>
    <x v="48"/>
    <x v="48"/>
    <s v="B"/>
    <n v="25"/>
    <n v="5.8"/>
    <n v="8.4"/>
    <n v="1.45"/>
    <n v="2.1"/>
    <n v="46.9771"/>
    <n v="1174.4275"/>
    <n v="412.07982456140354"/>
    <n v="274.71988304093571"/>
    <n v="20.552481250000003"/>
    <n v="93.75"/>
    <n v="1288.72998125"/>
    <n v="51.549199250000001"/>
    <n v="452.18595833333336"/>
    <n v="301.45730555555559"/>
  </r>
  <r>
    <s v="09/06/2026"/>
    <s v="E"/>
    <s v="[1062] RAMGADH"/>
    <s v="[8404] CHANDESH"/>
    <x v="48"/>
    <x v="48"/>
    <x v="48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10/06/2026"/>
    <s v="M"/>
    <s v="[1062] RAMGADH"/>
    <s v="[8404] CHANDESH"/>
    <x v="48"/>
    <x v="48"/>
    <x v="48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10/06/2026"/>
    <s v="E"/>
    <s v="[1062] RAMGADH"/>
    <s v="[8404] CHANDESH"/>
    <x v="48"/>
    <x v="48"/>
    <x v="48"/>
    <s v="B"/>
    <n v="21"/>
    <n v="6.6"/>
    <n v="8.8000000000000007"/>
    <n v="1.3859999999999999"/>
    <n v="1.8480000000000001"/>
    <n v="54.558900000000001"/>
    <n v="1145.7369000000001"/>
    <n v="437.63823529411764"/>
    <n v="291.75882352941176"/>
    <n v="20.050395750000003"/>
    <n v="78.75"/>
    <n v="1244.5372957500001"/>
    <n v="59.263680750000006"/>
    <n v="475.37711831550803"/>
    <n v="316.91807887700537"/>
  </r>
  <r>
    <s v="10/06/2026"/>
    <s v="E"/>
    <s v="[1062] RAMGADH"/>
    <s v="[8404] CHANDESH"/>
    <x v="48"/>
    <x v="48"/>
    <x v="48"/>
    <s v="C"/>
    <n v="40"/>
    <n v="3.1"/>
    <n v="8.1999999999999993"/>
    <n v="1.24"/>
    <n v="3.28"/>
    <n v="35.724139800000003"/>
    <n v="1428.965592"/>
    <n v="417.0133050583658"/>
    <n v="278.00887003891052"/>
    <n v="25.006897860000002"/>
    <n v="150"/>
    <n v="1603.97248986"/>
    <n v="40.099312246499998"/>
    <n v="468.085356963035"/>
    <n v="312.05690464202331"/>
  </r>
  <r>
    <s v="11/06/2026"/>
    <s v="M"/>
    <s v="[1062] RAMGADH"/>
    <s v="[8404] CHANDESH"/>
    <x v="48"/>
    <x v="48"/>
    <x v="48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11/06/2026"/>
    <s v="E"/>
    <s v="[1062] RAMGADH"/>
    <s v="[8404] CHANDESH"/>
    <x v="48"/>
    <x v="48"/>
    <x v="48"/>
    <s v="B"/>
    <n v="22"/>
    <n v="6.1"/>
    <n v="8.8000000000000007"/>
    <n v="1.3419999999999999"/>
    <n v="1.9360000000000002"/>
    <n v="50.425650000000005"/>
    <n v="1109.3643000000002"/>
    <n v="421.38426183844012"/>
    <n v="280.92284122562677"/>
    <n v="19.413875250000004"/>
    <n v="82.5"/>
    <n v="1211.2781752500002"/>
    <n v="55.058098875000013"/>
    <n v="460.09553377437334"/>
    <n v="306.73035584958222"/>
  </r>
  <r>
    <s v="11/06/2026"/>
    <s v="E"/>
    <s v="[1062] RAMGADH"/>
    <s v="[8404] CHANDESH"/>
    <x v="48"/>
    <x v="48"/>
    <x v="48"/>
    <s v="C"/>
    <n v="36"/>
    <n v="3.3"/>
    <n v="8.1999999999999993"/>
    <n v="1.1879999999999999"/>
    <n v="2.952"/>
    <n v="36.558139799999999"/>
    <n v="1316.0930327999999"/>
    <n v="417.0130015209125"/>
    <n v="278.00866768060831"/>
    <n v="23.031628074"/>
    <n v="135"/>
    <n v="1474.124660874"/>
    <n v="40.947907246500002"/>
    <n v="467.08639444676805"/>
    <n v="311.39092963117872"/>
  </r>
  <r>
    <s v="05/06/2026"/>
    <s v="M"/>
    <s v="[1062] RAMGADH"/>
    <s v="[8401] DURGAWATI"/>
    <x v="49"/>
    <x v="49"/>
    <x v="49"/>
    <s v="C"/>
    <n v="18"/>
    <n v="3.1"/>
    <n v="8.1"/>
    <n v="0.55800000000000005"/>
    <n v="1.4579999999999997"/>
    <n v="35.446125899999998"/>
    <n v="638.03026619999991"/>
    <n v="417.01324588235298"/>
    <n v="278.0088305882353"/>
    <n v="11.165529658499999"/>
    <n v="67.5"/>
    <n v="716.69579585849988"/>
    <n v="39.816433103249992"/>
    <n v="468.4286247441176"/>
    <n v="312.28574982941171"/>
  </r>
  <r>
    <s v="05/06/2026"/>
    <s v="E"/>
    <s v="[1062] RAMGADH"/>
    <s v="[8401] DURGAWATI"/>
    <x v="49"/>
    <x v="49"/>
    <x v="49"/>
    <s v="B"/>
    <n v="4"/>
    <n v="7.4"/>
    <n v="8.8000000000000007"/>
    <n v="0.29600000000000004"/>
    <n v="0.35200000000000004"/>
    <n v="61.172100000000007"/>
    <n v="244.68840000000003"/>
    <n v="461.09623115577887"/>
    <n v="307.39748743718593"/>
    <n v="4.2820470000000013"/>
    <n v="15"/>
    <n v="263.97044700000004"/>
    <n v="65.992611750000009"/>
    <n v="497.43174685929648"/>
    <n v="331.6211645728643"/>
  </r>
  <r>
    <s v="05/06/2026"/>
    <s v="E"/>
    <s v="[1062] RAMGADH"/>
    <s v="[8401] DURGAWATI"/>
    <x v="49"/>
    <x v="49"/>
    <x v="49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06/06/2026"/>
    <s v="M"/>
    <s v="[1062] RAMGADH"/>
    <s v="[8401] DURGAWATI"/>
    <x v="49"/>
    <x v="49"/>
    <x v="49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6/06/2026"/>
    <s v="E"/>
    <s v="[1062] RAMGADH"/>
    <s v="[8401] DURGAWATI"/>
    <x v="49"/>
    <x v="49"/>
    <x v="49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06/06/2026"/>
    <s v="E"/>
    <s v="[1062] RAMGADH"/>
    <s v="[8401] DURGAWATI"/>
    <x v="49"/>
    <x v="49"/>
    <x v="49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7/06/2026"/>
    <s v="M"/>
    <s v="[1062] RAMGADH"/>
    <s v="[8401] DURGAWATI"/>
    <x v="49"/>
    <x v="49"/>
    <x v="49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7/06/2026"/>
    <s v="E"/>
    <s v="[1062] RAMGADH"/>
    <s v="[8401] DURGAWATI"/>
    <x v="49"/>
    <x v="49"/>
    <x v="4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6/2026"/>
    <s v="M"/>
    <s v="[1062] RAMGADH"/>
    <s v="[8401] DURGAWATI"/>
    <x v="49"/>
    <x v="49"/>
    <x v="49"/>
    <s v="C"/>
    <n v="17"/>
    <n v="3.3"/>
    <n v="8.1"/>
    <n v="0.56099999999999994"/>
    <n v="1.3769999999999998"/>
    <n v="36.280125900000002"/>
    <n v="616.76214030000006"/>
    <n v="417.0129413793104"/>
    <n v="278.00862758620696"/>
    <n v="10.793337455250002"/>
    <n v="63.75"/>
    <n v="691.30547775525008"/>
    <n v="40.665028103250002"/>
    <n v="467.4141161293104"/>
    <n v="311.6094107528736"/>
  </r>
  <r>
    <s v="08/06/2026"/>
    <s v="E"/>
    <s v="[1062] RAMGADH"/>
    <s v="[8401] DURGAWATI"/>
    <x v="49"/>
    <x v="49"/>
    <x v="49"/>
    <s v="B"/>
    <n v="5"/>
    <n v="7.2"/>
    <n v="8.8000000000000007"/>
    <n v="0.36"/>
    <n v="0.44"/>
    <n v="59.518800000000006"/>
    <n v="297.59400000000005"/>
    <n v="455.50102040816324"/>
    <n v="303.66734693877549"/>
    <n v="5.2078950000000015"/>
    <n v="18.75"/>
    <n v="321.55189500000006"/>
    <n v="64.310379000000012"/>
    <n v="492.17126785714288"/>
    <n v="328.11417857142857"/>
  </r>
  <r>
    <s v="08/06/2026"/>
    <s v="E"/>
    <s v="[1062] RAMGADH"/>
    <s v="[8401] DURGAWATI"/>
    <x v="49"/>
    <x v="49"/>
    <x v="49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09/06/2026"/>
    <s v="M"/>
    <s v="[1062] RAMGADH"/>
    <s v="[8401] DURGAWATI"/>
    <x v="49"/>
    <x v="49"/>
    <x v="49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09/06/2026"/>
    <s v="E"/>
    <s v="[1062] RAMGADH"/>
    <s v="[8401] DURGAWATI"/>
    <x v="49"/>
    <x v="49"/>
    <x v="49"/>
    <s v="B"/>
    <n v="8"/>
    <n v="7.1"/>
    <n v="9"/>
    <n v="0.56799999999999995"/>
    <n v="0.72"/>
    <n v="59.284999999999997"/>
    <n v="474.28"/>
    <n v="452.55725190839689"/>
    <n v="301.70483460559791"/>
    <n v="8.2999000000000009"/>
    <n v="30"/>
    <n v="512.57989999999995"/>
    <n v="64.072487499999994"/>
    <n v="489.10295801526712"/>
    <n v="326.06863867684473"/>
  </r>
  <r>
    <s v="09/06/2026"/>
    <s v="E"/>
    <s v="[1062] RAMGADH"/>
    <s v="[8401] DURGAWATI"/>
    <x v="49"/>
    <x v="49"/>
    <x v="49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10/06/2026"/>
    <s v="M"/>
    <s v="[1062] RAMGADH"/>
    <s v="[8401] DURGAWATI"/>
    <x v="49"/>
    <x v="49"/>
    <x v="49"/>
    <s v="C"/>
    <n v="15"/>
    <n v="3.6"/>
    <n v="8.1"/>
    <n v="0.54"/>
    <n v="1.2150000000000001"/>
    <n v="37.531125900000006"/>
    <n v="562.9668885000001"/>
    <n v="417.01251000000008"/>
    <n v="278.00834000000003"/>
    <n v="9.8519205487500034"/>
    <n v="56.25"/>
    <n v="629.06880904875015"/>
    <n v="41.937920603250014"/>
    <n v="465.97689559166685"/>
    <n v="310.65126372777792"/>
  </r>
  <r>
    <s v="10/06/2026"/>
    <s v="E"/>
    <s v="[1062] RAMGADH"/>
    <s v="[8401] DURGAWATI"/>
    <x v="49"/>
    <x v="49"/>
    <x v="49"/>
    <s v="B"/>
    <n v="5"/>
    <n v="6.5"/>
    <n v="8.8000000000000007"/>
    <n v="0.32500000000000001"/>
    <n v="0.44"/>
    <n v="53.732250000000001"/>
    <n v="268.66125"/>
    <n v="434.49258760107813"/>
    <n v="289.66172506738542"/>
    <n v="4.701571875"/>
    <n v="18.75"/>
    <n v="292.11282187500001"/>
    <n v="58.422564375"/>
    <n v="472.41965801886789"/>
    <n v="314.94643867924526"/>
  </r>
  <r>
    <s v="10/06/2026"/>
    <s v="E"/>
    <s v="[1062] RAMGADH"/>
    <s v="[8401] DURGAWATI"/>
    <x v="49"/>
    <x v="49"/>
    <x v="49"/>
    <s v="C"/>
    <n v="10"/>
    <n v="3.1"/>
    <n v="8.1"/>
    <n v="0.31"/>
    <n v="0.81"/>
    <n v="35.446125899999998"/>
    <n v="354.46125899999998"/>
    <n v="417.01324588235298"/>
    <n v="278.0088305882353"/>
    <n v="6.2030720325000006"/>
    <n v="37.5"/>
    <n v="398.1643310325"/>
    <n v="39.816433103249999"/>
    <n v="468.42862474411766"/>
    <n v="312.28574982941177"/>
  </r>
  <r>
    <s v="11/06/2026"/>
    <s v="M"/>
    <s v="[1062] RAMGADH"/>
    <s v="[8401] DURGAWATI"/>
    <x v="49"/>
    <x v="49"/>
    <x v="49"/>
    <s v="C"/>
    <n v="17"/>
    <n v="3.8"/>
    <n v="8.1999999999999993"/>
    <n v="0.64599999999999991"/>
    <n v="1.3939999999999997"/>
    <n v="38.6431398"/>
    <n v="656.93337659999997"/>
    <n v="417.01230000000004"/>
    <n v="278.00820000000004"/>
    <n v="11.496334090500001"/>
    <n v="63.75"/>
    <n v="732.17971069049997"/>
    <n v="43.069394746499995"/>
    <n v="464.77764114928056"/>
    <n v="309.85176076618706"/>
  </r>
  <r>
    <s v="11/06/2026"/>
    <s v="E"/>
    <s v="[1062] RAMGADH"/>
    <s v="[8401] DURGAWATI"/>
    <x v="49"/>
    <x v="49"/>
    <x v="49"/>
    <s v="B"/>
    <n v="5"/>
    <n v="7"/>
    <n v="8.8000000000000007"/>
    <n v="0.35"/>
    <n v="0.44"/>
    <n v="57.865500000000004"/>
    <n v="289.32750000000004"/>
    <n v="449.73186528497411"/>
    <n v="299.82124352331607"/>
    <n v="5.0632312500000012"/>
    <n v="18.75"/>
    <n v="313.14073125000004"/>
    <n v="62.628146250000007"/>
    <n v="486.74725064766841"/>
    <n v="324.49816709844561"/>
  </r>
  <r>
    <s v="11/06/2026"/>
    <s v="E"/>
    <s v="[1062] RAMGADH"/>
    <s v="[8401] DURGAWATI"/>
    <x v="49"/>
    <x v="49"/>
    <x v="49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05/06/2026"/>
    <s v="M"/>
    <s v="[1062] RAMGADH"/>
    <s v="[8404] CHANDESH"/>
    <x v="50"/>
    <x v="50"/>
    <x v="50"/>
    <s v="B"/>
    <n v="30"/>
    <n v="8.1999999999999993"/>
    <n v="9"/>
    <n v="2.4599999999999995"/>
    <n v="2.7"/>
    <n v="68.469999999999985"/>
    <n v="2054.0999999999995"/>
    <n v="482.18309859154925"/>
    <n v="321.45539906103284"/>
    <n v="35.946749999999994"/>
    <n v="112.5"/>
    <n v="2202.5467499999995"/>
    <n v="73.418224999999978"/>
    <n v="517.02975352112662"/>
    <n v="344.68650234741773"/>
  </r>
  <r>
    <s v="05/06/2026"/>
    <s v="M"/>
    <s v="[1062] RAMGADH"/>
    <s v="[8404] CHANDESH"/>
    <x v="50"/>
    <x v="50"/>
    <x v="50"/>
    <s v="C"/>
    <n v="29"/>
    <n v="4.3"/>
    <n v="8.1999999999999993"/>
    <n v="1.2469999999999999"/>
    <n v="2.3779999999999997"/>
    <n v="40.728139799999994"/>
    <n v="1181.1160541999998"/>
    <n v="417.01167030716726"/>
    <n v="278.00778020477816"/>
    <n v="20.669530948499997"/>
    <n v="108.75"/>
    <n v="1310.5355851484996"/>
    <n v="45.190882246499989"/>
    <n v="462.70527897440269"/>
    <n v="308.47018598293511"/>
  </r>
  <r>
    <s v="05/06/2026"/>
    <s v="E"/>
    <s v="[1062] RAMGADH"/>
    <s v="[8404] CHANDESH"/>
    <x v="50"/>
    <x v="50"/>
    <x v="50"/>
    <s v="B"/>
    <n v="12"/>
    <n v="8.4"/>
    <n v="9"/>
    <n v="1.008"/>
    <n v="1.08"/>
    <n v="70.14"/>
    <n v="841.68000000000006"/>
    <n v="487.08333333333326"/>
    <n v="324.72222222222217"/>
    <n v="14.729400000000002"/>
    <n v="45"/>
    <n v="901.40940000000001"/>
    <n v="75.117450000000005"/>
    <n v="521.64895833333333"/>
    <n v="347.76597222222222"/>
  </r>
  <r>
    <s v="05/06/2026"/>
    <s v="E"/>
    <s v="[1062] RAMGADH"/>
    <s v="[8404] CHANDESH"/>
    <x v="50"/>
    <x v="50"/>
    <x v="50"/>
    <s v="C"/>
    <n v="32"/>
    <n v="3.8"/>
    <n v="8.3000000000000007"/>
    <n v="1.216"/>
    <n v="2.6560000000000001"/>
    <n v="38.921153700000005"/>
    <n v="1245.4769184000002"/>
    <n v="417.01236107142859"/>
    <n v="278.00824071428571"/>
    <n v="21.795846072000003"/>
    <n v="120"/>
    <n v="1387.2727644720003"/>
    <n v="43.352273889750009"/>
    <n v="464.48864881875005"/>
    <n v="309.65909921250005"/>
  </r>
  <r>
    <s v="06/06/2026"/>
    <s v="M"/>
    <s v="[1062] RAMGADH"/>
    <s v="[8404] CHANDESH"/>
    <x v="50"/>
    <x v="50"/>
    <x v="50"/>
    <s v="B"/>
    <n v="26"/>
    <n v="8.1999999999999993"/>
    <n v="9"/>
    <n v="2.1319999999999997"/>
    <n v="2.34"/>
    <n v="68.469999999999985"/>
    <n v="1780.2199999999996"/>
    <n v="482.18309859154925"/>
    <n v="321.45539906103284"/>
    <n v="31.153849999999995"/>
    <n v="97.5"/>
    <n v="1908.8738499999995"/>
    <n v="73.418224999999978"/>
    <n v="517.02975352112662"/>
    <n v="344.68650234741773"/>
  </r>
  <r>
    <s v="06/06/2026"/>
    <s v="M"/>
    <s v="[1062] RAMGADH"/>
    <s v="[8404] CHANDESH"/>
    <x v="50"/>
    <x v="50"/>
    <x v="50"/>
    <s v="C"/>
    <n v="25"/>
    <n v="4.4000000000000004"/>
    <n v="8.4"/>
    <n v="1.1000000000000001"/>
    <n v="2.1"/>
    <n v="41.701167600000005"/>
    <n v="1042.5291900000002"/>
    <n v="417.01167600000002"/>
    <n v="278.00778400000002"/>
    <n v="18.244260825000005"/>
    <n v="93.75"/>
    <n v="1154.5234508250003"/>
    <n v="46.180938033000011"/>
    <n v="461.80938033000007"/>
    <n v="307.87292022000003"/>
  </r>
  <r>
    <s v="06/06/2026"/>
    <s v="E"/>
    <s v="[1062] RAMGADH"/>
    <s v="[8404] CHANDESH"/>
    <x v="50"/>
    <x v="50"/>
    <x v="50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06/06/2026"/>
    <s v="E"/>
    <s v="[1062] RAMGADH"/>
    <s v="[8404] CHANDESH"/>
    <x v="50"/>
    <x v="50"/>
    <x v="50"/>
    <s v="C"/>
    <n v="34"/>
    <n v="3.9"/>
    <n v="8.4"/>
    <n v="1.3259999999999998"/>
    <n v="2.8560000000000003"/>
    <n v="39.616167600000011"/>
    <n v="1346.9496984000004"/>
    <n v="417.01229052631589"/>
    <n v="278.0081936842106"/>
    <n v="23.571619722000008"/>
    <n v="127.5"/>
    <n v="1498.0213181220004"/>
    <n v="44.05945053300001"/>
    <n v="463.78368982105275"/>
    <n v="309.18912654736852"/>
  </r>
  <r>
    <s v="07/06/2026"/>
    <s v="M"/>
    <s v="[1062] RAMGADH"/>
    <s v="[8404] CHANDESH"/>
    <x v="50"/>
    <x v="50"/>
    <x v="50"/>
    <s v="B"/>
    <n v="31"/>
    <n v="7.9"/>
    <n v="9"/>
    <n v="2.4489999999999998"/>
    <n v="2.79"/>
    <n v="65.965000000000003"/>
    <n v="2044.9150000000002"/>
    <n v="474.56834532374097"/>
    <n v="316.37889688249396"/>
    <n v="35.786012500000005"/>
    <n v="116.25"/>
    <n v="2196.9510125000002"/>
    <n v="70.869387500000002"/>
    <n v="509.85170863309349"/>
    <n v="339.901139088729"/>
  </r>
  <r>
    <s v="07/06/2026"/>
    <s v="M"/>
    <s v="[1062] RAMGADH"/>
    <s v="[8404] CHANDESH"/>
    <x v="50"/>
    <x v="50"/>
    <x v="50"/>
    <s v="C"/>
    <n v="27"/>
    <n v="4.2"/>
    <n v="8.1999999999999993"/>
    <n v="1.1340000000000001"/>
    <n v="2.214"/>
    <n v="40.311139799999999"/>
    <n v="1088.4007746"/>
    <n v="417.01179103448277"/>
    <n v="278.00786068965516"/>
    <n v="19.047013555500001"/>
    <n v="101.25"/>
    <n v="1208.6977881554999"/>
    <n v="44.766584746499994"/>
    <n v="463.102600825862"/>
    <n v="308.73506721724135"/>
  </r>
  <r>
    <s v="07/06/2026"/>
    <s v="E"/>
    <s v="[1062] RAMGADH"/>
    <s v="[8404] CHANDESH"/>
    <x v="50"/>
    <x v="50"/>
    <x v="50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07/06/2026"/>
    <s v="E"/>
    <s v="[1062] RAMGADH"/>
    <s v="[8404] CHANDESH"/>
    <x v="50"/>
    <x v="50"/>
    <x v="50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08/06/2026"/>
    <s v="M"/>
    <s v="[1062] RAMGADH"/>
    <s v="[8404] CHANDESH"/>
    <x v="50"/>
    <x v="50"/>
    <x v="50"/>
    <s v="B"/>
    <n v="25"/>
    <n v="8.1"/>
    <n v="9"/>
    <n v="2.0249999999999999"/>
    <n v="2.25"/>
    <n v="67.635000000000005"/>
    <n v="1690.8750000000002"/>
    <n v="479.68085106382978"/>
    <n v="319.78723404255317"/>
    <n v="29.590312500000007"/>
    <n v="93.75"/>
    <n v="1814.2153125000002"/>
    <n v="72.568612500000015"/>
    <n v="514.67101063829796"/>
    <n v="343.11400709219862"/>
  </r>
  <r>
    <s v="08/06/2026"/>
    <s v="M"/>
    <s v="[1062] RAMGADH"/>
    <s v="[8404] CHANDESH"/>
    <x v="50"/>
    <x v="50"/>
    <x v="50"/>
    <s v="C"/>
    <n v="30"/>
    <n v="4.5"/>
    <n v="8.4"/>
    <n v="1.35"/>
    <n v="2.52"/>
    <n v="42.118167600000007"/>
    <n v="1263.5450280000002"/>
    <n v="417.01156039603967"/>
    <n v="278.00770693069313"/>
    <n v="22.112037990000005"/>
    <n v="112.5"/>
    <n v="1398.1570659900003"/>
    <n v="46.605235533000013"/>
    <n v="461.43797557425751"/>
    <n v="307.62531704950499"/>
  </r>
  <r>
    <s v="08/06/2026"/>
    <s v="E"/>
    <s v="[1062] RAMGADH"/>
    <s v="[8404] CHANDESH"/>
    <x v="50"/>
    <x v="50"/>
    <x v="50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08/06/2026"/>
    <s v="E"/>
    <s v="[1062] RAMGADH"/>
    <s v="[8404] CHANDESH"/>
    <x v="50"/>
    <x v="50"/>
    <x v="50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09/06/2026"/>
    <s v="M"/>
    <s v="[1062] RAMGADH"/>
    <s v="[8404] CHANDESH"/>
    <x v="50"/>
    <x v="50"/>
    <x v="50"/>
    <s v="B"/>
    <n v="31"/>
    <n v="8.1999999999999993"/>
    <n v="9"/>
    <n v="2.5419999999999998"/>
    <n v="2.79"/>
    <n v="68.469999999999985"/>
    <n v="2122.5699999999997"/>
    <n v="482.18309859154925"/>
    <n v="321.45539906103284"/>
    <n v="37.144974999999995"/>
    <n v="116.25"/>
    <n v="2275.9649749999999"/>
    <n v="73.418224999999993"/>
    <n v="517.02975352112674"/>
    <n v="344.68650234741784"/>
  </r>
  <r>
    <s v="09/06/2026"/>
    <s v="M"/>
    <s v="[1062] RAMGADH"/>
    <s v="[8404] CHANDESH"/>
    <x v="50"/>
    <x v="50"/>
    <x v="50"/>
    <s v="C"/>
    <n v="24"/>
    <n v="4.2"/>
    <n v="8.4"/>
    <n v="1.008"/>
    <n v="2.016"/>
    <n v="40.867167600000002"/>
    <n v="980.81202240000005"/>
    <n v="417.01191428571428"/>
    <n v="278.00794285714284"/>
    <n v="17.164210392000001"/>
    <n v="90"/>
    <n v="1087.976232792"/>
    <n v="45.332343033000001"/>
    <n v="462.57492890816326"/>
    <n v="308.38328593877549"/>
  </r>
  <r>
    <s v="09/06/2026"/>
    <s v="E"/>
    <s v="[1062] RAMGADH"/>
    <s v="[8404] CHANDESH"/>
    <x v="50"/>
    <x v="50"/>
    <x v="50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09/06/2026"/>
    <s v="E"/>
    <s v="[1062] RAMGADH"/>
    <s v="[8404] CHANDESH"/>
    <x v="50"/>
    <x v="50"/>
    <x v="50"/>
    <s v="C"/>
    <n v="29"/>
    <n v="4.0999999999999996"/>
    <n v="8.4"/>
    <n v="1.1889999999999998"/>
    <n v="2.4360000000000004"/>
    <n v="40.4501676"/>
    <n v="1173.0548604000001"/>
    <n v="417.01203711340207"/>
    <n v="278.00802474226805"/>
    <n v="20.528460057000004"/>
    <n v="108.75"/>
    <n v="1302.3333204570001"/>
    <n v="44.908045533000006"/>
    <n v="462.96954157731966"/>
    <n v="308.64636105154642"/>
  </r>
  <r>
    <s v="10/06/2026"/>
    <s v="M"/>
    <s v="[1062] RAMGADH"/>
    <s v="[8404] CHANDESH"/>
    <x v="50"/>
    <x v="50"/>
    <x v="50"/>
    <s v="B"/>
    <n v="29"/>
    <n v="8.4"/>
    <n v="9"/>
    <n v="2.4360000000000004"/>
    <n v="2.61"/>
    <n v="70.14"/>
    <n v="2034.06"/>
    <n v="487.08333333333326"/>
    <n v="324.72222222222217"/>
    <n v="35.596050000000005"/>
    <n v="108.75"/>
    <n v="2178.4060500000001"/>
    <n v="75.117450000000005"/>
    <n v="521.64895833333333"/>
    <n v="347.76597222222222"/>
  </r>
  <r>
    <s v="10/06/2026"/>
    <s v="M"/>
    <s v="[1062] RAMGADH"/>
    <s v="[8404] CHANDESH"/>
    <x v="50"/>
    <x v="50"/>
    <x v="50"/>
    <s v="C"/>
    <n v="31"/>
    <n v="4.4000000000000004"/>
    <n v="8.4"/>
    <n v="1.3640000000000001"/>
    <n v="2.6040000000000005"/>
    <n v="41.701167600000005"/>
    <n v="1292.7361956000002"/>
    <n v="417.01167600000002"/>
    <n v="278.00778400000002"/>
    <n v="22.622883423000005"/>
    <n v="116.25"/>
    <n v="1431.6090790230003"/>
    <n v="46.180938033000011"/>
    <n v="461.80938033000007"/>
    <n v="307.87292022000003"/>
  </r>
  <r>
    <s v="10/06/2026"/>
    <s v="E"/>
    <s v="[1062] RAMGADH"/>
    <s v="[8404] CHANDESH"/>
    <x v="50"/>
    <x v="50"/>
    <x v="50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10/06/2026"/>
    <s v="E"/>
    <s v="[1062] RAMGADH"/>
    <s v="[8404] CHANDESH"/>
    <x v="50"/>
    <x v="50"/>
    <x v="50"/>
    <s v="C"/>
    <n v="30"/>
    <n v="4.0999999999999996"/>
    <n v="8.4"/>
    <n v="1.2299999999999998"/>
    <n v="2.52"/>
    <n v="40.4501676"/>
    <n v="1213.505028"/>
    <n v="417.01203711340207"/>
    <n v="278.00802474226805"/>
    <n v="21.236337990000003"/>
    <n v="112.5"/>
    <n v="1347.2413659900001"/>
    <n v="44.908045532999999"/>
    <n v="462.96954157731955"/>
    <n v="308.64636105154636"/>
  </r>
  <r>
    <s v="11/06/2026"/>
    <s v="M"/>
    <s v="[1062] RAMGADH"/>
    <s v="[8404] CHANDESH"/>
    <x v="50"/>
    <x v="50"/>
    <x v="50"/>
    <s v="B"/>
    <n v="25"/>
    <n v="8.5"/>
    <n v="9"/>
    <n v="2.125"/>
    <n v="2.25"/>
    <n v="70.975000000000009"/>
    <n v="1774.3750000000002"/>
    <n v="489.48275862068965"/>
    <n v="326.32183908045977"/>
    <n v="31.051562500000006"/>
    <n v="93.75"/>
    <n v="1899.1765625000003"/>
    <n v="75.967062500000011"/>
    <n v="523.91077586206893"/>
    <n v="349.27385057471264"/>
  </r>
  <r>
    <s v="11/06/2026"/>
    <s v="M"/>
    <s v="[1062] RAMGADH"/>
    <s v="[8404] CHANDESH"/>
    <x v="50"/>
    <x v="50"/>
    <x v="50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11/06/2026"/>
    <s v="E"/>
    <s v="[1062] RAMGADH"/>
    <s v="[8404] CHANDESH"/>
    <x v="50"/>
    <x v="50"/>
    <x v="50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1/06/2026"/>
    <s v="E"/>
    <s v="[1062] RAMGADH"/>
    <s v="[8404] CHANDESH"/>
    <x v="50"/>
    <x v="50"/>
    <x v="50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05/06/2026"/>
    <s v="M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5/06/2026"/>
    <s v="E"/>
    <s v="[1062] RAMGADH"/>
    <s v="[8404] CHANDESH"/>
    <x v="51"/>
    <x v="51"/>
    <x v="51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6/06/2026"/>
    <s v="M"/>
    <s v="[1062] RAMGADH"/>
    <s v="[8404] CHANDESH"/>
    <x v="51"/>
    <x v="51"/>
    <x v="51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6/06/2026"/>
    <s v="E"/>
    <s v="[1062] RAMGADH"/>
    <s v="[8404] CHANDESH"/>
    <x v="51"/>
    <x v="51"/>
    <x v="51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7/06/2026"/>
    <s v="M"/>
    <s v="[1062] RAMGADH"/>
    <s v="[8404] CHANDESH"/>
    <x v="51"/>
    <x v="51"/>
    <x v="51"/>
    <s v="B"/>
    <n v="71"/>
    <n v="7"/>
    <n v="9"/>
    <n v="4.97"/>
    <n v="6.39"/>
    <n v="58.45"/>
    <n v="4149.95"/>
    <n v="449.61538461538464"/>
    <n v="299.74358974358978"/>
    <n v="72.624125000000006"/>
    <n v="266.25"/>
    <n v="4488.8241250000001"/>
    <n v="63.222875000000002"/>
    <n v="486.32980769230767"/>
    <n v="324.21987179487178"/>
  </r>
  <r>
    <s v="07/06/2026"/>
    <s v="E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8/06/2026"/>
    <s v="M"/>
    <s v="[1062] RAMGADH"/>
    <s v="[8404] CHANDESH"/>
    <x v="51"/>
    <x v="51"/>
    <x v="51"/>
    <s v="B"/>
    <n v="73"/>
    <n v="6.8"/>
    <n v="9"/>
    <n v="4.9639999999999995"/>
    <n v="6.57"/>
    <n v="56.78"/>
    <n v="4144.9400000000005"/>
    <n v="443.59375"/>
    <n v="295.72916666666669"/>
    <n v="72.536450000000016"/>
    <n v="273.75"/>
    <n v="4491.2264500000001"/>
    <n v="61.523650000000004"/>
    <n v="480.65351562500001"/>
    <n v="320.43567708333336"/>
  </r>
  <r>
    <s v="08/06/2026"/>
    <s v="E"/>
    <s v="[1062] RAMGADH"/>
    <s v="[8404] CHANDESH"/>
    <x v="51"/>
    <x v="51"/>
    <x v="51"/>
    <s v="B"/>
    <n v="69"/>
    <n v="6.9"/>
    <n v="9"/>
    <n v="4.7610000000000001"/>
    <n v="6.21"/>
    <n v="57.615000000000002"/>
    <n v="3975.4349999999999"/>
    <n v="446.62790697674421"/>
    <n v="297.75193798449612"/>
    <n v="69.570112500000008"/>
    <n v="258.75"/>
    <n v="4303.7551125"/>
    <n v="62.373262500000003"/>
    <n v="483.51366279069771"/>
    <n v="322.34244186046516"/>
  </r>
  <r>
    <s v="09/06/2026"/>
    <s v="M"/>
    <s v="[1062] RAMGADH"/>
    <s v="[8404] CHANDESH"/>
    <x v="51"/>
    <x v="51"/>
    <x v="51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09/06/2026"/>
    <s v="E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0/06/2026"/>
    <s v="M"/>
    <s v="[1062] RAMGADH"/>
    <s v="[8404] CHANDESH"/>
    <x v="51"/>
    <x v="51"/>
    <x v="51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0/06/2026"/>
    <s v="E"/>
    <s v="[1062] RAMGADH"/>
    <s v="[8404] CHANDESH"/>
    <x v="51"/>
    <x v="51"/>
    <x v="51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11/06/2026"/>
    <s v="M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11/06/2026"/>
    <s v="E"/>
    <s v="[1062] RAMGADH"/>
    <s v="[8404] CHANDESH"/>
    <x v="51"/>
    <x v="51"/>
    <x v="51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5/06/2026"/>
    <s v="M"/>
    <s v="[1062] RAMGADH"/>
    <s v="[8402] RAMPUR"/>
    <x v="52"/>
    <x v="52"/>
    <x v="52"/>
    <s v="B"/>
    <n v="55"/>
    <n v="7"/>
    <n v="8.8000000000000007"/>
    <n v="3.85"/>
    <n v="4.8400000000000007"/>
    <n v="57.865500000000004"/>
    <n v="3182.6025000000004"/>
    <n v="449.73186528497411"/>
    <n v="299.82124352331607"/>
    <n v="55.695543750000013"/>
    <n v="206.25"/>
    <n v="3444.5480437500005"/>
    <n v="62.628146250000007"/>
    <n v="486.74725064766841"/>
    <n v="324.49816709844561"/>
  </r>
  <r>
    <s v="05/06/2026"/>
    <s v="M"/>
    <s v="[1062] RAMGADH"/>
    <s v="[8402] RAMPUR"/>
    <x v="52"/>
    <x v="52"/>
    <x v="5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6/2026"/>
    <s v="E"/>
    <s v="[1062] RAMGADH"/>
    <s v="[8402] RAMPUR"/>
    <x v="52"/>
    <x v="52"/>
    <x v="52"/>
    <s v="C"/>
    <n v="97"/>
    <n v="4.7"/>
    <n v="8"/>
    <n v="4.5590000000000002"/>
    <n v="7.76"/>
    <n v="41.840112000000005"/>
    <n v="4058.4908640000003"/>
    <n v="417.01108305647847"/>
    <n v="278.007388704319"/>
    <n v="71.023590120000009"/>
    <n v="363.75"/>
    <n v="4493.2644541200007"/>
    <n v="46.32231396000001"/>
    <n v="461.68419229235889"/>
    <n v="307.78946152823926"/>
  </r>
  <r>
    <s v="06/06/2026"/>
    <s v="M"/>
    <s v="[1062] RAMGADH"/>
    <s v="[8402] RAMPUR"/>
    <x v="52"/>
    <x v="52"/>
    <x v="52"/>
    <s v="B"/>
    <n v="98"/>
    <n v="6"/>
    <n v="8.4"/>
    <n v="5.88"/>
    <n v="8.2320000000000011"/>
    <n v="48.597000000000001"/>
    <n v="4762.5060000000003"/>
    <n v="418.93965517241384"/>
    <n v="279.29310344827587"/>
    <n v="83.343855000000019"/>
    <n v="367.5"/>
    <n v="5213.3498550000004"/>
    <n v="53.197447500000003"/>
    <n v="458.59868534482763"/>
    <n v="305.73245689655175"/>
  </r>
  <r>
    <s v="06/06/2026"/>
    <s v="M"/>
    <s v="[1062] RAMGADH"/>
    <s v="[8402] RAMPUR"/>
    <x v="52"/>
    <x v="52"/>
    <x v="5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6/2026"/>
    <s v="E"/>
    <s v="[1062] RAMGADH"/>
    <s v="[8402] RAMPUR"/>
    <x v="52"/>
    <x v="52"/>
    <x v="52"/>
    <s v="C"/>
    <n v="100"/>
    <n v="4.2"/>
    <n v="8.1"/>
    <n v="4.2"/>
    <n v="8.1"/>
    <n v="40.033125900000002"/>
    <n v="4003.31259"/>
    <n v="417.01172812499999"/>
    <n v="278.00781875000001"/>
    <n v="70.057970325000014"/>
    <n v="375"/>
    <n v="4448.370560325"/>
    <n v="44.483705603250002"/>
    <n v="463.37193336718752"/>
    <n v="308.9146222447917"/>
  </r>
  <r>
    <s v="07/06/2026"/>
    <s v="M"/>
    <s v="[1062] RAMGADH"/>
    <s v="[8402] RAMPUR"/>
    <x v="52"/>
    <x v="52"/>
    <x v="52"/>
    <s v="B"/>
    <n v="99"/>
    <n v="5.8"/>
    <n v="8.4"/>
    <n v="5.7419999999999991"/>
    <n v="8.3160000000000007"/>
    <n v="46.9771"/>
    <n v="4650.7329"/>
    <n v="412.07982456140354"/>
    <n v="274.71988304093571"/>
    <n v="81.387825750000005"/>
    <n v="371.25"/>
    <n v="5103.37072575"/>
    <n v="51.549199250000001"/>
    <n v="452.18595833333336"/>
    <n v="301.45730555555559"/>
  </r>
  <r>
    <s v="07/06/2026"/>
    <s v="M"/>
    <s v="[1062] RAMGADH"/>
    <s v="[8402] RAMPUR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7/06/2026"/>
    <s v="E"/>
    <s v="[1062] RAMGADH"/>
    <s v="[8402] RAMPUR"/>
    <x v="52"/>
    <x v="52"/>
    <x v="52"/>
    <s v="C"/>
    <n v="105"/>
    <n v="3.7"/>
    <n v="8"/>
    <n v="3.8849999999999998"/>
    <n v="8.4"/>
    <n v="37.670112000000003"/>
    <n v="3955.3617600000002"/>
    <n v="417.0123099630996"/>
    <n v="278.0082066420664"/>
    <n v="69.218830800000006"/>
    <n v="393.75"/>
    <n v="4418.3305908000002"/>
    <n v="42.079338960000001"/>
    <n v="465.82294051660512"/>
    <n v="310.5486270110701"/>
  </r>
  <r>
    <s v="08/06/2026"/>
    <s v="M"/>
    <s v="[1062] RAMGADH"/>
    <s v="[8402] RAMPUR"/>
    <x v="52"/>
    <x v="52"/>
    <x v="52"/>
    <s v="B"/>
    <n v="56"/>
    <n v="6.1"/>
    <n v="8.6"/>
    <n v="3.4159999999999995"/>
    <n v="4.8159999999999998"/>
    <n v="49.9163"/>
    <n v="2795.3128000000002"/>
    <n v="421.82788732394374"/>
    <n v="281.21859154929581"/>
    <n v="48.917974000000008"/>
    <n v="210"/>
    <n v="3054.2307740000001"/>
    <n v="54.539835250000003"/>
    <n v="460.90001619718316"/>
    <n v="307.26667746478876"/>
  </r>
  <r>
    <s v="08/06/2026"/>
    <s v="M"/>
    <s v="[1062] RAMGADH"/>
    <s v="[8402] RAMPUR"/>
    <x v="52"/>
    <x v="52"/>
    <x v="5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8/06/2026"/>
    <s v="E"/>
    <s v="[1062] RAMGADH"/>
    <s v="[8402] RAMPUR"/>
    <x v="52"/>
    <x v="52"/>
    <x v="52"/>
    <s v="C"/>
    <n v="100"/>
    <n v="3.9"/>
    <n v="8.3000000000000007"/>
    <n v="3.9"/>
    <n v="8.3000000000000007"/>
    <n v="39.338153700000007"/>
    <n v="3933.8153700000007"/>
    <n v="417.01223003533573"/>
    <n v="278.00815335689049"/>
    <n v="68.841768975000022"/>
    <n v="375"/>
    <n v="4377.6571389750006"/>
    <n v="43.776571389750004"/>
    <n v="464.06259423763254"/>
    <n v="309.37506282508838"/>
  </r>
  <r>
    <s v="09/06/2026"/>
    <s v="M"/>
    <s v="[1062] RAMGADH"/>
    <s v="[8402] RAMPUR"/>
    <x v="52"/>
    <x v="52"/>
    <x v="52"/>
    <s v="B"/>
    <n v="19"/>
    <n v="6.8"/>
    <n v="8.8000000000000007"/>
    <n v="1.2919999999999998"/>
    <n v="1.6720000000000002"/>
    <n v="56.212200000000003"/>
    <n v="1068.0318"/>
    <n v="443.78052631578947"/>
    <n v="295.8536842105263"/>
    <n v="18.690556500000003"/>
    <n v="71.25"/>
    <n v="1157.9723564999999"/>
    <n v="60.945913499999996"/>
    <n v="481.15194868421048"/>
    <n v="320.76796578947364"/>
  </r>
  <r>
    <s v="09/06/2026"/>
    <s v="M"/>
    <s v="[1062] RAMGADH"/>
    <s v="[8402] RAMPUR"/>
    <x v="52"/>
    <x v="52"/>
    <x v="5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9/06/2026"/>
    <s v="E"/>
    <s v="[1062] RAMGADH"/>
    <s v="[8402] RAMPUR"/>
    <x v="52"/>
    <x v="52"/>
    <x v="52"/>
    <s v="C"/>
    <n v="103"/>
    <n v="4.3"/>
    <n v="8.1"/>
    <n v="4.4289999999999994"/>
    <n v="8.343"/>
    <n v="40.450125900000003"/>
    <n v="4166.3629676999999"/>
    <n v="417.01160721649489"/>
    <n v="278.00773814432995"/>
    <n v="72.911351934750002"/>
    <n v="386.25"/>
    <n v="4625.5243196347501"/>
    <n v="44.908003103250003"/>
    <n v="462.96910415721652"/>
    <n v="308.64606943814437"/>
  </r>
  <r>
    <s v="10/06/2026"/>
    <s v="M"/>
    <s v="[1062] RAMGADH"/>
    <s v="[8402] RAMPUR"/>
    <x v="52"/>
    <x v="52"/>
    <x v="52"/>
    <s v="B"/>
    <n v="100"/>
    <n v="6"/>
    <n v="8.4"/>
    <n v="6"/>
    <n v="8.4"/>
    <n v="48.597000000000001"/>
    <n v="4859.7"/>
    <n v="418.93965517241384"/>
    <n v="279.29310344827587"/>
    <n v="85.044750000000008"/>
    <n v="375"/>
    <n v="5319.7447499999998"/>
    <n v="53.197447499999996"/>
    <n v="458.59868534482757"/>
    <n v="305.7324568965517"/>
  </r>
  <r>
    <s v="10/06/2026"/>
    <s v="M"/>
    <s v="[1062] RAMGADH"/>
    <s v="[8402] RAMPUR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0/06/2026"/>
    <s v="E"/>
    <s v="[1062] RAMGADH"/>
    <s v="[8402] RAMPUR"/>
    <x v="52"/>
    <x v="52"/>
    <x v="52"/>
    <s v="B"/>
    <n v="79"/>
    <n v="6"/>
    <n v="8.8000000000000007"/>
    <n v="4.74"/>
    <n v="6.9520000000000008"/>
    <n v="49.599000000000004"/>
    <n v="3918.3210000000004"/>
    <n v="417.96910112359552"/>
    <n v="278.64606741573033"/>
    <n v="68.570617500000012"/>
    <n v="296.25"/>
    <n v="4283.1416175000004"/>
    <n v="54.216982500000007"/>
    <n v="456.8846839887641"/>
    <n v="304.58978932584273"/>
  </r>
  <r>
    <s v="10/06/2026"/>
    <s v="E"/>
    <s v="[1062] RAMGADH"/>
    <s v="[8402] RAMPUR"/>
    <x v="52"/>
    <x v="52"/>
    <x v="5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1/06/2026"/>
    <s v="M"/>
    <s v="[1062] RAMGADH"/>
    <s v="[8402] RAMPUR"/>
    <x v="52"/>
    <x v="52"/>
    <x v="52"/>
    <s v="B"/>
    <n v="103"/>
    <n v="5.8"/>
    <n v="8.6"/>
    <n v="5.9740000000000002"/>
    <n v="8.8579999999999988"/>
    <n v="47.461399999999998"/>
    <n v="4888.5241999999998"/>
    <n v="411.51502890173413"/>
    <n v="274.34335260115608"/>
    <n v="85.549173500000009"/>
    <n v="386.25"/>
    <n v="5360.3233734999994"/>
    <n v="52.041974499999995"/>
    <n v="451.23099277456652"/>
    <n v="300.82066184971103"/>
  </r>
  <r>
    <s v="11/06/2026"/>
    <s v="M"/>
    <s v="[1062] RAMGADH"/>
    <s v="[8402] RAMPUR"/>
    <x v="52"/>
    <x v="52"/>
    <x v="52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1/06/2026"/>
    <s v="E"/>
    <s v="[1062] RAMGADH"/>
    <s v="[8402] RAMPUR"/>
    <x v="52"/>
    <x v="52"/>
    <x v="52"/>
    <s v="B"/>
    <n v="64"/>
    <n v="5.6"/>
    <n v="8.4"/>
    <n v="3.5839999999999996"/>
    <n v="5.3760000000000003"/>
    <n v="45.357199999999999"/>
    <n v="2902.8607999999999"/>
    <n v="404.97500000000002"/>
    <n v="269.98333333333335"/>
    <n v="50.800064000000006"/>
    <n v="240"/>
    <n v="3193.6608639999999"/>
    <n v="49.900950999999999"/>
    <n v="445.54420535714291"/>
    <n v="297.02947023809526"/>
  </r>
  <r>
    <s v="11/06/2026"/>
    <s v="E"/>
    <s v="[1062] RAMGADH"/>
    <s v="[8402] RAMPUR"/>
    <x v="52"/>
    <x v="52"/>
    <x v="5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5/06/2026"/>
    <s v="M"/>
    <s v="[1062] RAMGADH"/>
    <s v="[8401] DURGAWATI"/>
    <x v="53"/>
    <x v="53"/>
    <x v="53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05/06/2026"/>
    <s v="E"/>
    <s v="[1062] RAMGADH"/>
    <s v="[8401] DURGAWATI"/>
    <x v="53"/>
    <x v="53"/>
    <x v="53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06/06/2026"/>
    <s v="M"/>
    <s v="[1062] RAMGADH"/>
    <s v="[8401] DURGAWATI"/>
    <x v="53"/>
    <x v="53"/>
    <x v="53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06/06/2026"/>
    <s v="E"/>
    <s v="[1062] RAMGADH"/>
    <s v="[8401] DURGAWATI"/>
    <x v="53"/>
    <x v="53"/>
    <x v="53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07/06/2026"/>
    <s v="M"/>
    <s v="[1062] RAMGADH"/>
    <s v="[8401] DURGAWATI"/>
    <x v="53"/>
    <x v="53"/>
    <x v="53"/>
    <s v="B"/>
    <n v="10"/>
    <n v="7"/>
    <n v="8.4"/>
    <n v="0.7"/>
    <n v="0.84"/>
    <n v="56.6965"/>
    <n v="566.96500000000003"/>
    <n v="449.97222222222223"/>
    <n v="299.98148148148147"/>
    <n v="9.9218875000000022"/>
    <n v="37.5"/>
    <n v="614.38688750000006"/>
    <n v="61.438688750000004"/>
    <n v="487.60864087301593"/>
    <n v="325.07242724867729"/>
  </r>
  <r>
    <s v="07/06/2026"/>
    <s v="E"/>
    <s v="[1062] RAMGADH"/>
    <s v="[8401] DURGAWATI"/>
    <x v="53"/>
    <x v="53"/>
    <x v="53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8/06/2026"/>
    <s v="M"/>
    <s v="[1062] RAMGADH"/>
    <s v="[8401] DURGAWATI"/>
    <x v="53"/>
    <x v="53"/>
    <x v="53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8/06/2026"/>
    <s v="E"/>
    <s v="[1062] RAMGADH"/>
    <s v="[8401] DURGAWATI"/>
    <x v="53"/>
    <x v="53"/>
    <x v="53"/>
    <s v="B"/>
    <n v="7"/>
    <n v="6.4"/>
    <n v="8.8000000000000007"/>
    <n v="0.44800000000000006"/>
    <n v="0.6160000000000001"/>
    <n v="52.9056"/>
    <n v="370.33920000000001"/>
    <n v="431.29565217391303"/>
    <n v="287.53043478260867"/>
    <n v="6.4809360000000007"/>
    <n v="26.25"/>
    <n v="403.07013599999999"/>
    <n v="57.581448000000002"/>
    <n v="469.41397826086956"/>
    <n v="312.94265217391302"/>
  </r>
  <r>
    <s v="09/06/2026"/>
    <s v="M"/>
    <s v="[1062] RAMGADH"/>
    <s v="[8401] DURGAWATI"/>
    <x v="53"/>
    <x v="53"/>
    <x v="53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09/06/2026"/>
    <s v="E"/>
    <s v="[1062] RAMGADH"/>
    <s v="[8401] DURGAWATI"/>
    <x v="53"/>
    <x v="53"/>
    <x v="53"/>
    <s v="B"/>
    <n v="8"/>
    <n v="6.7"/>
    <n v="8.8000000000000007"/>
    <n v="0.53600000000000003"/>
    <n v="0.70400000000000007"/>
    <n v="55.385550000000002"/>
    <n v="443.08440000000002"/>
    <n v="440.73381962864721"/>
    <n v="293.82254641909816"/>
    <n v="7.7539770000000008"/>
    <n v="30"/>
    <n v="480.83837700000004"/>
    <n v="60.104797125000005"/>
    <n v="478.28751027851456"/>
    <n v="318.85834018567635"/>
  </r>
  <r>
    <s v="10/06/2026"/>
    <s v="M"/>
    <s v="[1062] RAMGADH"/>
    <s v="[8401] DURGAWATI"/>
    <x v="53"/>
    <x v="53"/>
    <x v="53"/>
    <s v="B"/>
    <n v="4"/>
    <n v="7.2"/>
    <n v="8.8000000000000007"/>
    <n v="0.28800000000000003"/>
    <n v="0.35200000000000004"/>
    <n v="59.518800000000006"/>
    <n v="238.07520000000002"/>
    <n v="455.50102040816324"/>
    <n v="303.66734693877549"/>
    <n v="4.166316000000001"/>
    <n v="15"/>
    <n v="257.24151600000005"/>
    <n v="64.310379000000012"/>
    <n v="492.17126785714288"/>
    <n v="328.11417857142857"/>
  </r>
  <r>
    <s v="10/06/2026"/>
    <s v="E"/>
    <s v="[1062] RAMGADH"/>
    <s v="[8401] DURGAWATI"/>
    <x v="53"/>
    <x v="53"/>
    <x v="53"/>
    <s v="B"/>
    <n v="3"/>
    <n v="8.1999999999999993"/>
    <n v="9"/>
    <n v="0.24599999999999997"/>
    <n v="0.27"/>
    <n v="68.469999999999985"/>
    <n v="205.40999999999997"/>
    <n v="482.18309859154925"/>
    <n v="321.45539906103284"/>
    <n v="3.5946749999999996"/>
    <n v="11.25"/>
    <n v="220.25467499999996"/>
    <n v="73.418224999999993"/>
    <n v="517.02975352112674"/>
    <n v="344.68650234741784"/>
  </r>
  <r>
    <s v="11/06/2026"/>
    <s v="M"/>
    <s v="[1062] RAMGADH"/>
    <s v="[8401] DURGAWATI"/>
    <x v="53"/>
    <x v="53"/>
    <x v="53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s v="11/06/2026"/>
    <s v="E"/>
    <s v="[1062] RAMGADH"/>
    <s v="[8401] DURGAWATI"/>
    <x v="53"/>
    <x v="53"/>
    <x v="53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05/06/2026"/>
    <s v="M"/>
    <s v="[1062] RAMGADH"/>
    <s v="[8402] RAMPUR"/>
    <x v="54"/>
    <x v="54"/>
    <x v="54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5/06/2026"/>
    <s v="E"/>
    <s v="[1062] RAMGADH"/>
    <s v="[8402] RAMPUR"/>
    <x v="54"/>
    <x v="54"/>
    <x v="54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06/06/2026"/>
    <s v="M"/>
    <s v="[1062] RAMGADH"/>
    <s v="[8402] RAMPUR"/>
    <x v="54"/>
    <x v="54"/>
    <x v="54"/>
    <s v="C"/>
    <n v="5"/>
    <n v="5"/>
    <n v="8.5"/>
    <n v="0.25"/>
    <n v="0.42499999999999999"/>
    <n v="44.481181500000005"/>
    <n v="222.40590750000001"/>
    <n v="417.01107656250002"/>
    <n v="278.00738437500002"/>
    <n v="3.8921033812500005"/>
    <n v="18.75"/>
    <n v="245.04801088125001"/>
    <n v="49.009602176249999"/>
    <n v="459.46502040234373"/>
    <n v="306.3100136015625"/>
  </r>
  <r>
    <s v="06/06/2026"/>
    <s v="E"/>
    <s v="[1062] RAMGADH"/>
    <s v="[8402] RAMPUR"/>
    <x v="54"/>
    <x v="54"/>
    <x v="54"/>
    <s v="C"/>
    <n v="16"/>
    <n v="4.5"/>
    <n v="8.1999999999999993"/>
    <n v="0.72"/>
    <n v="1.3119999999999998"/>
    <n v="41.562139799999997"/>
    <n v="664.99423679999995"/>
    <n v="417.01143612040136"/>
    <n v="278.00762408026759"/>
    <n v="11.637399144"/>
    <n v="60"/>
    <n v="736.63163594399998"/>
    <n v="46.039477246499999"/>
    <n v="461.93455431270905"/>
    <n v="307.95636954180605"/>
  </r>
  <r>
    <s v="07/06/2026"/>
    <s v="M"/>
    <s v="[1062] RAMGADH"/>
    <s v="[8402] RAMPUR"/>
    <x v="54"/>
    <x v="54"/>
    <x v="54"/>
    <s v="B"/>
    <n v="3"/>
    <n v="6.8"/>
    <n v="8.8000000000000007"/>
    <n v="0.20399999999999999"/>
    <n v="0.26400000000000001"/>
    <n v="56.212200000000003"/>
    <n v="168.63660000000002"/>
    <n v="443.78052631578947"/>
    <n v="295.8536842105263"/>
    <n v="2.9511405000000006"/>
    <n v="11.25"/>
    <n v="182.83774050000002"/>
    <n v="60.94591350000001"/>
    <n v="481.15194868421059"/>
    <n v="320.76796578947375"/>
  </r>
  <r>
    <s v="07/06/2026"/>
    <s v="E"/>
    <s v="[1062] RAMGADH"/>
    <s v="[8402] RAMPUR"/>
    <x v="54"/>
    <x v="54"/>
    <x v="54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08/06/2026"/>
    <s v="M"/>
    <s v="[1062] RAMGADH"/>
    <s v="[8402] RAMPUR"/>
    <x v="54"/>
    <x v="54"/>
    <x v="54"/>
    <s v="B"/>
    <n v="2"/>
    <n v="5.8"/>
    <n v="8.4"/>
    <n v="0.11599999999999999"/>
    <n v="0.16800000000000001"/>
    <n v="46.9771"/>
    <n v="93.9542"/>
    <n v="412.07982456140354"/>
    <n v="274.71988304093571"/>
    <n v="1.6441985000000001"/>
    <n v="7.5"/>
    <n v="103.0983985"/>
    <n v="51.549199250000001"/>
    <n v="452.18595833333336"/>
    <n v="301.45730555555559"/>
  </r>
  <r>
    <s v="08/06/2026"/>
    <s v="E"/>
    <s v="[1062] RAMGADH"/>
    <s v="[8402] RAMPUR"/>
    <x v="54"/>
    <x v="54"/>
    <x v="54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09/06/2026"/>
    <s v="M"/>
    <s v="[1062] RAMGADH"/>
    <s v="[8402] RAMPUR"/>
    <x v="54"/>
    <x v="54"/>
    <x v="54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9/06/2026"/>
    <s v="E"/>
    <s v="[1062] RAMGADH"/>
    <s v="[8402] RAMPUR"/>
    <x v="54"/>
    <x v="54"/>
    <x v="54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10/06/2026"/>
    <s v="M"/>
    <s v="[1062] RAMGADH"/>
    <s v="[8402] RAMPUR"/>
    <x v="54"/>
    <x v="54"/>
    <x v="54"/>
    <s v="C"/>
    <n v="4"/>
    <n v="4.4000000000000004"/>
    <n v="8.1"/>
    <n v="0.17600000000000002"/>
    <n v="0.32400000000000001"/>
    <n v="40.867125900000005"/>
    <n v="163.46850360000002"/>
    <n v="417.01148877551026"/>
    <n v="278.00765918367352"/>
    <n v="2.8606988130000004"/>
    <n v="15"/>
    <n v="181.32920241300002"/>
    <n v="45.332300603250005"/>
    <n v="462.57449595153065"/>
    <n v="308.38299730102045"/>
  </r>
  <r>
    <s v="10/06/2026"/>
    <s v="E"/>
    <s v="[1062] RAMGADH"/>
    <s v="[8402] RAMPUR"/>
    <x v="54"/>
    <x v="54"/>
    <x v="54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1/06/2026"/>
    <s v="M"/>
    <s v="[1062] RAMGADH"/>
    <s v="[8402] RAMPUR"/>
    <x v="54"/>
    <x v="54"/>
    <x v="54"/>
    <s v="B"/>
    <n v="3"/>
    <n v="5.6"/>
    <n v="8.4"/>
    <n v="0.16799999999999998"/>
    <n v="0.252"/>
    <n v="45.357199999999999"/>
    <n v="136.07159999999999"/>
    <n v="404.97500000000002"/>
    <n v="269.98333333333335"/>
    <n v="2.3812530000000001"/>
    <n v="11.25"/>
    <n v="149.702853"/>
    <n v="49.900950999999999"/>
    <n v="445.54420535714291"/>
    <n v="297.02947023809526"/>
  </r>
  <r>
    <s v="11/06/2026"/>
    <s v="E"/>
    <s v="[1062] RAMGADH"/>
    <s v="[8402] RAMPUR"/>
    <x v="54"/>
    <x v="54"/>
    <x v="54"/>
    <s v="B"/>
    <n v="9"/>
    <n v="6.2"/>
    <n v="8.5"/>
    <n v="0.55800000000000005"/>
    <n v="0.76500000000000001"/>
    <n v="50.216900000000003"/>
    <n v="451.95210000000003"/>
    <n v="423.1761235955056"/>
    <n v="282.11741573033709"/>
    <n v="7.9091617500000009"/>
    <n v="33.75"/>
    <n v="493.61126175000004"/>
    <n v="54.845695750000004"/>
    <n v="462.18282935393262"/>
    <n v="308.12188623595506"/>
  </r>
  <r>
    <s v="05/06/2026"/>
    <s v="M"/>
    <s v="[1062] RAMGADH"/>
    <s v="[8405] RAMGADH"/>
    <x v="55"/>
    <x v="55"/>
    <x v="5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5/06/2026"/>
    <s v="E"/>
    <s v="[1062] RAMGADH"/>
    <s v="[8405] RAMGADH"/>
    <x v="55"/>
    <x v="55"/>
    <x v="5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6/2026"/>
    <s v="M"/>
    <s v="[1062] RAMGADH"/>
    <s v="[8405] RAMGADH"/>
    <x v="55"/>
    <x v="55"/>
    <x v="5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6/06/2026"/>
    <s v="E"/>
    <s v="[1062] RAMGADH"/>
    <s v="[8405] RAMGADH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7/06/2026"/>
    <s v="M"/>
    <s v="[1062] RAMGADH"/>
    <s v="[8405] RAMGADH"/>
    <x v="55"/>
    <x v="55"/>
    <x v="5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7/06/2026"/>
    <s v="E"/>
    <s v="[1062] RAMGADH"/>
    <s v="[8405] RAMGADH"/>
    <x v="55"/>
    <x v="55"/>
    <x v="5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8/06/2026"/>
    <s v="M"/>
    <s v="[1062] RAMGADH"/>
    <s v="[8405] RAMGADH"/>
    <x v="55"/>
    <x v="55"/>
    <x v="55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8/06/2026"/>
    <s v="E"/>
    <s v="[1062] RAMGADH"/>
    <s v="[8405] RAMGADH"/>
    <x v="55"/>
    <x v="55"/>
    <x v="55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9/06/2026"/>
    <s v="M"/>
    <s v="[1062] RAMGADH"/>
    <s v="[8405] RAMGADH"/>
    <x v="55"/>
    <x v="55"/>
    <x v="55"/>
    <s v="C"/>
    <n v="22"/>
    <n v="3.1"/>
    <n v="8"/>
    <n v="0.68200000000000005"/>
    <n v="1.76"/>
    <n v="35.168112000000008"/>
    <n v="773.69846400000017"/>
    <n v="417.01318577075102"/>
    <n v="278.00879051383401"/>
    <n v="13.539723120000005"/>
    <n v="82.5"/>
    <n v="869.73818712000013"/>
    <n v="39.533553960000006"/>
    <n v="468.77731968379447"/>
    <n v="312.51821312252963"/>
  </r>
  <r>
    <s v="09/06/2026"/>
    <s v="E"/>
    <s v="[1062] RAMGADH"/>
    <s v="[8405] RAMGADH"/>
    <x v="55"/>
    <x v="55"/>
    <x v="55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10/06/2026"/>
    <s v="M"/>
    <s v="[1062] RAMGADH"/>
    <s v="[8405] RAMGADH"/>
    <x v="55"/>
    <x v="55"/>
    <x v="5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0/06/2026"/>
    <s v="E"/>
    <s v="[1062] RAMGADH"/>
    <s v="[8405] RAMGADH"/>
    <x v="55"/>
    <x v="55"/>
    <x v="55"/>
    <s v="C"/>
    <n v="15"/>
    <n v="3.1"/>
    <n v="8"/>
    <n v="0.46500000000000002"/>
    <n v="1.2"/>
    <n v="35.168112000000008"/>
    <n v="527.52168000000006"/>
    <n v="417.01318577075102"/>
    <n v="278.00879051383401"/>
    <n v="9.2316294000000028"/>
    <n v="56.25"/>
    <n v="593.00330940000003"/>
    <n v="39.533553959999999"/>
    <n v="468.77731968379442"/>
    <n v="312.51821312252963"/>
  </r>
  <r>
    <s v="11/06/2026"/>
    <s v="M"/>
    <s v="[1062] RAMGADH"/>
    <s v="[8405] RAMGADH"/>
    <x v="55"/>
    <x v="55"/>
    <x v="55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11/06/2026"/>
    <s v="E"/>
    <s v="[1062] RAMGADH"/>
    <s v="[8405] RAMGADH"/>
    <x v="55"/>
    <x v="55"/>
    <x v="55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5/06/2026"/>
    <s v="M"/>
    <s v="[1062] RAMGADH"/>
    <s v="[8401] DURGAWATI"/>
    <x v="56"/>
    <x v="56"/>
    <x v="56"/>
    <s v="B"/>
    <n v="36"/>
    <n v="7.6"/>
    <n v="9"/>
    <n v="2.7359999999999998"/>
    <n v="3.24"/>
    <n v="63.46"/>
    <n v="2284.56"/>
    <n v="466.61764705882348"/>
    <n v="311.07843137254901"/>
    <n v="39.979800000000004"/>
    <n v="135"/>
    <n v="2459.5398"/>
    <n v="68.320549999999997"/>
    <n v="502.35698529411758"/>
    <n v="334.90465686274507"/>
  </r>
  <r>
    <s v="05/06/2026"/>
    <s v="M"/>
    <s v="[1062] RAMGADH"/>
    <s v="[8401] DURGAWATI"/>
    <x v="56"/>
    <x v="56"/>
    <x v="56"/>
    <s v="C"/>
    <n v="14"/>
    <n v="3.8"/>
    <n v="8"/>
    <n v="0.53199999999999992"/>
    <n v="1.1200000000000001"/>
    <n v="38.087112000000005"/>
    <n v="533.21956800000009"/>
    <n v="417.01217518248177"/>
    <n v="278.00811678832116"/>
    <n v="9.331342440000002"/>
    <n v="52.5"/>
    <n v="595.05091044000005"/>
    <n v="42.503636460000003"/>
    <n v="465.36828240875911"/>
    <n v="310.24552160583943"/>
  </r>
  <r>
    <s v="05/06/2026"/>
    <s v="E"/>
    <s v="[1062] RAMGADH"/>
    <s v="[8401] DURGAWATI"/>
    <x v="56"/>
    <x v="56"/>
    <x v="56"/>
    <s v="B"/>
    <n v="24"/>
    <n v="7.3"/>
    <n v="9"/>
    <n v="1.7519999999999998"/>
    <n v="2.16"/>
    <n v="60.954999999999998"/>
    <n v="1462.92"/>
    <n v="458.30827067669168"/>
    <n v="305.53884711779443"/>
    <n v="25.601100000000002"/>
    <n v="90"/>
    <n v="1578.5211000000002"/>
    <n v="65.771712500000007"/>
    <n v="494.52415413533839"/>
    <n v="329.68276942355891"/>
  </r>
  <r>
    <s v="06/06/2026"/>
    <s v="M"/>
    <s v="[1062] RAMGADH"/>
    <s v="[8401] DURGAWATI"/>
    <x v="56"/>
    <x v="56"/>
    <x v="56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06/06/2026"/>
    <s v="M"/>
    <s v="[1062] RAMGADH"/>
    <s v="[8401] DURGAWATI"/>
    <x v="56"/>
    <x v="56"/>
    <x v="56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06/06/2026"/>
    <s v="E"/>
    <s v="[1062] RAMGADH"/>
    <s v="[8401] DURGAWATI"/>
    <x v="56"/>
    <x v="56"/>
    <x v="56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07/06/2026"/>
    <s v="M"/>
    <s v="[1062] RAMGADH"/>
    <s v="[8401] DURGAWATI"/>
    <x v="56"/>
    <x v="56"/>
    <x v="56"/>
    <s v="B"/>
    <n v="33"/>
    <n v="7.8"/>
    <n v="9"/>
    <n v="2.5739999999999998"/>
    <n v="2.97"/>
    <n v="65.13"/>
    <n v="2149.29"/>
    <n v="471.95652173913038"/>
    <n v="314.63768115942025"/>
    <n v="37.612575"/>
    <n v="123.75"/>
    <n v="2310.6525750000001"/>
    <n v="70.019774999999996"/>
    <n v="507.3896739130434"/>
    <n v="338.25978260869562"/>
  </r>
  <r>
    <s v="07/06/2026"/>
    <s v="M"/>
    <s v="[1062] RAMGADH"/>
    <s v="[8401] DURGAWATI"/>
    <x v="56"/>
    <x v="56"/>
    <x v="56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07/06/2026"/>
    <s v="E"/>
    <s v="[1062] RAMGADH"/>
    <s v="[8401] DURGAWATI"/>
    <x v="56"/>
    <x v="56"/>
    <x v="56"/>
    <s v="B"/>
    <n v="24"/>
    <n v="6.8"/>
    <n v="9"/>
    <n v="1.6319999999999999"/>
    <n v="2.16"/>
    <n v="56.78"/>
    <n v="1362.72"/>
    <n v="443.59375"/>
    <n v="295.72916666666669"/>
    <n v="23.847600000000003"/>
    <n v="90"/>
    <n v="1476.5676000000001"/>
    <n v="61.523650000000004"/>
    <n v="480.65351562500001"/>
    <n v="320.43567708333336"/>
  </r>
  <r>
    <s v="08/06/2026"/>
    <s v="M"/>
    <s v="[1062] RAMGADH"/>
    <s v="[8401] DURGAWATI"/>
    <x v="56"/>
    <x v="56"/>
    <x v="56"/>
    <s v="B"/>
    <n v="34"/>
    <n v="7.4"/>
    <n v="9"/>
    <n v="2.516"/>
    <n v="3.06"/>
    <n v="61.790000000000006"/>
    <n v="2100.86"/>
    <n v="461.11940298507466"/>
    <n v="307.41293532338312"/>
    <n v="36.765050000000002"/>
    <n v="127.5"/>
    <n v="2265.1250500000001"/>
    <n v="66.621324999999999"/>
    <n v="497.17406716417906"/>
    <n v="331.44937810945271"/>
  </r>
  <r>
    <s v="08/06/2026"/>
    <s v="M"/>
    <s v="[1062] RAMGADH"/>
    <s v="[8401] DURGAWATI"/>
    <x v="56"/>
    <x v="56"/>
    <x v="56"/>
    <s v="C"/>
    <n v="13"/>
    <n v="3.8"/>
    <n v="8.1999999999999993"/>
    <n v="0.49399999999999999"/>
    <n v="1.0659999999999998"/>
    <n v="38.6431398"/>
    <n v="502.36081739999997"/>
    <n v="417.01230000000004"/>
    <n v="278.00820000000004"/>
    <n v="8.7913143045000002"/>
    <n v="48.75"/>
    <n v="559.90213170449999"/>
    <n v="43.069394746500002"/>
    <n v="464.77764114928061"/>
    <n v="309.85176076618706"/>
  </r>
  <r>
    <s v="08/06/2026"/>
    <s v="E"/>
    <s v="[1062] RAMGADH"/>
    <s v="[8401] DURGAWATI"/>
    <x v="56"/>
    <x v="56"/>
    <x v="56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09/06/2026"/>
    <s v="M"/>
    <s v="[1062] RAMGADH"/>
    <s v="[8401] DURGAWATI"/>
    <x v="56"/>
    <x v="56"/>
    <x v="56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09/06/2026"/>
    <s v="M"/>
    <s v="[1062] RAMGADH"/>
    <s v="[8401] DURGAWATI"/>
    <x v="56"/>
    <x v="56"/>
    <x v="56"/>
    <s v="C"/>
    <n v="12"/>
    <n v="4"/>
    <n v="8.1"/>
    <n v="0.48"/>
    <n v="0.97199999999999986"/>
    <n v="39.199125899999999"/>
    <n v="470.38951079999998"/>
    <n v="417.01197765957443"/>
    <n v="278.00798510638293"/>
    <n v="8.231816439000001"/>
    <n v="45"/>
    <n v="523.62132723900004"/>
    <n v="43.635110603250006"/>
    <n v="464.20330428989365"/>
    <n v="309.46886952659577"/>
  </r>
  <r>
    <s v="09/06/2026"/>
    <s v="E"/>
    <s v="[1062] RAMGADH"/>
    <s v="[8401] DURGAWATI"/>
    <x v="56"/>
    <x v="56"/>
    <x v="56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0/06/2026"/>
    <s v="M"/>
    <s v="[1062] RAMGADH"/>
    <s v="[8401] DURGAWATI"/>
    <x v="56"/>
    <x v="56"/>
    <x v="56"/>
    <s v="B"/>
    <n v="32"/>
    <n v="7.2"/>
    <n v="8.8000000000000007"/>
    <n v="2.3040000000000003"/>
    <n v="2.8160000000000003"/>
    <n v="59.518800000000006"/>
    <n v="1904.6016000000002"/>
    <n v="455.50102040816324"/>
    <n v="303.66734693877549"/>
    <n v="33.330528000000008"/>
    <n v="120"/>
    <n v="2057.9321280000004"/>
    <n v="64.310379000000012"/>
    <n v="492.17126785714288"/>
    <n v="328.11417857142857"/>
  </r>
  <r>
    <s v="10/06/2026"/>
    <s v="M"/>
    <s v="[1062] RAMGADH"/>
    <s v="[8401] DURGAWATI"/>
    <x v="56"/>
    <x v="56"/>
    <x v="56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10/06/2026"/>
    <s v="E"/>
    <s v="[1062] RAMGADH"/>
    <s v="[8401] DURGAWATI"/>
    <x v="56"/>
    <x v="56"/>
    <x v="56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11/06/2026"/>
    <s v="M"/>
    <s v="[1062] RAMGADH"/>
    <s v="[8401] DURGAWATI"/>
    <x v="56"/>
    <x v="56"/>
    <x v="56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11/06/2026"/>
    <s v="E"/>
    <s v="[1062] RAMGADH"/>
    <s v="[8401] DURGAWATI"/>
    <x v="56"/>
    <x v="56"/>
    <x v="56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05/06/2026"/>
    <s v="M"/>
    <s v="[1062] RAMGADH"/>
    <s v="[8403] MOHANIA"/>
    <x v="57"/>
    <x v="57"/>
    <x v="57"/>
    <s v="B"/>
    <n v="40"/>
    <n v="6.1"/>
    <n v="8.4"/>
    <n v="2.44"/>
    <n v="3.36"/>
    <n v="49.406950000000002"/>
    <n v="1976.278"/>
    <n v="422.28162393162398"/>
    <n v="281.52108262108266"/>
    <n v="34.584865000000001"/>
    <n v="150"/>
    <n v="2160.8628650000001"/>
    <n v="54.021571625"/>
    <n v="461.72283440170941"/>
    <n v="307.81522293447296"/>
  </r>
  <r>
    <s v="05/06/2026"/>
    <s v="M"/>
    <s v="[1062] RAMGADH"/>
    <s v="[8403] MOHANIA"/>
    <x v="57"/>
    <x v="57"/>
    <x v="57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5/06/2026"/>
    <s v="E"/>
    <s v="[1062] RAMGADH"/>
    <s v="[8403] MOHANIA"/>
    <x v="57"/>
    <x v="57"/>
    <x v="57"/>
    <s v="B"/>
    <n v="40"/>
    <n v="6.4"/>
    <n v="8.4"/>
    <n v="2.56"/>
    <n v="3.36"/>
    <n v="51.836799999999997"/>
    <n v="2073.4719999999998"/>
    <n v="431.9733333333333"/>
    <n v="287.98222222222222"/>
    <n v="36.285759999999996"/>
    <n v="150"/>
    <n v="2259.7577599999995"/>
    <n v="56.493943999999985"/>
    <n v="470.78286666666656"/>
    <n v="313.85524444444439"/>
  </r>
  <r>
    <s v="05/06/2026"/>
    <s v="E"/>
    <s v="[1062] RAMGADH"/>
    <s v="[8403] MOHANIA"/>
    <x v="57"/>
    <x v="57"/>
    <x v="57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6/06/2026"/>
    <s v="M"/>
    <s v="[1062] RAMGADH"/>
    <s v="[8403] MOHANIA"/>
    <x v="57"/>
    <x v="57"/>
    <x v="57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6/06/2026"/>
    <s v="M"/>
    <s v="[1062] RAMGADH"/>
    <s v="[8403] MOHANIA"/>
    <x v="57"/>
    <x v="57"/>
    <x v="57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6/06/2026"/>
    <s v="E"/>
    <s v="[1062] RAMGADH"/>
    <s v="[8403] MOHANIA"/>
    <x v="57"/>
    <x v="57"/>
    <x v="5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6/06/2026"/>
    <s v="E"/>
    <s v="[1062] RAMGADH"/>
    <s v="[8403] MOHANIA"/>
    <x v="57"/>
    <x v="57"/>
    <x v="5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6/2026"/>
    <s v="M"/>
    <s v="[1062] RAMGADH"/>
    <s v="[8403] MOHANIA"/>
    <x v="57"/>
    <x v="57"/>
    <x v="57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7/06/2026"/>
    <s v="M"/>
    <s v="[1062] RAMGADH"/>
    <s v="[8403] MOHANIA"/>
    <x v="57"/>
    <x v="57"/>
    <x v="57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07/06/2026"/>
    <s v="E"/>
    <s v="[1062] RAMGADH"/>
    <s v="[8403] MOHANIA"/>
    <x v="57"/>
    <x v="57"/>
    <x v="57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7/06/2026"/>
    <s v="E"/>
    <s v="[1062] RAMGADH"/>
    <s v="[8403] MOHANIA"/>
    <x v="57"/>
    <x v="57"/>
    <x v="57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8/06/2026"/>
    <s v="M"/>
    <s v="[1062] RAMGADH"/>
    <s v="[8403] MOHANIA"/>
    <x v="57"/>
    <x v="57"/>
    <x v="57"/>
    <s v="B"/>
    <n v="39"/>
    <n v="6.4"/>
    <n v="8.6"/>
    <n v="2.4960000000000004"/>
    <n v="3.3539999999999996"/>
    <n v="52.371199999999995"/>
    <n v="2042.4767999999997"/>
    <n v="431.6307692307692"/>
    <n v="287.75384615384615"/>
    <n v="35.743344"/>
    <n v="146.25"/>
    <n v="2224.4701439999999"/>
    <n v="57.037695999999997"/>
    <n v="470.0909010989011"/>
    <n v="313.39393406593405"/>
  </r>
  <r>
    <s v="08/06/2026"/>
    <s v="M"/>
    <s v="[1062] RAMGADH"/>
    <s v="[8403] MOHANIA"/>
    <x v="57"/>
    <x v="57"/>
    <x v="5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8/06/2026"/>
    <s v="E"/>
    <s v="[1062] RAMGADH"/>
    <s v="[8403] MOHANIA"/>
    <x v="57"/>
    <x v="57"/>
    <x v="57"/>
    <s v="B"/>
    <n v="28"/>
    <n v="6"/>
    <n v="8.4"/>
    <n v="1.68"/>
    <n v="2.3520000000000003"/>
    <n v="48.597000000000001"/>
    <n v="1360.7160000000001"/>
    <n v="418.93965517241384"/>
    <n v="279.29310344827587"/>
    <n v="23.812530000000006"/>
    <n v="105"/>
    <n v="1489.52853"/>
    <n v="53.197447500000003"/>
    <n v="458.59868534482763"/>
    <n v="305.73245689655175"/>
  </r>
  <r>
    <s v="08/06/2026"/>
    <s v="E"/>
    <s v="[1062] RAMGADH"/>
    <s v="[8403] MOHANIA"/>
    <x v="57"/>
    <x v="57"/>
    <x v="5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6/2026"/>
    <s v="M"/>
    <s v="[1062] RAMGADH"/>
    <s v="[8403] MOHANIA"/>
    <x v="57"/>
    <x v="57"/>
    <x v="57"/>
    <s v="B"/>
    <n v="32"/>
    <n v="6.2"/>
    <n v="8.4"/>
    <n v="1.984"/>
    <n v="2.6880000000000002"/>
    <n v="50.216900000000003"/>
    <n v="1606.9408000000001"/>
    <n v="425.56694915254241"/>
    <n v="283.71129943502825"/>
    <n v="28.121464000000003"/>
    <n v="120"/>
    <n v="1755.0622640000001"/>
    <n v="54.845695750000004"/>
    <n v="464.79403177966105"/>
    <n v="309.86268785310739"/>
  </r>
  <r>
    <s v="09/06/2026"/>
    <s v="M"/>
    <s v="[1062] RAMGADH"/>
    <s v="[8403] MOHANIA"/>
    <x v="57"/>
    <x v="57"/>
    <x v="57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9/06/2026"/>
    <s v="E"/>
    <s v="[1062] RAMGADH"/>
    <s v="[8403] MOHANIA"/>
    <x v="57"/>
    <x v="57"/>
    <x v="57"/>
    <s v="B"/>
    <n v="56"/>
    <n v="5.8"/>
    <n v="8.4"/>
    <n v="3.2480000000000002"/>
    <n v="4.7040000000000006"/>
    <n v="46.9771"/>
    <n v="2630.7175999999999"/>
    <n v="412.07982456140354"/>
    <n v="274.71988304093571"/>
    <n v="46.037558000000004"/>
    <n v="210"/>
    <n v="2886.7551579999999"/>
    <n v="51.549199250000001"/>
    <n v="452.18595833333336"/>
    <n v="301.45730555555559"/>
  </r>
  <r>
    <s v="09/06/2026"/>
    <s v="E"/>
    <s v="[1062] RAMGADH"/>
    <s v="[8403] MOHANIA"/>
    <x v="57"/>
    <x v="57"/>
    <x v="57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10/06/2026"/>
    <s v="M"/>
    <s v="[1062] RAMGADH"/>
    <s v="[8403] MOHANIA"/>
    <x v="57"/>
    <x v="57"/>
    <x v="57"/>
    <s v="B"/>
    <n v="41"/>
    <n v="6.8"/>
    <n v="8.4"/>
    <n v="2.7880000000000003"/>
    <n v="3.4440000000000004"/>
    <n v="55.076599999999999"/>
    <n v="2258.1406000000002"/>
    <n v="444.16612903225808"/>
    <n v="296.11075268817206"/>
    <n v="39.517460500000006"/>
    <n v="153.75"/>
    <n v="2451.4080605000004"/>
    <n v="59.79044050000001"/>
    <n v="482.18097177419361"/>
    <n v="321.45398118279576"/>
  </r>
  <r>
    <s v="10/06/2026"/>
    <s v="M"/>
    <s v="[1062] RAMGADH"/>
    <s v="[8403] MOHANIA"/>
    <x v="57"/>
    <x v="57"/>
    <x v="57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0/06/2026"/>
    <s v="E"/>
    <s v="[1062] RAMGADH"/>
    <s v="[8403] MOHANIA"/>
    <x v="57"/>
    <x v="57"/>
    <x v="57"/>
    <s v="B"/>
    <n v="40"/>
    <n v="5.9"/>
    <n v="8.6"/>
    <n v="2.36"/>
    <n v="3.44"/>
    <n v="48.279699999999998"/>
    <n v="1931.1879999999999"/>
    <n v="415.01174785100284"/>
    <n v="276.67449856733521"/>
    <n v="33.795790000000004"/>
    <n v="150"/>
    <n v="2114.9837899999998"/>
    <n v="52.874594749999993"/>
    <n v="454.50941045845269"/>
    <n v="303.00627363896848"/>
  </r>
  <r>
    <s v="10/06/2026"/>
    <s v="E"/>
    <s v="[1062] RAMGADH"/>
    <s v="[8403] MOHANIA"/>
    <x v="57"/>
    <x v="57"/>
    <x v="5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6/2026"/>
    <s v="M"/>
    <s v="[1062] RAMGADH"/>
    <s v="[8403] MOHANIA"/>
    <x v="57"/>
    <x v="57"/>
    <x v="57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s v="11/06/2026"/>
    <s v="M"/>
    <s v="[1062] RAMGADH"/>
    <s v="[8403] MOHANIA"/>
    <x v="57"/>
    <x v="57"/>
    <x v="57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11/06/2026"/>
    <s v="E"/>
    <s v="[1062] RAMGADH"/>
    <s v="[8403] MOHANIA"/>
    <x v="57"/>
    <x v="57"/>
    <x v="57"/>
    <s v="B"/>
    <n v="36"/>
    <n v="6.4"/>
    <n v="9"/>
    <n v="2.3040000000000003"/>
    <n v="3.24"/>
    <n v="53.44"/>
    <n v="1923.84"/>
    <n v="430.96774193548384"/>
    <n v="287.31182795698925"/>
    <n v="33.667200000000001"/>
    <n v="135"/>
    <n v="2092.5072"/>
    <n v="58.1252"/>
    <n v="468.7516129032258"/>
    <n v="312.5010752688172"/>
  </r>
  <r>
    <s v="05/06/2026"/>
    <s v="M"/>
    <s v="[1062] RAMGADH"/>
    <s v="[8403] MOHANIA"/>
    <x v="58"/>
    <x v="58"/>
    <x v="58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6/06/2026"/>
    <s v="M"/>
    <s v="[1062] RAMGADH"/>
    <s v="[8403] MOHANIA"/>
    <x v="58"/>
    <x v="58"/>
    <x v="58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7/06/2026"/>
    <s v="M"/>
    <s v="[1062] RAMGADH"/>
    <s v="[8403] MOHANIA"/>
    <x v="58"/>
    <x v="58"/>
    <x v="58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8/06/2026"/>
    <s v="M"/>
    <s v="[1062] RAMGADH"/>
    <s v="[8403] MOHANIA"/>
    <x v="58"/>
    <x v="58"/>
    <x v="58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9/06/2026"/>
    <s v="M"/>
    <s v="[1062] RAMGADH"/>
    <s v="[8403] MOHANIA"/>
    <x v="58"/>
    <x v="58"/>
    <x v="58"/>
    <s v="B"/>
    <n v="10"/>
    <n v="5.8"/>
    <n v="8.4"/>
    <n v="0.57999999999999996"/>
    <n v="0.84"/>
    <n v="46.9771"/>
    <n v="469.77100000000002"/>
    <n v="412.07982456140354"/>
    <n v="274.71988304093571"/>
    <n v="8.2209925000000013"/>
    <n v="37.5"/>
    <n v="515.49199250000004"/>
    <n v="51.549199250000001"/>
    <n v="452.18595833333336"/>
    <n v="301.45730555555559"/>
  </r>
  <r>
    <s v="10/06/2026"/>
    <s v="M"/>
    <s v="[1062] RAMGADH"/>
    <s v="[8403] MOHANIA"/>
    <x v="58"/>
    <x v="58"/>
    <x v="58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11/06/2026"/>
    <s v="M"/>
    <s v="[1062] RAMGADH"/>
    <s v="[8403] MOHANIA"/>
    <x v="58"/>
    <x v="58"/>
    <x v="58"/>
    <s v="C"/>
    <n v="9"/>
    <n v="4.9000000000000004"/>
    <n v="8.1999999999999993"/>
    <n v="0.441"/>
    <n v="0.73799999999999999"/>
    <n v="43.230139800000003"/>
    <n v="389.07125820000005"/>
    <n v="417.01099485530551"/>
    <n v="278.00732990353703"/>
    <n v="6.8087470185000019"/>
    <n v="33.75"/>
    <n v="429.63000521850006"/>
    <n v="47.736667246500005"/>
    <n v="460.48232070578786"/>
    <n v="306.98821380385857"/>
  </r>
  <r>
    <s v="05/06/2026"/>
    <s v="M"/>
    <s v="[1062] RAMGADH"/>
    <s v="[8402] RAMPUR"/>
    <x v="59"/>
    <x v="59"/>
    <x v="59"/>
    <s v="B"/>
    <n v="33"/>
    <n v="6.7"/>
    <n v="8.8000000000000007"/>
    <n v="2.2109999999999999"/>
    <n v="2.9040000000000004"/>
    <n v="55.385550000000002"/>
    <n v="1827.72315"/>
    <n v="440.73381962864721"/>
    <n v="293.82254641909816"/>
    <n v="31.985155125000002"/>
    <n v="123.75"/>
    <n v="1983.4583051250002"/>
    <n v="60.104797125000005"/>
    <n v="478.28751027851456"/>
    <n v="318.85834018567635"/>
  </r>
  <r>
    <s v="05/06/2026"/>
    <s v="M"/>
    <s v="[1062] RAMGADH"/>
    <s v="[8402] RAMPUR"/>
    <x v="59"/>
    <x v="59"/>
    <x v="59"/>
    <s v="C"/>
    <n v="52"/>
    <n v="3.2"/>
    <n v="8.1"/>
    <n v="1.6640000000000001"/>
    <n v="4.2119999999999997"/>
    <n v="35.8631259"/>
    <n v="1864.8825468"/>
    <n v="417.01309186046512"/>
    <n v="278.00872790697673"/>
    <n v="32.635444569000001"/>
    <n v="195"/>
    <n v="2092.5179913689999"/>
    <n v="40.24073060325"/>
    <n v="467.91547213081401"/>
    <n v="311.94364808720934"/>
  </r>
  <r>
    <s v="05/06/2026"/>
    <s v="E"/>
    <s v="[1062] RAMGADH"/>
    <s v="[8402] RAMPUR"/>
    <x v="59"/>
    <x v="59"/>
    <x v="59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05/06/2026"/>
    <s v="E"/>
    <s v="[1062] RAMGADH"/>
    <s v="[8402] RAMPUR"/>
    <x v="59"/>
    <x v="59"/>
    <x v="59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6/06/2026"/>
    <s v="M"/>
    <s v="[1062] RAMGADH"/>
    <s v="[8402] RAMPUR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6/06/2026"/>
    <s v="M"/>
    <s v="[1062] RAMGADH"/>
    <s v="[8402] RAMPUR"/>
    <x v="59"/>
    <x v="59"/>
    <x v="59"/>
    <s v="C"/>
    <n v="53"/>
    <n v="3.6"/>
    <n v="8"/>
    <n v="1.9080000000000001"/>
    <n v="4.24"/>
    <n v="37.253112000000009"/>
    <n v="1974.4149360000004"/>
    <n v="417.01244776119404"/>
    <n v="278.00829850746271"/>
    <n v="34.552261380000012"/>
    <n v="198.75"/>
    <n v="2207.7171973800005"/>
    <n v="41.655041460000007"/>
    <n v="466.28777753731345"/>
    <n v="310.85851835820898"/>
  </r>
  <r>
    <s v="06/06/2026"/>
    <s v="E"/>
    <s v="[1062] RAMGADH"/>
    <s v="[8402] RAMPUR"/>
    <x v="59"/>
    <x v="59"/>
    <x v="59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6/06/2026"/>
    <s v="E"/>
    <s v="[1062] RAMGADH"/>
    <s v="[8402] RAMPUR"/>
    <x v="59"/>
    <x v="59"/>
    <x v="59"/>
    <s v="C"/>
    <n v="46"/>
    <n v="3.1"/>
    <n v="8.1"/>
    <n v="1.4259999999999999"/>
    <n v="3.7259999999999995"/>
    <n v="35.446125899999998"/>
    <n v="1630.5217914"/>
    <n v="417.01324588235298"/>
    <n v="278.0088305882353"/>
    <n v="28.534131349500001"/>
    <n v="172.5"/>
    <n v="1831.5559227495"/>
    <n v="39.816433103249999"/>
    <n v="468.42862474411766"/>
    <n v="312.28574982941177"/>
  </r>
  <r>
    <s v="07/06/2026"/>
    <s v="M"/>
    <s v="[1062] RAMGADH"/>
    <s v="[8402] RAMPUR"/>
    <x v="59"/>
    <x v="59"/>
    <x v="59"/>
    <s v="B"/>
    <n v="30"/>
    <n v="7.3"/>
    <n v="8.8000000000000007"/>
    <n v="2.19"/>
    <n v="2.64"/>
    <n v="60.34545"/>
    <n v="1810.3634999999999"/>
    <n v="458.31987341772157"/>
    <n v="305.54658227848103"/>
    <n v="31.681361250000002"/>
    <n v="112.5"/>
    <n v="1954.5448612499999"/>
    <n v="65.151495374999996"/>
    <n v="494.82148386075949"/>
    <n v="329.88098924050632"/>
  </r>
  <r>
    <s v="07/06/2026"/>
    <s v="M"/>
    <s v="[1062] RAMGADH"/>
    <s v="[8402] RAMPUR"/>
    <x v="59"/>
    <x v="59"/>
    <x v="59"/>
    <s v="C"/>
    <n v="55"/>
    <n v="3.4"/>
    <n v="8.1"/>
    <n v="1.87"/>
    <n v="4.4550000000000001"/>
    <n v="36.697125900000003"/>
    <n v="2018.3419245000002"/>
    <n v="417.01279431818188"/>
    <n v="278.00852954545456"/>
    <n v="35.320983678750011"/>
    <n v="206.25"/>
    <n v="2259.9129081787501"/>
    <n v="41.089325603250003"/>
    <n v="466.92415458238645"/>
    <n v="311.28276972159097"/>
  </r>
  <r>
    <s v="07/06/2026"/>
    <s v="E"/>
    <s v="[1062] RAMGADH"/>
    <s v="[8402] RAMPUR"/>
    <x v="59"/>
    <x v="59"/>
    <x v="59"/>
    <s v="B"/>
    <n v="12"/>
    <n v="6"/>
    <n v="8.6"/>
    <n v="0.72"/>
    <n v="1.0319999999999998"/>
    <n v="49.097999999999999"/>
    <n v="589.17599999999993"/>
    <n v="418.44886363636368"/>
    <n v="278.96590909090912"/>
    <n v="10.31058"/>
    <n v="45"/>
    <n v="644.48657999999989"/>
    <n v="53.707214999999991"/>
    <n v="457.73194602272724"/>
    <n v="305.15463068181816"/>
  </r>
  <r>
    <s v="07/06/2026"/>
    <s v="E"/>
    <s v="[1062] RAMGADH"/>
    <s v="[8402] RAMPUR"/>
    <x v="59"/>
    <x v="59"/>
    <x v="5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6/2026"/>
    <s v="M"/>
    <s v="[1062] RAMGADH"/>
    <s v="[8402] RAMPUR"/>
    <x v="59"/>
    <x v="59"/>
    <x v="59"/>
    <s v="B"/>
    <n v="36"/>
    <n v="7"/>
    <n v="8.8000000000000007"/>
    <n v="2.52"/>
    <n v="3.1680000000000001"/>
    <n v="57.865500000000004"/>
    <n v="2083.1580000000004"/>
    <n v="449.73186528497411"/>
    <n v="299.82124352331607"/>
    <n v="36.455265000000011"/>
    <n v="135"/>
    <n v="2254.6132650000004"/>
    <n v="62.628146250000015"/>
    <n v="486.74725064766847"/>
    <n v="324.49816709844566"/>
  </r>
  <r>
    <s v="08/06/2026"/>
    <s v="M"/>
    <s v="[1062] RAMGADH"/>
    <s v="[8402] RAMPUR"/>
    <x v="59"/>
    <x v="59"/>
    <x v="59"/>
    <s v="C"/>
    <n v="46"/>
    <n v="3.2"/>
    <n v="8.1"/>
    <n v="1.4720000000000002"/>
    <n v="3.7259999999999995"/>
    <n v="35.8631259"/>
    <n v="1649.7037914"/>
    <n v="417.01309186046512"/>
    <n v="278.00872790697673"/>
    <n v="28.869816349500002"/>
    <n v="172.5"/>
    <n v="1851.0736077495001"/>
    <n v="40.24073060325"/>
    <n v="467.91547213081401"/>
    <n v="311.94364808720934"/>
  </r>
  <r>
    <s v="08/06/2026"/>
    <s v="E"/>
    <s v="[1062] RAMGADH"/>
    <s v="[8402] RAMPUR"/>
    <x v="59"/>
    <x v="59"/>
    <x v="59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8/06/2026"/>
    <s v="E"/>
    <s v="[1062] RAMGADH"/>
    <s v="[8402] RAMPUR"/>
    <x v="59"/>
    <x v="59"/>
    <x v="59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9/06/2026"/>
    <s v="M"/>
    <s v="[1062] RAMGADH"/>
    <s v="[8402] RAMPUR"/>
    <x v="59"/>
    <x v="59"/>
    <x v="59"/>
    <s v="B"/>
    <n v="32"/>
    <n v="7.3"/>
    <n v="8.8000000000000007"/>
    <n v="2.3359999999999999"/>
    <n v="2.8160000000000003"/>
    <n v="60.34545"/>
    <n v="1931.0544"/>
    <n v="458.31987341772157"/>
    <n v="305.54658227848103"/>
    <n v="33.793452000000002"/>
    <n v="120"/>
    <n v="2084.8478519999999"/>
    <n v="65.151495374999996"/>
    <n v="494.82148386075949"/>
    <n v="329.88098924050632"/>
  </r>
  <r>
    <s v="09/06/2026"/>
    <s v="M"/>
    <s v="[1062] RAMGADH"/>
    <s v="[8402] RAMPUR"/>
    <x v="59"/>
    <x v="59"/>
    <x v="59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9/06/2026"/>
    <s v="E"/>
    <s v="[1062] RAMGADH"/>
    <s v="[8402] RAMPUR"/>
    <x v="59"/>
    <x v="59"/>
    <x v="59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s v="09/06/2026"/>
    <s v="E"/>
    <s v="[1062] RAMGADH"/>
    <s v="[8402] RAMPUR"/>
    <x v="59"/>
    <x v="59"/>
    <x v="5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0/06/2026"/>
    <s v="M"/>
    <s v="[1062] RAMGADH"/>
    <s v="[8402] RAMPUR"/>
    <x v="59"/>
    <x v="59"/>
    <x v="59"/>
    <s v="B"/>
    <n v="32"/>
    <n v="6.7"/>
    <n v="8.8000000000000007"/>
    <n v="2.1440000000000001"/>
    <n v="2.8160000000000003"/>
    <n v="55.385550000000002"/>
    <n v="1772.3376000000001"/>
    <n v="440.73381962864721"/>
    <n v="293.82254641909816"/>
    <n v="31.015908000000003"/>
    <n v="120"/>
    <n v="1923.3535080000001"/>
    <n v="60.104797125000005"/>
    <n v="478.28751027851456"/>
    <n v="318.85834018567635"/>
  </r>
  <r>
    <s v="10/06/2026"/>
    <s v="M"/>
    <s v="[1062] RAMGADH"/>
    <s v="[8402] RAMPUR"/>
    <x v="59"/>
    <x v="59"/>
    <x v="59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10/06/2026"/>
    <s v="E"/>
    <s v="[1062] RAMGADH"/>
    <s v="[8402] RAMPUR"/>
    <x v="59"/>
    <x v="59"/>
    <x v="59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0/06/2026"/>
    <s v="E"/>
    <s v="[1062] RAMGADH"/>
    <s v="[8402] RAMPUR"/>
    <x v="59"/>
    <x v="59"/>
    <x v="59"/>
    <s v="C"/>
    <n v="48"/>
    <n v="3.5"/>
    <n v="8.1"/>
    <n v="1.68"/>
    <n v="3.8879999999999995"/>
    <n v="37.114125900000005"/>
    <n v="1781.4780432000002"/>
    <n v="417.01265056179784"/>
    <n v="278.00843370786521"/>
    <n v="31.175865756000007"/>
    <n v="180"/>
    <n v="1992.6539089560001"/>
    <n v="41.513623103250005"/>
    <n v="466.44520340730344"/>
    <n v="310.96346893820231"/>
  </r>
  <r>
    <s v="11/06/2026"/>
    <s v="M"/>
    <s v="[1062] RAMGADH"/>
    <s v="[8402] RAMPUR"/>
    <x v="59"/>
    <x v="59"/>
    <x v="59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11/06/2026"/>
    <s v="M"/>
    <s v="[1062] RAMGADH"/>
    <s v="[8402] RAMPUR"/>
    <x v="59"/>
    <x v="59"/>
    <x v="59"/>
    <s v="C"/>
    <n v="38"/>
    <n v="3.3"/>
    <n v="8.1"/>
    <n v="1.254"/>
    <n v="3.0780000000000003"/>
    <n v="36.280125900000002"/>
    <n v="1378.6447842"/>
    <n v="417.0129413793104"/>
    <n v="278.00862758620696"/>
    <n v="24.126283723500002"/>
    <n v="142.5"/>
    <n v="1545.2710679234999"/>
    <n v="40.665028103249995"/>
    <n v="467.41411612931034"/>
    <n v="311.60941075287354"/>
  </r>
  <r>
    <s v="11/06/2026"/>
    <s v="E"/>
    <s v="[1062] RAMGADH"/>
    <s v="[8402] RAMPUR"/>
    <x v="59"/>
    <x v="59"/>
    <x v="59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11/06/2026"/>
    <s v="E"/>
    <s v="[1062] RAMGADH"/>
    <s v="[8402] RAMPUR"/>
    <x v="59"/>
    <x v="59"/>
    <x v="59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5/06/2026"/>
    <s v="M"/>
    <s v="[1062] RAMGADH"/>
    <s v="[8403] MOHANIA"/>
    <x v="60"/>
    <x v="60"/>
    <x v="60"/>
    <s v="B"/>
    <n v="25"/>
    <n v="7.1"/>
    <n v="8.8000000000000007"/>
    <n v="1.7749999999999999"/>
    <n v="2.2000000000000002"/>
    <n v="58.692149999999998"/>
    <n v="1467.30375"/>
    <n v="452.63868894601546"/>
    <n v="301.75912596401031"/>
    <n v="25.677815625000004"/>
    <n v="93.75"/>
    <n v="1586.731565625"/>
    <n v="63.469262624999999"/>
    <n v="489.48017448586126"/>
    <n v="326.32011632390748"/>
  </r>
  <r>
    <s v="05/06/2026"/>
    <s v="M"/>
    <s v="[1062] RAMGADH"/>
    <s v="[8403] MOHANIA"/>
    <x v="60"/>
    <x v="60"/>
    <x v="60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6/2026"/>
    <s v="E"/>
    <s v="[1062] RAMGADH"/>
    <s v="[8403] MOHANIA"/>
    <x v="60"/>
    <x v="60"/>
    <x v="60"/>
    <s v="B"/>
    <n v="33"/>
    <n v="6.4"/>
    <n v="8.8000000000000007"/>
    <n v="2.1120000000000001"/>
    <n v="2.9040000000000004"/>
    <n v="52.9056"/>
    <n v="1745.8848"/>
    <n v="431.29565217391303"/>
    <n v="287.53043478260867"/>
    <n v="30.552984000000002"/>
    <n v="123.75"/>
    <n v="1900.187784"/>
    <n v="57.581448000000002"/>
    <n v="469.41397826086956"/>
    <n v="312.94265217391302"/>
  </r>
  <r>
    <s v="05/06/2026"/>
    <s v="E"/>
    <s v="[1062] RAMGADH"/>
    <s v="[8403] MOHANIA"/>
    <x v="60"/>
    <x v="60"/>
    <x v="60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6/2026"/>
    <s v="M"/>
    <s v="[1062] RAMGADH"/>
    <s v="[8403] MOHANIA"/>
    <x v="60"/>
    <x v="60"/>
    <x v="60"/>
    <s v="B"/>
    <n v="23"/>
    <n v="7"/>
    <n v="8.8000000000000007"/>
    <n v="1.61"/>
    <n v="2.024"/>
    <n v="57.865500000000004"/>
    <n v="1330.9065000000001"/>
    <n v="449.73186528497411"/>
    <n v="299.82124352331607"/>
    <n v="23.290863750000003"/>
    <n v="86.25"/>
    <n v="1440.44736375"/>
    <n v="62.62814625"/>
    <n v="486.74725064766835"/>
    <n v="324.49816709844555"/>
  </r>
  <r>
    <s v="06/06/2026"/>
    <s v="M"/>
    <s v="[1062] RAMGADH"/>
    <s v="[8403] MOHANIA"/>
    <x v="60"/>
    <x v="60"/>
    <x v="6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6/06/2026"/>
    <s v="E"/>
    <s v="[1062] RAMGADH"/>
    <s v="[8403] MOHANIA"/>
    <x v="60"/>
    <x v="60"/>
    <x v="60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06/06/2026"/>
    <s v="E"/>
    <s v="[1062] RAMGADH"/>
    <s v="[8403] MOHANIA"/>
    <x v="60"/>
    <x v="60"/>
    <x v="60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7/06/2026"/>
    <s v="M"/>
    <s v="[1062] RAMGADH"/>
    <s v="[8403] MOHANIA"/>
    <x v="60"/>
    <x v="60"/>
    <x v="60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07/06/2026"/>
    <s v="M"/>
    <s v="[1062] RAMGADH"/>
    <s v="[8403] MOHANIA"/>
    <x v="60"/>
    <x v="60"/>
    <x v="60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7/06/2026"/>
    <s v="E"/>
    <s v="[1062] RAMGADH"/>
    <s v="[8403] MOHANIA"/>
    <x v="60"/>
    <x v="60"/>
    <x v="60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07/06/2026"/>
    <s v="E"/>
    <s v="[1062] RAMGADH"/>
    <s v="[8403] MOHANIA"/>
    <x v="60"/>
    <x v="60"/>
    <x v="60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8/06/2026"/>
    <s v="M"/>
    <s v="[1062] RAMGADH"/>
    <s v="[8403] MOHANIA"/>
    <x v="60"/>
    <x v="60"/>
    <x v="60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8/06/2026"/>
    <s v="E"/>
    <s v="[1062] RAMGADH"/>
    <s v="[8403] MOHANIA"/>
    <x v="60"/>
    <x v="60"/>
    <x v="60"/>
    <s v="B"/>
    <n v="21"/>
    <n v="6.9"/>
    <n v="8.8000000000000007"/>
    <n v="1.4490000000000001"/>
    <n v="1.8480000000000001"/>
    <n v="57.038850000000004"/>
    <n v="1197.8158500000002"/>
    <n v="446.77950391644907"/>
    <n v="297.85300261096603"/>
    <n v="20.961777375000004"/>
    <n v="78.75"/>
    <n v="1297.5276273750001"/>
    <n v="61.787029875000002"/>
    <n v="483.97151338120102"/>
    <n v="322.64767558746735"/>
  </r>
  <r>
    <s v="08/06/2026"/>
    <s v="E"/>
    <s v="[1062] RAMGADH"/>
    <s v="[8403] MOHANIA"/>
    <x v="60"/>
    <x v="60"/>
    <x v="60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6/2026"/>
    <s v="M"/>
    <s v="[1062] RAMGADH"/>
    <s v="[8403] MOHANIA"/>
    <x v="60"/>
    <x v="60"/>
    <x v="60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9/06/2026"/>
    <s v="E"/>
    <s v="[1062] RAMGADH"/>
    <s v="[8403] MOHANIA"/>
    <x v="60"/>
    <x v="60"/>
    <x v="60"/>
    <s v="B"/>
    <n v="41"/>
    <n v="6"/>
    <n v="8.8000000000000007"/>
    <n v="2.46"/>
    <n v="3.6080000000000001"/>
    <n v="49.599000000000004"/>
    <n v="2033.5590000000002"/>
    <n v="417.96910112359552"/>
    <n v="278.64606741573033"/>
    <n v="35.587282500000008"/>
    <n v="153.75"/>
    <n v="2222.8962825000003"/>
    <n v="54.216982500000007"/>
    <n v="456.8846839887641"/>
    <n v="304.58978932584273"/>
  </r>
  <r>
    <s v="09/06/2026"/>
    <s v="E"/>
    <s v="[1062] RAMGADH"/>
    <s v="[8403] MOHANIA"/>
    <x v="60"/>
    <x v="60"/>
    <x v="60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10/06/2026"/>
    <s v="M"/>
    <s v="[1062] RAMGADH"/>
    <s v="[8403] MOHANIA"/>
    <x v="60"/>
    <x v="60"/>
    <x v="60"/>
    <s v="B"/>
    <n v="15"/>
    <n v="7.5"/>
    <n v="8.8000000000000007"/>
    <n v="1.125"/>
    <n v="1.32"/>
    <n v="61.998750000000001"/>
    <n v="929.98125000000005"/>
    <n v="463.83104738154617"/>
    <n v="309.22069825436409"/>
    <n v="16.274671875000003"/>
    <n v="56.25"/>
    <n v="1002.505921875"/>
    <n v="66.833728125000007"/>
    <n v="500.00295355361607"/>
    <n v="333.3353023690774"/>
  </r>
  <r>
    <s v="10/06/2026"/>
    <s v="M"/>
    <s v="[1062] RAMGADH"/>
    <s v="[8403] MOHANIA"/>
    <x v="60"/>
    <x v="60"/>
    <x v="60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0/06/2026"/>
    <s v="E"/>
    <s v="[1062] RAMGADH"/>
    <s v="[8403] MOHANIA"/>
    <x v="60"/>
    <x v="60"/>
    <x v="60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0/06/2026"/>
    <s v="E"/>
    <s v="[1062] RAMGADH"/>
    <s v="[8403] MOHANIA"/>
    <x v="60"/>
    <x v="60"/>
    <x v="60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1/06/2026"/>
    <s v="M"/>
    <s v="[1062] RAMGADH"/>
    <s v="[8403] MOHANIA"/>
    <x v="60"/>
    <x v="60"/>
    <x v="60"/>
    <s v="B"/>
    <n v="22"/>
    <n v="7.6"/>
    <n v="8.8000000000000007"/>
    <n v="1.6719999999999999"/>
    <n v="1.9360000000000002"/>
    <n v="62.825400000000002"/>
    <n v="1382.1588000000002"/>
    <n v="466.5252475247525"/>
    <n v="311.01683168316833"/>
    <n v="24.187779000000006"/>
    <n v="82.5"/>
    <n v="1488.8465790000002"/>
    <n v="67.674844500000006"/>
    <n v="502.53597400990105"/>
    <n v="335.02398267326737"/>
  </r>
  <r>
    <s v="11/06/2026"/>
    <s v="M"/>
    <s v="[1062] RAMGADH"/>
    <s v="[8403] MOHANIA"/>
    <x v="60"/>
    <x v="60"/>
    <x v="60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1/06/2026"/>
    <s v="E"/>
    <s v="[1062] RAMGADH"/>
    <s v="[8403] MOHANIA"/>
    <x v="60"/>
    <x v="60"/>
    <x v="60"/>
    <s v="B"/>
    <n v="34"/>
    <n v="6.2"/>
    <n v="8.6"/>
    <n v="2.1080000000000001"/>
    <n v="2.9239999999999999"/>
    <n v="50.7346"/>
    <n v="1724.9764"/>
    <n v="425.15027932960902"/>
    <n v="283.4335195530727"/>
    <n v="30.187087000000002"/>
    <n v="127.5"/>
    <n v="1882.663487"/>
    <n v="55.372455500000001"/>
    <n v="464.01499022346377"/>
    <n v="309.34332681564251"/>
  </r>
  <r>
    <s v="11/06/2026"/>
    <s v="E"/>
    <s v="[1062] RAMGADH"/>
    <s v="[8403] MOHANIA"/>
    <x v="60"/>
    <x v="60"/>
    <x v="60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5/06/2026"/>
    <s v="M"/>
    <s v="[1062] RAMGADH"/>
    <s v="[8401] DURGAWATI"/>
    <x v="61"/>
    <x v="61"/>
    <x v="61"/>
    <s v="B"/>
    <n v="65"/>
    <n v="6"/>
    <n v="8.6"/>
    <n v="3.9"/>
    <n v="5.59"/>
    <n v="49.097999999999999"/>
    <n v="3191.37"/>
    <n v="418.44886363636368"/>
    <n v="278.96590909090912"/>
    <n v="55.848975000000003"/>
    <n v="243.75"/>
    <n v="3490.9689749999998"/>
    <n v="53.707214999999998"/>
    <n v="457.7319460227273"/>
    <n v="305.15463068181822"/>
  </r>
  <r>
    <s v="05/06/2026"/>
    <s v="M"/>
    <s v="[1062] RAMGADH"/>
    <s v="[8401] DURGAWATI"/>
    <x v="61"/>
    <x v="61"/>
    <x v="61"/>
    <s v="C"/>
    <n v="110"/>
    <n v="3.3"/>
    <n v="8.1"/>
    <n v="3.63"/>
    <n v="8.91"/>
    <n v="36.280125900000002"/>
    <n v="3990.8138490000001"/>
    <n v="417.0129413793104"/>
    <n v="278.00862758620696"/>
    <n v="69.839242357500012"/>
    <n v="412.5"/>
    <n v="4473.1530913574998"/>
    <n v="40.665028103249995"/>
    <n v="467.41411612931034"/>
    <n v="311.60941075287354"/>
  </r>
  <r>
    <s v="05/06/2026"/>
    <s v="E"/>
    <s v="[1062] RAMGADH"/>
    <s v="[8401] DURGAWATI"/>
    <x v="61"/>
    <x v="61"/>
    <x v="61"/>
    <s v="C"/>
    <n v="52"/>
    <n v="4.0999999999999996"/>
    <n v="8.1"/>
    <n v="2.1319999999999997"/>
    <n v="4.2119999999999997"/>
    <n v="39.6161259"/>
    <n v="2060.0385467999999"/>
    <n v="417.01185157894736"/>
    <n v="278.00790105263155"/>
    <n v="36.050674569000002"/>
    <n v="195"/>
    <n v="2291.0892213689999"/>
    <n v="44.05940810325"/>
    <n v="463.78324319210526"/>
    <n v="309.18882879473682"/>
  </r>
  <r>
    <s v="06/06/2026"/>
    <s v="M"/>
    <s v="[1062] RAMGADH"/>
    <s v="[8401] DURGAWATI"/>
    <x v="61"/>
    <x v="61"/>
    <x v="61"/>
    <s v="B"/>
    <n v="54"/>
    <n v="8"/>
    <n v="8.8000000000000007"/>
    <n v="4.32"/>
    <n v="4.7520000000000007"/>
    <n v="66.131999999999991"/>
    <n v="3571.1279999999997"/>
    <n v="476.91346153846149"/>
    <n v="317.94230769230768"/>
    <n v="62.49474"/>
    <n v="202.5"/>
    <n v="3836.1227399999998"/>
    <n v="71.03931"/>
    <n v="512.30271634615383"/>
    <n v="341.53514423076922"/>
  </r>
  <r>
    <s v="06/06/2026"/>
    <s v="M"/>
    <s v="[1062] RAMGADH"/>
    <s v="[8401] DURGAWATI"/>
    <x v="61"/>
    <x v="61"/>
    <x v="61"/>
    <s v="C"/>
    <n v="30"/>
    <n v="4"/>
    <n v="8.1"/>
    <n v="1.2"/>
    <n v="2.4300000000000002"/>
    <n v="39.199125899999999"/>
    <n v="1175.9737769999999"/>
    <n v="417.01197765957443"/>
    <n v="278.00798510638293"/>
    <n v="20.579541097500002"/>
    <n v="112.5"/>
    <n v="1309.0533180974999"/>
    <n v="43.635110603249998"/>
    <n v="464.20330428989359"/>
    <n v="309.46886952659571"/>
  </r>
  <r>
    <s v="06/06/2026"/>
    <s v="E"/>
    <s v="[1062] RAMGADH"/>
    <s v="[8401] DURGAWATI"/>
    <x v="61"/>
    <x v="61"/>
    <x v="61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06/06/2026"/>
    <s v="E"/>
    <s v="[1062] RAMGADH"/>
    <s v="[8401] DURGAWATI"/>
    <x v="61"/>
    <x v="61"/>
    <x v="61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7/06/2026"/>
    <s v="M"/>
    <s v="[1062] RAMGADH"/>
    <s v="[8401] DURGAWATI"/>
    <x v="61"/>
    <x v="61"/>
    <x v="61"/>
    <s v="B"/>
    <n v="60"/>
    <n v="6.4"/>
    <n v="8.8000000000000007"/>
    <n v="3.84"/>
    <n v="5.28"/>
    <n v="52.9056"/>
    <n v="3174.3359999999998"/>
    <n v="431.29565217391303"/>
    <n v="287.53043478260867"/>
    <n v="55.550879999999999"/>
    <n v="225"/>
    <n v="3454.88688"/>
    <n v="57.581448000000002"/>
    <n v="469.41397826086956"/>
    <n v="312.94265217391302"/>
  </r>
  <r>
    <s v="07/06/2026"/>
    <s v="M"/>
    <s v="[1062] RAMGADH"/>
    <s v="[8401] DURGAWATI"/>
    <x v="61"/>
    <x v="61"/>
    <x v="61"/>
    <s v="C"/>
    <n v="79"/>
    <n v="3.3"/>
    <n v="8"/>
    <n v="2.6069999999999998"/>
    <n v="6.32"/>
    <n v="36.002112000000004"/>
    <n v="2844.1668480000003"/>
    <n v="417.01288030888031"/>
    <n v="278.00858687258687"/>
    <n v="49.772919840000007"/>
    <n v="296.25"/>
    <n v="3190.1897678400001"/>
    <n v="40.382148960000002"/>
    <n v="467.74689915057911"/>
    <n v="311.83126610038607"/>
  </r>
  <r>
    <s v="07/06/2026"/>
    <s v="E"/>
    <s v="[1062] RAMGADH"/>
    <s v="[8401] DURGAWATI"/>
    <x v="61"/>
    <x v="61"/>
    <x v="61"/>
    <s v="C"/>
    <n v="45"/>
    <n v="3.8"/>
    <n v="8.1"/>
    <n v="1.71"/>
    <n v="3.645"/>
    <n v="38.365125900000002"/>
    <n v="1726.4306655"/>
    <n v="417.01223804347831"/>
    <n v="278.00815869565218"/>
    <n v="30.212536646250005"/>
    <n v="168.75"/>
    <n v="1925.3932021462501"/>
    <n v="42.786515603250002"/>
    <n v="465.07082177445653"/>
    <n v="310.04721451630434"/>
  </r>
  <r>
    <s v="08/06/2026"/>
    <s v="M"/>
    <s v="[1062] RAMGADH"/>
    <s v="[8401] DURGAWATI"/>
    <x v="61"/>
    <x v="61"/>
    <x v="61"/>
    <s v="B"/>
    <n v="34"/>
    <n v="7.6"/>
    <n v="8.8000000000000007"/>
    <n v="2.5839999999999996"/>
    <n v="2.9920000000000004"/>
    <n v="62.825400000000002"/>
    <n v="2136.0636"/>
    <n v="466.5252475247525"/>
    <n v="311.01683168316833"/>
    <n v="37.381113000000006"/>
    <n v="127.5"/>
    <n v="2300.9447129999999"/>
    <n v="67.674844499999992"/>
    <n v="502.53597400990094"/>
    <n v="335.02398267326731"/>
  </r>
  <r>
    <s v="08/06/2026"/>
    <s v="M"/>
    <s v="[1062] RAMGADH"/>
    <s v="[8401] DURGAWATI"/>
    <x v="61"/>
    <x v="61"/>
    <x v="61"/>
    <s v="C"/>
    <n v="87"/>
    <n v="3.8"/>
    <n v="8.1"/>
    <n v="3.3059999999999996"/>
    <n v="7.0469999999999997"/>
    <n v="38.365125900000002"/>
    <n v="3337.7659533000001"/>
    <n v="417.01223804347831"/>
    <n v="278.00815869565218"/>
    <n v="58.410904182750009"/>
    <n v="326.25"/>
    <n v="3722.4268574827502"/>
    <n v="42.786515603250002"/>
    <n v="465.07082177445653"/>
    <n v="310.04721451630434"/>
  </r>
  <r>
    <s v="08/06/2026"/>
    <s v="E"/>
    <s v="[1062] RAMGADH"/>
    <s v="[8401] DURGAWATI"/>
    <x v="61"/>
    <x v="61"/>
    <x v="61"/>
    <s v="B"/>
    <n v="18"/>
    <n v="6.5"/>
    <n v="8.8000000000000007"/>
    <n v="1.17"/>
    <n v="1.5840000000000001"/>
    <n v="53.732250000000001"/>
    <n v="967.18050000000005"/>
    <n v="434.49258760107813"/>
    <n v="289.66172506738542"/>
    <n v="16.925658750000004"/>
    <n v="67.5"/>
    <n v="1051.6061587500001"/>
    <n v="58.422564375000007"/>
    <n v="472.41965801886795"/>
    <n v="314.94643867924532"/>
  </r>
  <r>
    <s v="08/06/2026"/>
    <s v="E"/>
    <s v="[1062] RAMGADH"/>
    <s v="[8401] DURGAWATI"/>
    <x v="61"/>
    <x v="61"/>
    <x v="61"/>
    <s v="C"/>
    <n v="71"/>
    <n v="3.4"/>
    <n v="8.1"/>
    <n v="2.4140000000000001"/>
    <n v="5.7510000000000003"/>
    <n v="36.697125900000003"/>
    <n v="2605.4959389000001"/>
    <n v="417.01279431818188"/>
    <n v="278.00852954545456"/>
    <n v="45.596178930750007"/>
    <n v="266.25"/>
    <n v="2917.3421178307499"/>
    <n v="41.089325603249996"/>
    <n v="466.92415458238634"/>
    <n v="311.28276972159091"/>
  </r>
  <r>
    <s v="09/06/2026"/>
    <s v="M"/>
    <s v="[1062] RAMGADH"/>
    <s v="[8401] DURGAWATI"/>
    <x v="61"/>
    <x v="61"/>
    <x v="61"/>
    <s v="B"/>
    <n v="113"/>
    <n v="6.6"/>
    <n v="8.8000000000000007"/>
    <n v="7.4579999999999993"/>
    <n v="9.9440000000000008"/>
    <n v="54.558900000000001"/>
    <n v="6165.1557000000003"/>
    <n v="437.63823529411764"/>
    <n v="291.75882352941176"/>
    <n v="107.89022475000002"/>
    <n v="423.75"/>
    <n v="6696.7959247500003"/>
    <n v="59.263680749999999"/>
    <n v="475.37711831550797"/>
    <n v="316.91807887700531"/>
  </r>
  <r>
    <s v="09/06/2026"/>
    <s v="E"/>
    <s v="[1062] RAMGADH"/>
    <s v="[8401] DURGAWATI"/>
    <x v="61"/>
    <x v="61"/>
    <x v="61"/>
    <s v="C"/>
    <n v="58"/>
    <n v="3.3"/>
    <n v="8.1"/>
    <n v="1.9139999999999997"/>
    <n v="4.6979999999999995"/>
    <n v="36.280125900000002"/>
    <n v="2104.2473021999999"/>
    <n v="417.0129413793104"/>
    <n v="278.00862758620696"/>
    <n v="36.8243277885"/>
    <n v="217.5"/>
    <n v="2358.5716299884998"/>
    <n v="40.665028103249995"/>
    <n v="467.41411612931034"/>
    <n v="311.60941075287354"/>
  </r>
  <r>
    <s v="10/06/2026"/>
    <s v="M"/>
    <s v="[1062] RAMGADH"/>
    <s v="[8401] DURGAWATI"/>
    <x v="61"/>
    <x v="61"/>
    <x v="61"/>
    <s v="B"/>
    <n v="57"/>
    <n v="7.2"/>
    <n v="8.8000000000000007"/>
    <n v="4.1040000000000001"/>
    <n v="5.016"/>
    <n v="59.518800000000006"/>
    <n v="3392.5716000000002"/>
    <n v="455.50102040816324"/>
    <n v="303.66734693877549"/>
    <n v="59.370003000000011"/>
    <n v="213.75"/>
    <n v="3665.6916030000002"/>
    <n v="64.310378999999998"/>
    <n v="492.17126785714277"/>
    <n v="328.11417857142851"/>
  </r>
  <r>
    <s v="10/06/2026"/>
    <s v="M"/>
    <s v="[1062] RAMGADH"/>
    <s v="[8401] DURGAWATI"/>
    <x v="61"/>
    <x v="61"/>
    <x v="61"/>
    <s v="C"/>
    <n v="111"/>
    <n v="3.6"/>
    <n v="8.1"/>
    <n v="3.9960000000000004"/>
    <n v="8.9909999999999997"/>
    <n v="37.531125900000006"/>
    <n v="4165.9549749000007"/>
    <n v="417.01251000000008"/>
    <n v="278.00834000000003"/>
    <n v="72.904212060750012"/>
    <n v="416.25"/>
    <n v="4655.1091869607508"/>
    <n v="41.937920603250006"/>
    <n v="465.97689559166673"/>
    <n v="310.6512637277778"/>
  </r>
  <r>
    <s v="10/06/2026"/>
    <s v="E"/>
    <s v="[1062] RAMGADH"/>
    <s v="[8401] DURGAWATI"/>
    <x v="61"/>
    <x v="61"/>
    <x v="61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10/06/2026"/>
    <s v="E"/>
    <s v="[1062] RAMGADH"/>
    <s v="[8401] DURGAWATI"/>
    <x v="61"/>
    <x v="61"/>
    <x v="61"/>
    <s v="C"/>
    <n v="60"/>
    <n v="3.2"/>
    <n v="8.1"/>
    <n v="1.92"/>
    <n v="4.8600000000000003"/>
    <n v="35.8631259"/>
    <n v="2151.787554"/>
    <n v="417.01309186046512"/>
    <n v="278.00872790697673"/>
    <n v="37.656282195000003"/>
    <n v="225"/>
    <n v="2414.4438361950001"/>
    <n v="40.24073060325"/>
    <n v="467.91547213081401"/>
    <n v="311.94364808720934"/>
  </r>
  <r>
    <s v="11/06/2026"/>
    <s v="M"/>
    <s v="[1062] RAMGADH"/>
    <s v="[8401] DURGAWATI"/>
    <x v="61"/>
    <x v="61"/>
    <x v="61"/>
    <s v="B"/>
    <n v="255"/>
    <n v="6.7"/>
    <n v="9"/>
    <n v="17.085000000000001"/>
    <n v="22.95"/>
    <n v="55.945"/>
    <n v="14265.975"/>
    <n v="440.51181102362204"/>
    <n v="293.67454068241472"/>
    <n v="249.65456250000003"/>
    <n v="956.25"/>
    <n v="15471.8795625"/>
    <n v="60.674037500000004"/>
    <n v="477.74832677165358"/>
    <n v="318.4988845144357"/>
  </r>
  <r>
    <s v="11/06/2026"/>
    <s v="M"/>
    <s v="[1062] RAMGADH"/>
    <s v="[8401] DURGAWATI"/>
    <x v="61"/>
    <x v="61"/>
    <x v="61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11/06/2026"/>
    <s v="E"/>
    <s v="[1062] RAMGADH"/>
    <s v="[8401] DURGAWATI"/>
    <x v="61"/>
    <x v="61"/>
    <x v="61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11/06/2026"/>
    <s v="E"/>
    <s v="[1062] RAMGADH"/>
    <s v="[8401] DURGAWATI"/>
    <x v="61"/>
    <x v="61"/>
    <x v="61"/>
    <s v="C"/>
    <n v="57"/>
    <n v="3.6"/>
    <n v="8.1"/>
    <n v="2.052"/>
    <n v="4.617"/>
    <n v="37.531125900000006"/>
    <n v="2139.2741763000004"/>
    <n v="417.01251000000008"/>
    <n v="278.00834000000003"/>
    <n v="37.437298085250013"/>
    <n v="213.75"/>
    <n v="2390.4614743852503"/>
    <n v="41.937920603250006"/>
    <n v="465.97689559166673"/>
    <n v="310.6512637277778"/>
  </r>
  <r>
    <s v="05/06/2026"/>
    <s v="M"/>
    <s v="[1062] RAMGADH"/>
    <s v="[8401] DURGAWATI"/>
    <x v="62"/>
    <x v="62"/>
    <x v="62"/>
    <s v="B"/>
    <n v="34"/>
    <n v="7.5"/>
    <n v="8.8000000000000007"/>
    <n v="2.5499999999999998"/>
    <n v="2.9920000000000004"/>
    <n v="61.998750000000001"/>
    <n v="2107.9575"/>
    <n v="463.83104738154617"/>
    <n v="309.22069825436409"/>
    <n v="36.889256250000003"/>
    <n v="127.5"/>
    <n v="2272.34675625"/>
    <n v="66.833728124999993"/>
    <n v="500.00295355361595"/>
    <n v="333.33530236907728"/>
  </r>
  <r>
    <s v="05/06/2026"/>
    <s v="M"/>
    <s v="[1062] RAMGADH"/>
    <s v="[8401] DURGAWATI"/>
    <x v="62"/>
    <x v="62"/>
    <x v="62"/>
    <s v="C"/>
    <n v="6"/>
    <n v="4.3"/>
    <n v="8.1999999999999993"/>
    <n v="0.25799999999999995"/>
    <n v="0.49199999999999994"/>
    <n v="40.728139799999994"/>
    <n v="244.36883879999996"/>
    <n v="417.01167030716726"/>
    <n v="278.00778020477816"/>
    <n v="4.2764546789999995"/>
    <n v="22.5"/>
    <n v="271.14529347899997"/>
    <n v="45.190882246499996"/>
    <n v="462.70527897440275"/>
    <n v="308.47018598293516"/>
  </r>
  <r>
    <s v="05/06/2026"/>
    <s v="E"/>
    <s v="[1062] RAMGADH"/>
    <s v="[8401] DURGAWATI"/>
    <x v="62"/>
    <x v="62"/>
    <x v="62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05/06/2026"/>
    <s v="E"/>
    <s v="[1062] RAMGADH"/>
    <s v="[8401] DURGAWATI"/>
    <x v="62"/>
    <x v="62"/>
    <x v="6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6/06/2026"/>
    <s v="M"/>
    <s v="[1062] RAMGADH"/>
    <s v="[8401] DURGAWATI"/>
    <x v="62"/>
    <x v="62"/>
    <x v="62"/>
    <s v="B"/>
    <n v="34"/>
    <n v="7.8"/>
    <n v="8.8000000000000007"/>
    <n v="2.6519999999999997"/>
    <n v="2.9920000000000004"/>
    <n v="64.478699999999989"/>
    <n v="2192.2757999999994"/>
    <n v="471.7953658536585"/>
    <n v="314.530243902439"/>
    <n v="38.364826499999992"/>
    <n v="127.5"/>
    <n v="2358.1406264999996"/>
    <n v="69.357077249999989"/>
    <n v="507.49080914634141"/>
    <n v="338.32720609756092"/>
  </r>
  <r>
    <s v="06/06/2026"/>
    <s v="E"/>
    <s v="[1062] RAMGADH"/>
    <s v="[8401] DURGAWATI"/>
    <x v="62"/>
    <x v="62"/>
    <x v="62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06/06/2026"/>
    <s v="E"/>
    <s v="[1062] RAMGADH"/>
    <s v="[8401] DURGAWATI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7/06/2026"/>
    <s v="M"/>
    <s v="[1062] RAMGADH"/>
    <s v="[8401] DURGAWATI"/>
    <x v="62"/>
    <x v="62"/>
    <x v="62"/>
    <s v="B"/>
    <n v="31"/>
    <n v="7.9"/>
    <n v="9"/>
    <n v="2.4489999999999998"/>
    <n v="2.79"/>
    <n v="65.965000000000003"/>
    <n v="2044.9150000000002"/>
    <n v="474.56834532374097"/>
    <n v="316.37889688249396"/>
    <n v="35.786012500000005"/>
    <n v="116.25"/>
    <n v="2196.9510125000002"/>
    <n v="70.869387500000002"/>
    <n v="509.85170863309349"/>
    <n v="339.901139088729"/>
  </r>
  <r>
    <s v="07/06/2026"/>
    <s v="M"/>
    <s v="[1062] RAMGADH"/>
    <s v="[8401] DURGAWATI"/>
    <x v="62"/>
    <x v="62"/>
    <x v="62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07/06/2026"/>
    <s v="E"/>
    <s v="[1062] RAMGADH"/>
    <s v="[8401] DURGAWATI"/>
    <x v="62"/>
    <x v="62"/>
    <x v="62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7/06/2026"/>
    <s v="E"/>
    <s v="[1062] RAMGADH"/>
    <s v="[8401] DURGAWATI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8/06/2026"/>
    <s v="M"/>
    <s v="[1062] RAMGADH"/>
    <s v="[8401] DURGAWATI"/>
    <x v="62"/>
    <x v="62"/>
    <x v="62"/>
    <s v="B"/>
    <n v="40"/>
    <n v="7.4"/>
    <n v="8.8000000000000007"/>
    <n v="2.96"/>
    <n v="3.52"/>
    <n v="61.172100000000007"/>
    <n v="2446.8840000000005"/>
    <n v="461.09623115577887"/>
    <n v="307.39748743718593"/>
    <n v="42.820470000000014"/>
    <n v="150"/>
    <n v="2639.7044700000006"/>
    <n v="65.992611750000009"/>
    <n v="497.43174685929648"/>
    <n v="331.6211645728643"/>
  </r>
  <r>
    <s v="08/06/2026"/>
    <s v="M"/>
    <s v="[1062] RAMGADH"/>
    <s v="[8401] DURGAWATI"/>
    <x v="62"/>
    <x v="62"/>
    <x v="62"/>
    <s v="C"/>
    <n v="33"/>
    <n v="3.8"/>
    <n v="8.1"/>
    <n v="1.254"/>
    <n v="2.673"/>
    <n v="38.365125900000002"/>
    <n v="1266.0491547000001"/>
    <n v="417.01223804347831"/>
    <n v="278.00815869565218"/>
    <n v="22.155860207250004"/>
    <n v="123.75"/>
    <n v="1411.9550149072502"/>
    <n v="42.786515603250002"/>
    <n v="465.07082177445653"/>
    <n v="310.04721451630434"/>
  </r>
  <r>
    <s v="08/06/2026"/>
    <s v="E"/>
    <s v="[1062] RAMGADH"/>
    <s v="[8401] DURGAWATI"/>
    <x v="62"/>
    <x v="62"/>
    <x v="62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8/06/2026"/>
    <s v="E"/>
    <s v="[1062] RAMGADH"/>
    <s v="[8401] DURGAWATI"/>
    <x v="62"/>
    <x v="62"/>
    <x v="62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9/06/2026"/>
    <s v="M"/>
    <s v="[1062] RAMGADH"/>
    <s v="[8401] DURGAWATI"/>
    <x v="62"/>
    <x v="62"/>
    <x v="62"/>
    <s v="B"/>
    <n v="40"/>
    <n v="7.7"/>
    <n v="8.8000000000000007"/>
    <n v="3.08"/>
    <n v="3.52"/>
    <n v="63.652050000000003"/>
    <n v="2546.0820000000003"/>
    <n v="469.17972972972979"/>
    <n v="312.78648648648652"/>
    <n v="44.556435000000008"/>
    <n v="150"/>
    <n v="2740.6384350000003"/>
    <n v="68.515960875000005"/>
    <n v="505.03165264127773"/>
    <n v="336.68776842751851"/>
  </r>
  <r>
    <s v="09/06/2026"/>
    <s v="M"/>
    <s v="[1062] RAMGADH"/>
    <s v="[8401] DURGAWATI"/>
    <x v="62"/>
    <x v="62"/>
    <x v="62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09/06/2026"/>
    <s v="E"/>
    <s v="[1062] RAMGADH"/>
    <s v="[8401] DURGAWATI"/>
    <x v="62"/>
    <x v="62"/>
    <x v="62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09/06/2026"/>
    <s v="E"/>
    <s v="[1062] RAMGADH"/>
    <s v="[8401] DURGAWATI"/>
    <x v="62"/>
    <x v="62"/>
    <x v="62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10/06/2026"/>
    <s v="M"/>
    <s v="[1062] RAMGADH"/>
    <s v="[8401] DURGAWATI"/>
    <x v="62"/>
    <x v="62"/>
    <x v="62"/>
    <s v="B"/>
    <n v="31"/>
    <n v="7.9"/>
    <n v="8.8000000000000007"/>
    <n v="2.4489999999999998"/>
    <n v="2.7280000000000002"/>
    <n v="65.305350000000004"/>
    <n v="2024.46585"/>
    <n v="474.37300242130755"/>
    <n v="316.2486682808717"/>
    <n v="35.428152375000003"/>
    <n v="116.25"/>
    <n v="2176.1440023750001"/>
    <n v="70.198193625000002"/>
    <n v="509.9142394067797"/>
    <n v="339.94282627118645"/>
  </r>
  <r>
    <s v="10/06/2026"/>
    <s v="M"/>
    <s v="[1062] RAMGADH"/>
    <s v="[8401] DURGAWATI"/>
    <x v="62"/>
    <x v="62"/>
    <x v="62"/>
    <s v="C"/>
    <n v="19"/>
    <n v="3.8"/>
    <n v="8.1"/>
    <n v="0.72199999999999998"/>
    <n v="1.5390000000000001"/>
    <n v="38.365125900000002"/>
    <n v="728.93739210000001"/>
    <n v="417.01223804347831"/>
    <n v="278.00815869565218"/>
    <n v="12.756404361750002"/>
    <n v="71.25"/>
    <n v="812.94379646175003"/>
    <n v="42.786515603250002"/>
    <n v="465.07082177445653"/>
    <n v="310.04721451630434"/>
  </r>
  <r>
    <s v="10/06/2026"/>
    <s v="E"/>
    <s v="[1062] RAMGADH"/>
    <s v="[8401] DURGAWATI"/>
    <x v="62"/>
    <x v="62"/>
    <x v="62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10/06/2026"/>
    <s v="E"/>
    <s v="[1062] RAMGADH"/>
    <s v="[8401] DURGAWATI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11/06/2026"/>
    <s v="M"/>
    <s v="[1062] RAMGADH"/>
    <s v="[8401] DURGAWATI"/>
    <x v="62"/>
    <x v="62"/>
    <x v="62"/>
    <s v="B"/>
    <n v="40"/>
    <n v="7.7"/>
    <n v="8.8000000000000007"/>
    <n v="3.08"/>
    <n v="3.52"/>
    <n v="63.652050000000003"/>
    <n v="2546.0820000000003"/>
    <n v="469.17972972972979"/>
    <n v="312.78648648648652"/>
    <n v="44.556435000000008"/>
    <n v="150"/>
    <n v="2740.6384350000003"/>
    <n v="68.515960875000005"/>
    <n v="505.03165264127773"/>
    <n v="336.68776842751851"/>
  </r>
  <r>
    <s v="11/06/2026"/>
    <s v="M"/>
    <s v="[1062] RAMGADH"/>
    <s v="[8401] DURGAWATI"/>
    <x v="62"/>
    <x v="62"/>
    <x v="62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11/06/2026"/>
    <s v="E"/>
    <s v="[1062] RAMGADH"/>
    <s v="[8401] DURGAWATI"/>
    <x v="62"/>
    <x v="62"/>
    <x v="62"/>
    <s v="B"/>
    <n v="37"/>
    <n v="6"/>
    <n v="8.8000000000000007"/>
    <n v="2.2200000000000002"/>
    <n v="3.2560000000000002"/>
    <n v="49.599000000000004"/>
    <n v="1835.1630000000002"/>
    <n v="417.96910112359552"/>
    <n v="278.64606741573033"/>
    <n v="32.115352500000007"/>
    <n v="138.75"/>
    <n v="2006.0283525000002"/>
    <n v="54.216982500000007"/>
    <n v="456.8846839887641"/>
    <n v="304.58978932584273"/>
  </r>
  <r>
    <s v="11/06/2026"/>
    <s v="E"/>
    <s v="[1062] RAMGADH"/>
    <s v="[8401] DURGAWATI"/>
    <x v="62"/>
    <x v="62"/>
    <x v="62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6/2026"/>
    <s v="M"/>
    <s v="[1062] RAMGADH"/>
    <s v="[8404] CHANDESH"/>
    <x v="63"/>
    <x v="63"/>
    <x v="63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5/06/2026"/>
    <s v="E"/>
    <s v="[1062] RAMGADH"/>
    <s v="[8404] CHANDESH"/>
    <x v="63"/>
    <x v="63"/>
    <x v="63"/>
    <s v="C"/>
    <n v="28"/>
    <n v="4.0999999999999996"/>
    <n v="8.1"/>
    <n v="1.1479999999999999"/>
    <n v="2.2679999999999998"/>
    <n v="39.6161259"/>
    <n v="1109.2515252000001"/>
    <n v="417.01185157894736"/>
    <n v="278.00790105263155"/>
    <n v="19.411901691000004"/>
    <n v="105"/>
    <n v="1233.663426891"/>
    <n v="44.05940810325"/>
    <n v="463.78324319210526"/>
    <n v="309.18882879473682"/>
  </r>
  <r>
    <s v="06/06/2026"/>
    <s v="M"/>
    <s v="[1062] RAMGADH"/>
    <s v="[8404] CHANDESH"/>
    <x v="63"/>
    <x v="63"/>
    <x v="63"/>
    <s v="C"/>
    <n v="26"/>
    <n v="3.4"/>
    <n v="8.1"/>
    <n v="0.8839999999999999"/>
    <n v="2.1059999999999999"/>
    <n v="36.697125900000003"/>
    <n v="954.12527340000008"/>
    <n v="417.01279431818188"/>
    <n v="278.00852954545456"/>
    <n v="16.697192284500002"/>
    <n v="97.5"/>
    <n v="1068.3224656845"/>
    <n v="41.089325603250003"/>
    <n v="466.92415458238645"/>
    <n v="311.28276972159097"/>
  </r>
  <r>
    <s v="06/06/2026"/>
    <s v="E"/>
    <s v="[1062] RAMGADH"/>
    <s v="[8404] CHANDESH"/>
    <x v="63"/>
    <x v="63"/>
    <x v="63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06/06/2026"/>
    <s v="E"/>
    <s v="[1062] RAMGADH"/>
    <s v="[8404] CHANDESH"/>
    <x v="63"/>
    <x v="63"/>
    <x v="63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7/06/2026"/>
    <s v="M"/>
    <s v="[1062] RAMGADH"/>
    <s v="[8404] CHANDESH"/>
    <x v="63"/>
    <x v="63"/>
    <x v="63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6/2026"/>
    <s v="M"/>
    <s v="[1062] RAMGADH"/>
    <s v="[8404] CHANDESH"/>
    <x v="63"/>
    <x v="63"/>
    <x v="63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7/06/2026"/>
    <s v="E"/>
    <s v="[1062] RAMGADH"/>
    <s v="[8404] CHANDESH"/>
    <x v="63"/>
    <x v="63"/>
    <x v="63"/>
    <s v="B"/>
    <n v="12"/>
    <n v="6.3"/>
    <n v="8.8000000000000007"/>
    <n v="0.75599999999999989"/>
    <n v="1.056"/>
    <n v="52.078949999999999"/>
    <n v="624.94740000000002"/>
    <n v="428.04616438356163"/>
    <n v="285.36410958904111"/>
    <n v="10.936579500000001"/>
    <n v="45"/>
    <n v="680.88397950000001"/>
    <n v="56.740331625000003"/>
    <n v="466.35889006849317"/>
    <n v="310.90592671232878"/>
  </r>
  <r>
    <s v="07/06/2026"/>
    <s v="E"/>
    <s v="[1062] RAMGADH"/>
    <s v="[8404] CHANDESH"/>
    <x v="63"/>
    <x v="63"/>
    <x v="63"/>
    <s v="C"/>
    <n v="39"/>
    <n v="3"/>
    <n v="8.1"/>
    <n v="1.17"/>
    <n v="3.1589999999999998"/>
    <n v="35.029125900000004"/>
    <n v="1366.1359101"/>
    <n v="417.01340357142868"/>
    <n v="278.00893571428577"/>
    <n v="23.907378426750004"/>
    <n v="146.25"/>
    <n v="1536.2932885267501"/>
    <n v="39.392135603250004"/>
    <n v="468.9539952767858"/>
    <n v="312.63599685119055"/>
  </r>
  <r>
    <s v="08/06/2026"/>
    <s v="M"/>
    <s v="[1062] RAMGADH"/>
    <s v="[8404] CHANDESH"/>
    <x v="63"/>
    <x v="63"/>
    <x v="63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08/06/2026"/>
    <s v="M"/>
    <s v="[1062] RAMGADH"/>
    <s v="[8404] CHANDESH"/>
    <x v="63"/>
    <x v="63"/>
    <x v="63"/>
    <s v="C"/>
    <n v="40"/>
    <n v="3.4"/>
    <n v="8.1999999999999993"/>
    <n v="1.36"/>
    <n v="3.28"/>
    <n v="36.975139800000001"/>
    <n v="1479.005592"/>
    <n v="417.01285488721805"/>
    <n v="278.00856992481204"/>
    <n v="25.882597860000001"/>
    <n v="150"/>
    <n v="1654.88818986"/>
    <n v="41.372204746500003"/>
    <n v="466.60381293045111"/>
    <n v="311.06920862030074"/>
  </r>
  <r>
    <s v="08/06/2026"/>
    <s v="E"/>
    <s v="[1062] RAMGADH"/>
    <s v="[8404] CHANDESH"/>
    <x v="63"/>
    <x v="63"/>
    <x v="63"/>
    <s v="B"/>
    <n v="19"/>
    <n v="6"/>
    <n v="8.8000000000000007"/>
    <n v="1.1399999999999999"/>
    <n v="1.6720000000000002"/>
    <n v="49.599000000000004"/>
    <n v="942.38100000000009"/>
    <n v="417.96910112359552"/>
    <n v="278.64606741573033"/>
    <n v="16.491667500000002"/>
    <n v="71.25"/>
    <n v="1030.1226675"/>
    <n v="54.2169825"/>
    <n v="456.88468398876404"/>
    <n v="304.58978932584267"/>
  </r>
  <r>
    <s v="08/06/2026"/>
    <s v="E"/>
    <s v="[1062] RAMGADH"/>
    <s v="[8404] CHANDESH"/>
    <x v="63"/>
    <x v="63"/>
    <x v="63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6/2026"/>
    <s v="M"/>
    <s v="[1062] RAMGADH"/>
    <s v="[8404] CHANDESH"/>
    <x v="63"/>
    <x v="63"/>
    <x v="63"/>
    <s v="C"/>
    <n v="41"/>
    <n v="4.2"/>
    <n v="8.1999999999999993"/>
    <n v="1.7220000000000002"/>
    <n v="3.3620000000000001"/>
    <n v="40.311139799999999"/>
    <n v="1652.7567317999999"/>
    <n v="417.01179103448277"/>
    <n v="278.00786068965516"/>
    <n v="28.923242806499999"/>
    <n v="153.75"/>
    <n v="1835.4299746064999"/>
    <n v="44.766584746499994"/>
    <n v="463.102600825862"/>
    <n v="308.73506721724135"/>
  </r>
  <r>
    <s v="09/06/2026"/>
    <s v="E"/>
    <s v="[1062] RAMGADH"/>
    <s v="[8404] CHANDESH"/>
    <x v="63"/>
    <x v="63"/>
    <x v="63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9/06/2026"/>
    <s v="E"/>
    <s v="[1062] RAMGADH"/>
    <s v="[8404] CHANDESH"/>
    <x v="63"/>
    <x v="63"/>
    <x v="6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0/06/2026"/>
    <s v="M"/>
    <s v="[1062] RAMGADH"/>
    <s v="[8404] CHANDESH"/>
    <x v="63"/>
    <x v="63"/>
    <x v="63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0/06/2026"/>
    <s v="M"/>
    <s v="[1062] RAMGADH"/>
    <s v="[8404] CHANDESH"/>
    <x v="63"/>
    <x v="63"/>
    <x v="63"/>
    <s v="C"/>
    <n v="31"/>
    <n v="3.4"/>
    <n v="8.1"/>
    <n v="1.0539999999999998"/>
    <n v="2.5110000000000001"/>
    <n v="36.697125900000003"/>
    <n v="1137.6109029000002"/>
    <n v="417.01279431818188"/>
    <n v="278.00852954545456"/>
    <n v="19.908190800750006"/>
    <n v="116.25"/>
    <n v="1273.7690937007501"/>
    <n v="41.089325603250003"/>
    <n v="466.92415458238645"/>
    <n v="311.28276972159097"/>
  </r>
  <r>
    <s v="10/06/2026"/>
    <s v="E"/>
    <s v="[1062] RAMGADH"/>
    <s v="[8404] CHANDESH"/>
    <x v="63"/>
    <x v="63"/>
    <x v="63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0/06/2026"/>
    <s v="E"/>
    <s v="[1062] RAMGADH"/>
    <s v="[8404] CHANDESH"/>
    <x v="63"/>
    <x v="63"/>
    <x v="63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1/06/2026"/>
    <s v="M"/>
    <s v="[1062] RAMGADH"/>
    <s v="[8404] CHANDESH"/>
    <x v="63"/>
    <x v="63"/>
    <x v="63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11/06/2026"/>
    <s v="M"/>
    <s v="[1062] RAMGADH"/>
    <s v="[8404] CHANDESH"/>
    <x v="63"/>
    <x v="63"/>
    <x v="63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11/06/2026"/>
    <s v="E"/>
    <s v="[1062] RAMGADH"/>
    <s v="[8404] CHANDESH"/>
    <x v="63"/>
    <x v="63"/>
    <x v="63"/>
    <s v="B"/>
    <n v="21"/>
    <n v="5.7"/>
    <n v="8.5"/>
    <n v="1.1970000000000001"/>
    <n v="1.7849999999999999"/>
    <n v="46.167149999999999"/>
    <n v="969.51014999999995"/>
    <n v="406.16260997067451"/>
    <n v="270.77507331378303"/>
    <n v="16.966427625000001"/>
    <n v="78.75"/>
    <n v="1065.2265776249999"/>
    <n v="50.725075124999996"/>
    <n v="446.2616579912023"/>
    <n v="297.50777199413488"/>
  </r>
  <r>
    <s v="11/06/2026"/>
    <s v="E"/>
    <s v="[1062] RAMGADH"/>
    <s v="[8404] CHANDESH"/>
    <x v="63"/>
    <x v="63"/>
    <x v="6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6/2026"/>
    <s v="M"/>
    <s v="[1062] RAMGADH"/>
    <s v="[8404] CHANDESH"/>
    <x v="64"/>
    <x v="64"/>
    <x v="64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5/06/2026"/>
    <s v="M"/>
    <s v="[1062] RAMGADH"/>
    <s v="[8404] CHANDESH"/>
    <x v="64"/>
    <x v="64"/>
    <x v="64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05/06/2026"/>
    <s v="E"/>
    <s v="[1062] RAMGADH"/>
    <s v="[8404] CHANDESH"/>
    <x v="64"/>
    <x v="64"/>
    <x v="64"/>
    <s v="B"/>
    <n v="9"/>
    <n v="7.6"/>
    <n v="8.8000000000000007"/>
    <n v="0.68399999999999994"/>
    <n v="0.79200000000000004"/>
    <n v="62.825400000000002"/>
    <n v="565.42859999999996"/>
    <n v="466.5252475247525"/>
    <n v="311.01683168316833"/>
    <n v="9.8950005000000001"/>
    <n v="33.75"/>
    <n v="609.0736005"/>
    <n v="67.674844500000006"/>
    <n v="502.53597400990105"/>
    <n v="335.02398267326737"/>
  </r>
  <r>
    <s v="05/06/2026"/>
    <s v="E"/>
    <s v="[1062] RAMGADH"/>
    <s v="[8404] CHANDESH"/>
    <x v="64"/>
    <x v="64"/>
    <x v="64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06/06/2026"/>
    <s v="M"/>
    <s v="[1062] RAMGADH"/>
    <s v="[8404] CHANDESH"/>
    <x v="64"/>
    <x v="64"/>
    <x v="64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06/06/2026"/>
    <s v="M"/>
    <s v="[1062] RAMGADH"/>
    <s v="[8404] CHANDESH"/>
    <x v="64"/>
    <x v="64"/>
    <x v="64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06/06/2026"/>
    <s v="E"/>
    <s v="[1062] RAMGADH"/>
    <s v="[8404] CHANDESH"/>
    <x v="64"/>
    <x v="64"/>
    <x v="64"/>
    <s v="B"/>
    <n v="13"/>
    <n v="6.4"/>
    <n v="8.8000000000000007"/>
    <n v="0.83200000000000007"/>
    <n v="1.1440000000000001"/>
    <n v="52.9056"/>
    <n v="687.77279999999996"/>
    <n v="431.29565217391303"/>
    <n v="287.53043478260867"/>
    <n v="12.036024000000001"/>
    <n v="48.75"/>
    <n v="748.55882399999996"/>
    <n v="57.581447999999995"/>
    <n v="469.4139782608695"/>
    <n v="312.94265217391302"/>
  </r>
  <r>
    <s v="06/06/2026"/>
    <s v="E"/>
    <s v="[1062] RAMGADH"/>
    <s v="[8404] CHANDESH"/>
    <x v="64"/>
    <x v="64"/>
    <x v="64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7/06/2026"/>
    <s v="M"/>
    <s v="[1062] RAMGADH"/>
    <s v="[8404] CHANDESH"/>
    <x v="64"/>
    <x v="64"/>
    <x v="64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7/06/2026"/>
    <s v="M"/>
    <s v="[1062] RAMGADH"/>
    <s v="[8404] CHANDESH"/>
    <x v="64"/>
    <x v="64"/>
    <x v="64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07/06/2026"/>
    <s v="E"/>
    <s v="[1062] RAMGADH"/>
    <s v="[8404] CHANDESH"/>
    <x v="64"/>
    <x v="64"/>
    <x v="64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07/06/2026"/>
    <s v="E"/>
    <s v="[1062] RAMGADH"/>
    <s v="[8404] CHANDESH"/>
    <x v="64"/>
    <x v="64"/>
    <x v="64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08/06/2026"/>
    <s v="M"/>
    <s v="[1062] RAMGADH"/>
    <s v="[8404] CHANDESH"/>
    <x v="64"/>
    <x v="64"/>
    <x v="64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8/06/2026"/>
    <s v="M"/>
    <s v="[1062] RAMGADH"/>
    <s v="[8404] CHANDESH"/>
    <x v="64"/>
    <x v="64"/>
    <x v="64"/>
    <s v="C"/>
    <n v="32"/>
    <n v="3.4"/>
    <n v="8.1"/>
    <n v="1.0880000000000001"/>
    <n v="2.5920000000000001"/>
    <n v="36.697125900000003"/>
    <n v="1174.3080288000001"/>
    <n v="417.01279431818188"/>
    <n v="278.00852954545456"/>
    <n v="20.550390504000003"/>
    <n v="120"/>
    <n v="1314.8584193040001"/>
    <n v="41.089325603250003"/>
    <n v="466.92415458238645"/>
    <n v="311.28276972159097"/>
  </r>
  <r>
    <s v="08/06/2026"/>
    <s v="E"/>
    <s v="[1062] RAMGADH"/>
    <s v="[8404] CHANDESH"/>
    <x v="64"/>
    <x v="64"/>
    <x v="64"/>
    <s v="B"/>
    <n v="9"/>
    <n v="7.7"/>
    <n v="9"/>
    <n v="0.69299999999999995"/>
    <n v="0.81"/>
    <n v="64.295000000000002"/>
    <n v="578.65499999999997"/>
    <n v="469.30656934306569"/>
    <n v="312.87104622871044"/>
    <n v="10.126462500000001"/>
    <n v="33.75"/>
    <n v="622.53146249999998"/>
    <n v="69.170162500000004"/>
    <n v="504.89169708029198"/>
    <n v="336.59446472019465"/>
  </r>
  <r>
    <s v="08/06/2026"/>
    <s v="E"/>
    <s v="[1062] RAMGADH"/>
    <s v="[8404] CHANDESH"/>
    <x v="64"/>
    <x v="64"/>
    <x v="64"/>
    <s v="C"/>
    <n v="31"/>
    <n v="3.3"/>
    <n v="8.1999999999999993"/>
    <n v="1.0229999999999999"/>
    <n v="2.5419999999999998"/>
    <n v="36.558139799999999"/>
    <n v="1133.3023338"/>
    <n v="417.0130015209125"/>
    <n v="278.00866768060831"/>
    <n v="19.832790841500003"/>
    <n v="116.25"/>
    <n v="1269.3851246415002"/>
    <n v="40.947907246500009"/>
    <n v="467.08639444676817"/>
    <n v="311.39092963117878"/>
  </r>
  <r>
    <s v="09/06/2026"/>
    <s v="M"/>
    <s v="[1062] RAMGADH"/>
    <s v="[8404] CHANDESH"/>
    <x v="64"/>
    <x v="64"/>
    <x v="64"/>
    <s v="B"/>
    <n v="7"/>
    <n v="7.2"/>
    <n v="8.8000000000000007"/>
    <n v="0.504"/>
    <n v="0.6160000000000001"/>
    <n v="59.518800000000006"/>
    <n v="416.63160000000005"/>
    <n v="455.50102040816324"/>
    <n v="303.66734693877549"/>
    <n v="7.2910530000000016"/>
    <n v="26.25"/>
    <n v="450.17265300000008"/>
    <n v="64.310379000000012"/>
    <n v="492.17126785714288"/>
    <n v="328.11417857142857"/>
  </r>
  <r>
    <s v="09/06/2026"/>
    <s v="M"/>
    <s v="[1062] RAMGADH"/>
    <s v="[8404] CHANDESH"/>
    <x v="64"/>
    <x v="64"/>
    <x v="64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9/06/2026"/>
    <s v="E"/>
    <s v="[1062] RAMGADH"/>
    <s v="[8404] CHANDESH"/>
    <x v="64"/>
    <x v="64"/>
    <x v="64"/>
    <s v="B"/>
    <n v="8"/>
    <n v="7.7"/>
    <n v="8.8000000000000007"/>
    <n v="0.61599999999999999"/>
    <n v="0.70400000000000007"/>
    <n v="63.652050000000003"/>
    <n v="509.21640000000002"/>
    <n v="469.17972972972979"/>
    <n v="312.78648648648652"/>
    <n v="8.9112870000000015"/>
    <n v="30"/>
    <n v="548.12768700000004"/>
    <n v="68.515960875000005"/>
    <n v="505.03165264127773"/>
    <n v="336.68776842751851"/>
  </r>
  <r>
    <s v="09/06/2026"/>
    <s v="E"/>
    <s v="[1062] RAMGADH"/>
    <s v="[8404] CHANDESH"/>
    <x v="64"/>
    <x v="64"/>
    <x v="64"/>
    <s v="C"/>
    <n v="33"/>
    <n v="3.6"/>
    <n v="8.1"/>
    <n v="1.1879999999999999"/>
    <n v="2.673"/>
    <n v="37.531125900000006"/>
    <n v="1238.5271547000002"/>
    <n v="417.01251000000008"/>
    <n v="278.00834000000003"/>
    <n v="21.674225207250007"/>
    <n v="123.75"/>
    <n v="1383.9513799072502"/>
    <n v="41.937920603250006"/>
    <n v="465.97689559166673"/>
    <n v="310.6512637277778"/>
  </r>
  <r>
    <s v="10/06/2026"/>
    <s v="M"/>
    <s v="[1062] RAMGADH"/>
    <s v="[8404] CHANDESH"/>
    <x v="64"/>
    <x v="64"/>
    <x v="64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10/06/2026"/>
    <s v="M"/>
    <s v="[1062] RAMGADH"/>
    <s v="[8404] CHANDESH"/>
    <x v="64"/>
    <x v="64"/>
    <x v="64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0/06/2026"/>
    <s v="E"/>
    <s v="[1062] RAMGADH"/>
    <s v="[8404] CHANDESH"/>
    <x v="64"/>
    <x v="64"/>
    <x v="64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10/06/2026"/>
    <s v="E"/>
    <s v="[1062] RAMGADH"/>
    <s v="[8404] CHANDESH"/>
    <x v="64"/>
    <x v="64"/>
    <x v="64"/>
    <s v="C"/>
    <n v="37"/>
    <n v="3.3"/>
    <n v="8.1"/>
    <n v="1.2209999999999999"/>
    <n v="2.9969999999999999"/>
    <n v="36.280125900000002"/>
    <n v="1342.3646583"/>
    <n v="417.0129413793104"/>
    <n v="278.00862758620696"/>
    <n v="23.491381520250002"/>
    <n v="138.75"/>
    <n v="1504.6060398202499"/>
    <n v="40.665028103249995"/>
    <n v="467.41411612931034"/>
    <n v="311.60941075287354"/>
  </r>
  <r>
    <s v="11/06/2026"/>
    <s v="M"/>
    <s v="[1062] RAMGADH"/>
    <s v="[8404] CHANDESH"/>
    <x v="64"/>
    <x v="64"/>
    <x v="64"/>
    <s v="B"/>
    <n v="11"/>
    <n v="7.1"/>
    <n v="8.8000000000000007"/>
    <n v="0.78099999999999992"/>
    <n v="0.96800000000000008"/>
    <n v="58.692149999999998"/>
    <n v="645.61365000000001"/>
    <n v="452.63868894601546"/>
    <n v="301.75912596401031"/>
    <n v="11.298238875000001"/>
    <n v="41.25"/>
    <n v="698.16188887500005"/>
    <n v="63.469262625000006"/>
    <n v="489.48017448586126"/>
    <n v="326.32011632390748"/>
  </r>
  <r>
    <s v="11/06/2026"/>
    <s v="M"/>
    <s v="[1062] RAMGADH"/>
    <s v="[8404] CHANDESH"/>
    <x v="64"/>
    <x v="64"/>
    <x v="64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11/06/2026"/>
    <s v="E"/>
    <s v="[1062] RAMGADH"/>
    <s v="[8404] CHANDESH"/>
    <x v="64"/>
    <x v="64"/>
    <x v="64"/>
    <s v="B"/>
    <n v="7"/>
    <n v="7.8"/>
    <n v="8.8000000000000007"/>
    <n v="0.54600000000000004"/>
    <n v="0.6160000000000001"/>
    <n v="64.478699999999989"/>
    <n v="451.35089999999991"/>
    <n v="471.7953658536585"/>
    <n v="314.530243902439"/>
    <n v="7.8986407499999993"/>
    <n v="26.25"/>
    <n v="485.49954074999994"/>
    <n v="69.357077249999989"/>
    <n v="507.49080914634141"/>
    <n v="338.32720609756092"/>
  </r>
  <r>
    <s v="11/06/2026"/>
    <s v="E"/>
    <s v="[1062] RAMGADH"/>
    <s v="[8404] CHANDESH"/>
    <x v="64"/>
    <x v="64"/>
    <x v="64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5/06/2026"/>
    <s v="M"/>
    <s v="[1062] RAMGADH"/>
    <s v="[8404] CHANDESH"/>
    <x v="65"/>
    <x v="65"/>
    <x v="65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5/06/2026"/>
    <s v="E"/>
    <s v="[1062] RAMGADH"/>
    <s v="[8404] CHANDESH"/>
    <x v="65"/>
    <x v="65"/>
    <x v="65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05/06/2026"/>
    <s v="E"/>
    <s v="[1062] RAMGADH"/>
    <s v="[8404] CHANDESH"/>
    <x v="65"/>
    <x v="65"/>
    <x v="65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6/06/2026"/>
    <s v="M"/>
    <s v="[1062] RAMGADH"/>
    <s v="[8404] CHANDESH"/>
    <x v="65"/>
    <x v="65"/>
    <x v="65"/>
    <s v="C"/>
    <n v="12"/>
    <n v="4.5999999999999996"/>
    <n v="8.1"/>
    <n v="0.55199999999999994"/>
    <n v="0.97199999999999986"/>
    <n v="41.701125900000001"/>
    <n v="500.41351080000004"/>
    <n v="417.011259"/>
    <n v="278.00750599999998"/>
    <n v="8.7572364390000015"/>
    <n v="45"/>
    <n v="554.17074723900009"/>
    <n v="46.180895603250008"/>
    <n v="461.80895603250008"/>
    <n v="307.87263735500005"/>
  </r>
  <r>
    <s v="06/06/2026"/>
    <s v="E"/>
    <s v="[1062] RAMGADH"/>
    <s v="[8404] CHANDESH"/>
    <x v="65"/>
    <x v="65"/>
    <x v="65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06/06/2026"/>
    <s v="E"/>
    <s v="[1062] RAMGADH"/>
    <s v="[8404] CHANDESH"/>
    <x v="65"/>
    <x v="65"/>
    <x v="65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07/06/2026"/>
    <s v="M"/>
    <s v="[1062] RAMGADH"/>
    <s v="[8404] CHANDESH"/>
    <x v="65"/>
    <x v="65"/>
    <x v="65"/>
    <s v="C"/>
    <n v="14"/>
    <n v="5.2"/>
    <n v="8.1999999999999993"/>
    <n v="0.72799999999999998"/>
    <n v="1.1479999999999999"/>
    <n v="44.481139800000001"/>
    <n v="622.73595720000003"/>
    <n v="417.01068562500006"/>
    <n v="278.00712375000006"/>
    <n v="10.897879251000001"/>
    <n v="52.5"/>
    <n v="686.13383645099998"/>
    <n v="49.009559746499995"/>
    <n v="459.46462262343749"/>
    <n v="306.30974841562499"/>
  </r>
  <r>
    <s v="07/06/2026"/>
    <s v="E"/>
    <s v="[1062] RAMGADH"/>
    <s v="[8404] CHANDESH"/>
    <x v="65"/>
    <x v="65"/>
    <x v="65"/>
    <s v="B"/>
    <n v="27"/>
    <n v="6.4"/>
    <n v="8.4"/>
    <n v="1.7280000000000002"/>
    <n v="2.2680000000000002"/>
    <n v="51.836799999999997"/>
    <n v="1399.5935999999999"/>
    <n v="431.9733333333333"/>
    <n v="287.98222222222222"/>
    <n v="24.492888000000001"/>
    <n v="101.25"/>
    <n v="1525.3364879999999"/>
    <n v="56.493943999999999"/>
    <n v="470.78286666666668"/>
    <n v="313.85524444444445"/>
  </r>
  <r>
    <s v="08/06/2026"/>
    <s v="M"/>
    <s v="[1062] RAMGADH"/>
    <s v="[8404] CHANDESH"/>
    <x v="65"/>
    <x v="65"/>
    <x v="65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8/06/2026"/>
    <s v="E"/>
    <s v="[1062] RAMGADH"/>
    <s v="[8404] CHANDESH"/>
    <x v="65"/>
    <x v="65"/>
    <x v="65"/>
    <s v="B"/>
    <n v="10"/>
    <n v="8.5"/>
    <n v="9"/>
    <n v="0.85"/>
    <n v="0.9"/>
    <n v="70.975000000000009"/>
    <n v="709.75000000000011"/>
    <n v="489.48275862068965"/>
    <n v="326.32183908045977"/>
    <n v="12.420625000000003"/>
    <n v="37.5"/>
    <n v="759.67062500000009"/>
    <n v="75.967062500000011"/>
    <n v="523.91077586206893"/>
    <n v="349.27385057471264"/>
  </r>
  <r>
    <s v="08/06/2026"/>
    <s v="E"/>
    <s v="[1062] RAMGADH"/>
    <s v="[8404] CHANDESH"/>
    <x v="65"/>
    <x v="65"/>
    <x v="6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9/06/2026"/>
    <s v="M"/>
    <s v="[1062] RAMGADH"/>
    <s v="[8404] CHANDESH"/>
    <x v="65"/>
    <x v="65"/>
    <x v="65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09/06/2026"/>
    <s v="E"/>
    <s v="[1062] RAMGADH"/>
    <s v="[8404] CHANDESH"/>
    <x v="65"/>
    <x v="65"/>
    <x v="65"/>
    <s v="B"/>
    <n v="16"/>
    <n v="8"/>
    <n v="9"/>
    <n v="1.28"/>
    <n v="1.44"/>
    <n v="66.8"/>
    <n v="1068.8"/>
    <n v="477.14285714285705"/>
    <n v="318.09523809523802"/>
    <n v="18.704000000000001"/>
    <n v="60"/>
    <n v="1147.5039999999999"/>
    <n v="71.718999999999994"/>
    <n v="512.27857142857135"/>
    <n v="341.51904761904757"/>
  </r>
  <r>
    <s v="09/06/2026"/>
    <s v="E"/>
    <s v="[1062] RAMGADH"/>
    <s v="[8404] CHANDESH"/>
    <x v="65"/>
    <x v="65"/>
    <x v="65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10/06/2026"/>
    <s v="M"/>
    <s v="[1062] RAMGADH"/>
    <s v="[8404] CHANDESH"/>
    <x v="65"/>
    <x v="65"/>
    <x v="65"/>
    <s v="C"/>
    <n v="12"/>
    <n v="4.8"/>
    <n v="8.4"/>
    <n v="0.57599999999999996"/>
    <n v="1.008"/>
    <n v="43.369167600000011"/>
    <n v="520.43001120000008"/>
    <n v="417.011226923077"/>
    <n v="278.00748461538467"/>
    <n v="9.1075251960000028"/>
    <n v="45"/>
    <n v="574.53753639600006"/>
    <n v="47.878128033000003"/>
    <n v="460.36661570192308"/>
    <n v="306.91107713461537"/>
  </r>
  <r>
    <s v="10/06/2026"/>
    <s v="E"/>
    <s v="[1062] RAMGADH"/>
    <s v="[8404] CHANDESH"/>
    <x v="65"/>
    <x v="65"/>
    <x v="65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1/06/2026"/>
    <s v="M"/>
    <s v="[1062] RAMGADH"/>
    <s v="[8404] CHANDESH"/>
    <x v="65"/>
    <x v="65"/>
    <x v="65"/>
    <s v="C"/>
    <n v="10"/>
    <n v="4.7"/>
    <n v="8.1999999999999993"/>
    <n v="0.47"/>
    <n v="0.82"/>
    <n v="42.3961398"/>
    <n v="423.96139800000003"/>
    <n v="417.01121114754102"/>
    <n v="278.00747409836066"/>
    <n v="7.4193244650000016"/>
    <n v="37.5"/>
    <n v="468.88072246500002"/>
    <n v="46.888072246500002"/>
    <n v="461.19415324426234"/>
    <n v="307.46276882950821"/>
  </r>
  <r>
    <s v="11/06/2026"/>
    <s v="E"/>
    <s v="[1062] RAMGADH"/>
    <s v="[8404] CHANDESH"/>
    <x v="65"/>
    <x v="65"/>
    <x v="65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1/06/2026"/>
    <s v="E"/>
    <s v="[1062] RAMGADH"/>
    <s v="[8404] CHANDESH"/>
    <x v="65"/>
    <x v="65"/>
    <x v="65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05/06/2026"/>
    <s v="M"/>
    <s v="[1062] RAMGADH"/>
    <s v="[8401] DURGAWATI"/>
    <x v="66"/>
    <x v="66"/>
    <x v="66"/>
    <s v="C"/>
    <n v="55"/>
    <n v="3.8"/>
    <n v="8.1"/>
    <n v="2.09"/>
    <n v="4.4550000000000001"/>
    <n v="38.365125900000002"/>
    <n v="2110.0819245000002"/>
    <n v="417.01223804347831"/>
    <n v="278.00815869565218"/>
    <n v="36.926433678750008"/>
    <n v="206.25"/>
    <n v="2353.2583581787503"/>
    <n v="42.786515603250002"/>
    <n v="465.07082177445653"/>
    <n v="310.04721451630434"/>
  </r>
  <r>
    <s v="05/06/2026"/>
    <s v="E"/>
    <s v="[1062] RAMGADH"/>
    <s v="[8401] DURGAWATI"/>
    <x v="66"/>
    <x v="66"/>
    <x v="66"/>
    <s v="B"/>
    <n v="5"/>
    <n v="5.8"/>
    <n v="8.6"/>
    <n v="0.28999999999999998"/>
    <n v="0.43"/>
    <n v="47.461399999999998"/>
    <n v="237.30699999999999"/>
    <n v="411.51502890173413"/>
    <n v="274.34335260115608"/>
    <n v="4.1528725"/>
    <n v="18.75"/>
    <n v="260.20987249999996"/>
    <n v="52.041974499999995"/>
    <n v="451.23099277456652"/>
    <n v="300.82066184971103"/>
  </r>
  <r>
    <s v="05/06/2026"/>
    <s v="E"/>
    <s v="[1062] RAMGADH"/>
    <s v="[8401] DURGAWATI"/>
    <x v="66"/>
    <x v="66"/>
    <x v="66"/>
    <s v="C"/>
    <n v="38"/>
    <n v="3.6"/>
    <n v="8.4"/>
    <n v="1.3680000000000001"/>
    <n v="3.1919999999999997"/>
    <n v="38.365167600000007"/>
    <n v="1457.8763688000004"/>
    <n v="417.01269130434792"/>
    <n v="278.00846086956528"/>
    <n v="25.512836454000009"/>
    <n v="142.5"/>
    <n v="1625.8892052540004"/>
    <n v="42.786558033000013"/>
    <n v="465.07128296739143"/>
    <n v="310.04752197826093"/>
  </r>
  <r>
    <s v="06/06/2026"/>
    <s v="M"/>
    <s v="[1062] RAMGADH"/>
    <s v="[8401] DURGAWATI"/>
    <x v="66"/>
    <x v="66"/>
    <x v="66"/>
    <s v="C"/>
    <n v="53"/>
    <n v="3.8"/>
    <n v="8.1"/>
    <n v="2.0139999999999998"/>
    <n v="4.2929999999999993"/>
    <n v="38.365125900000002"/>
    <n v="2033.3516727000001"/>
    <n v="417.01223804347831"/>
    <n v="278.00815869565218"/>
    <n v="35.583654272250008"/>
    <n v="198.75"/>
    <n v="2267.6853269722501"/>
    <n v="42.786515603250002"/>
    <n v="465.07082177445653"/>
    <n v="310.04721451630434"/>
  </r>
  <r>
    <s v="06/06/2026"/>
    <s v="E"/>
    <s v="[1062] RAMGADH"/>
    <s v="[8401] DURGAWATI"/>
    <x v="66"/>
    <x v="66"/>
    <x v="66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07/06/2026"/>
    <s v="M"/>
    <s v="[1062] RAMGADH"/>
    <s v="[8401] DURGAWATI"/>
    <x v="66"/>
    <x v="66"/>
    <x v="66"/>
    <s v="C"/>
    <n v="54"/>
    <n v="4.5999999999999996"/>
    <n v="8.1"/>
    <n v="2.484"/>
    <n v="4.3739999999999997"/>
    <n v="41.701125900000001"/>
    <n v="2251.8607986000002"/>
    <n v="417.011259"/>
    <n v="278.00750599999998"/>
    <n v="39.407563975500004"/>
    <n v="202.5"/>
    <n v="2493.7683625755003"/>
    <n v="46.180895603250008"/>
    <n v="461.80895603250008"/>
    <n v="307.87263735500005"/>
  </r>
  <r>
    <s v="07/06/2026"/>
    <s v="E"/>
    <s v="[1062] RAMGADH"/>
    <s v="[8401] DURGAWATI"/>
    <x v="66"/>
    <x v="66"/>
    <x v="66"/>
    <s v="B"/>
    <n v="4"/>
    <n v="6.2"/>
    <n v="8.8000000000000007"/>
    <n v="0.248"/>
    <n v="0.35200000000000004"/>
    <n v="51.252300000000005"/>
    <n v="205.00920000000002"/>
    <n v="424.74281767955802"/>
    <n v="283.1618784530387"/>
    <n v="3.5876610000000007"/>
    <n v="15"/>
    <n v="223.59686100000002"/>
    <n v="55.899215250000005"/>
    <n v="463.25316505524864"/>
    <n v="308.83544337016576"/>
  </r>
  <r>
    <s v="07/06/2026"/>
    <s v="E"/>
    <s v="[1062] RAMGADH"/>
    <s v="[8401] DURGAWATI"/>
    <x v="66"/>
    <x v="66"/>
    <x v="66"/>
    <s v="C"/>
    <n v="38"/>
    <n v="3.7"/>
    <n v="8.4"/>
    <n v="1.4059999999999999"/>
    <n v="3.1919999999999997"/>
    <n v="38.782167600000008"/>
    <n v="1473.7223688000004"/>
    <n v="417.01255483870978"/>
    <n v="278.00836989247318"/>
    <n v="25.790141454000008"/>
    <n v="142.5"/>
    <n v="1642.0125102540003"/>
    <n v="43.210855533000007"/>
    <n v="464.63285519354849"/>
    <n v="309.75523679569898"/>
  </r>
  <r>
    <s v="08/06/2026"/>
    <s v="M"/>
    <s v="[1062] RAMGADH"/>
    <s v="[8401] DURGAWATI"/>
    <x v="66"/>
    <x v="66"/>
    <x v="66"/>
    <s v="C"/>
    <n v="50"/>
    <n v="3.7"/>
    <n v="8.1999999999999993"/>
    <n v="1.85"/>
    <n v="4.0999999999999996"/>
    <n v="38.226139799999999"/>
    <n v="1911.30699"/>
    <n v="417.01243418181815"/>
    <n v="278.00828945454543"/>
    <n v="33.447872325000006"/>
    <n v="187.5"/>
    <n v="2132.254862325"/>
    <n v="42.645097246500001"/>
    <n v="465.21924268909089"/>
    <n v="310.14616179272724"/>
  </r>
  <r>
    <s v="08/06/2026"/>
    <s v="E"/>
    <s v="[1062] RAMGADH"/>
    <s v="[8401] DURGAWATI"/>
    <x v="66"/>
    <x v="66"/>
    <x v="66"/>
    <s v="B"/>
    <n v="4"/>
    <n v="5.9"/>
    <n v="8.8000000000000007"/>
    <n v="0.23600000000000002"/>
    <n v="0.35200000000000004"/>
    <n v="48.772350000000003"/>
    <n v="195.08940000000001"/>
    <n v="414.49589235127479"/>
    <n v="276.33059490084986"/>
    <n v="3.4140645000000007"/>
    <n v="15"/>
    <n v="213.50346450000001"/>
    <n v="53.375866125000002"/>
    <n v="453.61925885269125"/>
    <n v="302.41283923512748"/>
  </r>
  <r>
    <s v="08/06/2026"/>
    <s v="E"/>
    <s v="[1062] RAMGADH"/>
    <s v="[8401] DURGAWATI"/>
    <x v="66"/>
    <x v="66"/>
    <x v="66"/>
    <s v="C"/>
    <n v="39"/>
    <n v="3.6"/>
    <n v="8.3000000000000007"/>
    <n v="1.4040000000000001"/>
    <n v="3.2370000000000005"/>
    <n v="38.087153700000009"/>
    <n v="1485.3989943000004"/>
    <n v="417.01263175182481"/>
    <n v="278.00842116788323"/>
    <n v="25.994482400250011"/>
    <n v="146.25"/>
    <n v="1657.6434767002504"/>
    <n v="42.503678889750013"/>
    <n v="465.36874696806575"/>
    <n v="310.24583131204383"/>
  </r>
  <r>
    <s v="09/06/2026"/>
    <s v="M"/>
    <s v="[1062] RAMGADH"/>
    <s v="[8401] DURGAWATI"/>
    <x v="66"/>
    <x v="66"/>
    <x v="66"/>
    <s v="B"/>
    <n v="10"/>
    <n v="5.4"/>
    <n v="8.5"/>
    <n v="0.54"/>
    <n v="0.85"/>
    <n v="46.149181500000012"/>
    <n v="461.49181500000009"/>
    <n v="417.01067620481933"/>
    <n v="278.00711746987957"/>
    <n v="8.076106762500002"/>
    <n v="37.5"/>
    <n v="507.06792176250008"/>
    <n v="50.706792176250005"/>
    <n v="458.19390520707833"/>
    <n v="305.46260347138553"/>
  </r>
  <r>
    <s v="09/06/2026"/>
    <s v="M"/>
    <s v="[1062] RAMGADH"/>
    <s v="[8401] DURGAWATI"/>
    <x v="66"/>
    <x v="66"/>
    <x v="6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09/06/2026"/>
    <s v="E"/>
    <s v="[1062] RAMGADH"/>
    <s v="[8401] DURGAWATI"/>
    <x v="66"/>
    <x v="66"/>
    <x v="66"/>
    <s v="B"/>
    <n v="5"/>
    <n v="6.1"/>
    <n v="9"/>
    <n v="0.30499999999999999"/>
    <n v="0.45"/>
    <n v="50.935000000000002"/>
    <n v="254.67500000000001"/>
    <n v="420.95041322314052"/>
    <n v="280.63360881542701"/>
    <n v="4.4568125000000007"/>
    <n v="18.75"/>
    <n v="277.88181250000002"/>
    <n v="55.576362500000002"/>
    <n v="459.30878099173555"/>
    <n v="306.20585399449038"/>
  </r>
  <r>
    <s v="09/06/2026"/>
    <s v="E"/>
    <s v="[1062] RAMGADH"/>
    <s v="[8401] DURGAWATI"/>
    <x v="66"/>
    <x v="66"/>
    <x v="66"/>
    <s v="C"/>
    <n v="34"/>
    <n v="3.4"/>
    <n v="8.1999999999999993"/>
    <n v="1.1559999999999999"/>
    <n v="2.7879999999999994"/>
    <n v="36.975139800000001"/>
    <n v="1257.1547532"/>
    <n v="417.01285488721805"/>
    <n v="278.00856992481204"/>
    <n v="22.000208181000001"/>
    <n v="127.5"/>
    <n v="1406.654961381"/>
    <n v="41.372204746500003"/>
    <n v="466.60381293045111"/>
    <n v="311.06920862030074"/>
  </r>
  <r>
    <s v="10/06/2026"/>
    <s v="M"/>
    <s v="[1062] RAMGADH"/>
    <s v="[8401] DURGAWATI"/>
    <x v="66"/>
    <x v="66"/>
    <x v="66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10/06/2026"/>
    <s v="M"/>
    <s v="[1062] RAMGADH"/>
    <s v="[8401] DURGAWATI"/>
    <x v="66"/>
    <x v="66"/>
    <x v="66"/>
    <s v="C"/>
    <n v="41"/>
    <n v="3.7"/>
    <n v="8.1"/>
    <n v="1.5170000000000001"/>
    <n v="3.3209999999999997"/>
    <n v="37.948125900000008"/>
    <n v="1555.8731619000002"/>
    <n v="417.01237252747262"/>
    <n v="278.00824835164843"/>
    <n v="27.227780333250006"/>
    <n v="153.75"/>
    <n v="1736.8509422332502"/>
    <n v="42.362218103250001"/>
    <n v="465.51888025549454"/>
    <n v="310.34592017032969"/>
  </r>
  <r>
    <s v="10/06/2026"/>
    <s v="E"/>
    <s v="[1062] RAMGADH"/>
    <s v="[8401] DURGAWATI"/>
    <x v="66"/>
    <x v="66"/>
    <x v="66"/>
    <s v="B"/>
    <n v="5"/>
    <n v="6.1"/>
    <n v="8.8000000000000007"/>
    <n v="0.30499999999999999"/>
    <n v="0.44"/>
    <n v="50.425650000000005"/>
    <n v="252.12825000000004"/>
    <n v="421.38426183844012"/>
    <n v="280.92284122562677"/>
    <n v="4.4122443750000011"/>
    <n v="18.75"/>
    <n v="275.29049437500004"/>
    <n v="55.058098875000006"/>
    <n v="460.09553377437328"/>
    <n v="306.73035584958217"/>
  </r>
  <r>
    <s v="10/06/2026"/>
    <s v="E"/>
    <s v="[1062] RAMGADH"/>
    <s v="[8401] DURGAWATI"/>
    <x v="66"/>
    <x v="66"/>
    <x v="66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11/06/2026"/>
    <s v="M"/>
    <s v="[1062] RAMGADH"/>
    <s v="[8401] DURGAWATI"/>
    <x v="66"/>
    <x v="66"/>
    <x v="66"/>
    <s v="C"/>
    <n v="55"/>
    <n v="3.7"/>
    <n v="8.1"/>
    <n v="2.0350000000000001"/>
    <n v="4.4550000000000001"/>
    <n v="37.948125900000008"/>
    <n v="2087.1469245000003"/>
    <n v="417.01237252747262"/>
    <n v="278.00824835164843"/>
    <n v="36.525071178750011"/>
    <n v="206.25"/>
    <n v="2329.9219956787501"/>
    <n v="42.362218103250001"/>
    <n v="465.51888025549454"/>
    <n v="310.34592017032969"/>
  </r>
  <r>
    <s v="11/06/2026"/>
    <s v="E"/>
    <s v="[1062] RAMGADH"/>
    <s v="[8401] DURGAWATI"/>
    <x v="66"/>
    <x v="66"/>
    <x v="66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s v="11/06/2026"/>
    <s v="E"/>
    <s v="[1062] RAMGADH"/>
    <s v="[8401] DURGAWATI"/>
    <x v="66"/>
    <x v="66"/>
    <x v="66"/>
    <s v="C"/>
    <n v="39"/>
    <n v="3.7"/>
    <n v="8.1"/>
    <n v="1.4430000000000001"/>
    <n v="3.1589999999999998"/>
    <n v="37.948125900000008"/>
    <n v="1479.9769101000004"/>
    <n v="417.01237252747262"/>
    <n v="278.00824835164843"/>
    <n v="25.89959592675001"/>
    <n v="146.25"/>
    <n v="1652.1265060267503"/>
    <n v="42.362218103250008"/>
    <n v="465.51888025549459"/>
    <n v="310.34592017032975"/>
  </r>
  <r>
    <s v="06/06/2026"/>
    <s v="E"/>
    <s v="[1062] RAMGADH"/>
    <s v="[8402] RAMPUR"/>
    <x v="67"/>
    <x v="67"/>
    <x v="67"/>
    <s v="C"/>
    <n v="52"/>
    <n v="3.4"/>
    <n v="8.1"/>
    <n v="1.7679999999999998"/>
    <n v="4.2119999999999997"/>
    <n v="36.697125900000003"/>
    <n v="1908.2505468000002"/>
    <n v="417.01279431818188"/>
    <n v="278.00852954545456"/>
    <n v="33.394384569000003"/>
    <n v="195"/>
    <n v="2136.644931369"/>
    <n v="41.089325603250003"/>
    <n v="466.92415458238645"/>
    <n v="311.28276972159097"/>
  </r>
  <r>
    <s v="07/06/2026"/>
    <s v="E"/>
    <s v="[1062] RAMGADH"/>
    <s v="[8402] RAMPUR"/>
    <x v="67"/>
    <x v="67"/>
    <x v="67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11/06/2026"/>
    <s v="E"/>
    <s v="[1062] RAMGADH"/>
    <s v="[8402] RAMPUR"/>
    <x v="67"/>
    <x v="67"/>
    <x v="67"/>
    <s v="C"/>
    <n v="60"/>
    <n v="4"/>
    <n v="8.1"/>
    <n v="2.4"/>
    <n v="4.8600000000000003"/>
    <n v="39.199125899999999"/>
    <n v="2351.9475539999999"/>
    <n v="417.01197765957443"/>
    <n v="278.00798510638293"/>
    <n v="41.159082195000003"/>
    <n v="225"/>
    <n v="2618.1066361949997"/>
    <n v="43.635110603249998"/>
    <n v="464.20330428989359"/>
    <n v="309.46886952659571"/>
  </r>
  <r>
    <s v="05/06/2026"/>
    <s v="E"/>
    <s v="[1062] RAMGADH"/>
    <s v="[8401] DURGAWATI"/>
    <x v="68"/>
    <x v="68"/>
    <x v="68"/>
    <s v="B"/>
    <n v="23"/>
    <n v="5.6"/>
    <n v="8.6"/>
    <n v="1.2879999999999998"/>
    <n v="1.9779999999999998"/>
    <n v="45.824799999999996"/>
    <n v="1053.9703999999999"/>
    <n v="404.33647058823533"/>
    <n v="269.55764705882353"/>
    <n v="18.444482000000001"/>
    <n v="86.25"/>
    <n v="1158.664882"/>
    <n v="50.376733999999999"/>
    <n v="444.50059411764715"/>
    <n v="296.33372941176475"/>
  </r>
  <r>
    <s v="05/06/2026"/>
    <s v="E"/>
    <s v="[1062] RAMGADH"/>
    <s v="[8401] DURGAWATI"/>
    <x v="68"/>
    <x v="68"/>
    <x v="68"/>
    <s v="C"/>
    <n v="62"/>
    <n v="3.1"/>
    <n v="8.1"/>
    <n v="1.9220000000000002"/>
    <n v="5.0220000000000002"/>
    <n v="35.446125899999998"/>
    <n v="2197.6598058"/>
    <n v="417.01324588235298"/>
    <n v="278.0088305882353"/>
    <n v="38.459046601500006"/>
    <n v="232.5"/>
    <n v="2468.6188524015001"/>
    <n v="39.816433103249999"/>
    <n v="468.42862474411766"/>
    <n v="312.28574982941177"/>
  </r>
  <r>
    <s v="06/06/2026"/>
    <s v="M"/>
    <s v="[1062] RAMGADH"/>
    <s v="[8401] DURGAWATI"/>
    <x v="68"/>
    <x v="68"/>
    <x v="68"/>
    <s v="C"/>
    <n v="105"/>
    <n v="4.0999999999999996"/>
    <n v="8.3000000000000007"/>
    <n v="4.3049999999999997"/>
    <n v="8.7150000000000016"/>
    <n v="40.172153700000003"/>
    <n v="4218.0761385000005"/>
    <n v="417.01197612456752"/>
    <n v="278.00798408304502"/>
    <n v="73.816332423750012"/>
    <n v="393.75"/>
    <n v="4685.6424709237508"/>
    <n v="44.625166389750007"/>
    <n v="463.23702134688591"/>
    <n v="308.82468089792394"/>
  </r>
  <r>
    <s v="06/06/2026"/>
    <s v="E"/>
    <s v="[1062] RAMGADH"/>
    <s v="[8401] DURGAWATI"/>
    <x v="68"/>
    <x v="68"/>
    <x v="68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06/06/2026"/>
    <s v="E"/>
    <s v="[1062] RAMGADH"/>
    <s v="[8401] DURGAWATI"/>
    <x v="68"/>
    <x v="68"/>
    <x v="68"/>
    <s v="C"/>
    <n v="77"/>
    <n v="3.3"/>
    <n v="8.1999999999999993"/>
    <n v="2.5409999999999999"/>
    <n v="6.3140000000000001"/>
    <n v="36.558139799999999"/>
    <n v="2814.9767646"/>
    <n v="417.0130015209125"/>
    <n v="278.00866768060831"/>
    <n v="49.262093380500005"/>
    <n v="288.75"/>
    <n v="3152.9888579805001"/>
    <n v="40.947907246500002"/>
    <n v="467.08639444676805"/>
    <n v="311.39092963117872"/>
  </r>
  <r>
    <s v="07/06/2026"/>
    <s v="M"/>
    <s v="[1062] RAMGADH"/>
    <s v="[8401] DURGAWATI"/>
    <x v="68"/>
    <x v="68"/>
    <x v="68"/>
    <s v="B"/>
    <n v="34"/>
    <n v="6"/>
    <n v="8.8000000000000007"/>
    <n v="2.04"/>
    <n v="2.9920000000000004"/>
    <n v="49.599000000000004"/>
    <n v="1686.3660000000002"/>
    <n v="417.96910112359552"/>
    <n v="278.64606741573033"/>
    <n v="29.511405000000007"/>
    <n v="127.5"/>
    <n v="1843.3774050000002"/>
    <n v="54.216982500000007"/>
    <n v="456.8846839887641"/>
    <n v="304.58978932584273"/>
  </r>
  <r>
    <s v="07/06/2026"/>
    <s v="M"/>
    <s v="[1062] RAMGADH"/>
    <s v="[8401] DURGAWATI"/>
    <x v="68"/>
    <x v="68"/>
    <x v="68"/>
    <s v="C"/>
    <n v="75"/>
    <n v="3.4"/>
    <n v="8.1"/>
    <n v="2.5499999999999998"/>
    <n v="6.0750000000000002"/>
    <n v="36.697125900000003"/>
    <n v="2752.2844425000003"/>
    <n v="417.01279431818188"/>
    <n v="278.00852954545456"/>
    <n v="48.164977743750008"/>
    <n v="281.25"/>
    <n v="3081.6994202437504"/>
    <n v="41.089325603250003"/>
    <n v="466.92415458238645"/>
    <n v="311.28276972159097"/>
  </r>
  <r>
    <s v="07/06/2026"/>
    <s v="E"/>
    <s v="[1062] RAMGADH"/>
    <s v="[8401] DURGAWATI"/>
    <x v="68"/>
    <x v="68"/>
    <x v="68"/>
    <s v="B"/>
    <n v="25"/>
    <n v="5.6"/>
    <n v="8.6"/>
    <n v="1.4"/>
    <n v="2.15"/>
    <n v="45.824799999999996"/>
    <n v="1145.6199999999999"/>
    <n v="404.33647058823533"/>
    <n v="269.55764705882353"/>
    <n v="20.048349999999999"/>
    <n v="93.75"/>
    <n v="1259.4183499999999"/>
    <n v="50.376733999999999"/>
    <n v="444.50059411764715"/>
    <n v="296.33372941176475"/>
  </r>
  <r>
    <s v="07/06/2026"/>
    <s v="E"/>
    <s v="[1062] RAMGADH"/>
    <s v="[8401] DURGAWATI"/>
    <x v="68"/>
    <x v="68"/>
    <x v="68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8/06/2026"/>
    <s v="M"/>
    <s v="[1062] RAMGADH"/>
    <s v="[8401] DURGAWATI"/>
    <x v="68"/>
    <x v="68"/>
    <x v="68"/>
    <s v="B"/>
    <n v="8"/>
    <n v="7.1"/>
    <n v="8.8000000000000007"/>
    <n v="0.56799999999999995"/>
    <n v="0.70400000000000007"/>
    <n v="58.692149999999998"/>
    <n v="469.53719999999998"/>
    <n v="452.63868894601546"/>
    <n v="301.75912596401031"/>
    <n v="8.216901"/>
    <n v="30"/>
    <n v="507.75410099999999"/>
    <n v="63.469262624999999"/>
    <n v="489.48017448586126"/>
    <n v="326.32011632390748"/>
  </r>
  <r>
    <s v="08/06/2026"/>
    <s v="M"/>
    <s v="[1062] RAMGADH"/>
    <s v="[8401] DURGAWATI"/>
    <x v="68"/>
    <x v="68"/>
    <x v="68"/>
    <s v="C"/>
    <n v="58"/>
    <n v="3.4"/>
    <n v="8.1"/>
    <n v="1.972"/>
    <n v="4.6979999999999995"/>
    <n v="36.697125900000003"/>
    <n v="2128.4333022000001"/>
    <n v="417.01279431818188"/>
    <n v="278.00852954545456"/>
    <n v="37.247582788500004"/>
    <n v="217.5"/>
    <n v="2383.1808849885001"/>
    <n v="41.089325603250003"/>
    <n v="466.92415458238645"/>
    <n v="311.28276972159097"/>
  </r>
  <r>
    <s v="08/06/2026"/>
    <s v="E"/>
    <s v="[1062] RAMGADH"/>
    <s v="[8401] DURGAWATI"/>
    <x v="68"/>
    <x v="68"/>
    <x v="68"/>
    <s v="B"/>
    <n v="30"/>
    <n v="5.8"/>
    <n v="8.6"/>
    <n v="1.74"/>
    <n v="2.58"/>
    <n v="47.461399999999998"/>
    <n v="1423.8419999999999"/>
    <n v="411.51502890173413"/>
    <n v="274.34335260115608"/>
    <n v="24.917235000000002"/>
    <n v="112.5"/>
    <n v="1561.259235"/>
    <n v="52.041974500000002"/>
    <n v="451.23099277456657"/>
    <n v="300.82066184971103"/>
  </r>
  <r>
    <s v="08/06/2026"/>
    <s v="E"/>
    <s v="[1062] RAMGADH"/>
    <s v="[8401] DURGAWATI"/>
    <x v="68"/>
    <x v="68"/>
    <x v="68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9/06/2026"/>
    <s v="M"/>
    <s v="[1062] RAMGADH"/>
    <s v="[8401] DURGAWATI"/>
    <x v="68"/>
    <x v="68"/>
    <x v="68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6/2026"/>
    <s v="M"/>
    <s v="[1062] RAMGADH"/>
    <s v="[8401] DURGAWATI"/>
    <x v="68"/>
    <x v="68"/>
    <x v="68"/>
    <s v="C"/>
    <n v="72"/>
    <n v="3.2"/>
    <n v="8.1"/>
    <n v="2.3040000000000003"/>
    <n v="5.831999999999999"/>
    <n v="35.8631259"/>
    <n v="2582.1450648"/>
    <n v="417.01309186046512"/>
    <n v="278.00872790697673"/>
    <n v="45.187538634000006"/>
    <n v="270"/>
    <n v="2897.3326034339998"/>
    <n v="40.24073060325"/>
    <n v="467.91547213081401"/>
    <n v="311.94364808720934"/>
  </r>
  <r>
    <s v="09/06/2026"/>
    <s v="E"/>
    <s v="[1062] RAMGADH"/>
    <s v="[8401] DURGAWATI"/>
    <x v="68"/>
    <x v="68"/>
    <x v="68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9/06/2026"/>
    <s v="E"/>
    <s v="[1062] RAMGADH"/>
    <s v="[8401] DURGAWATI"/>
    <x v="68"/>
    <x v="68"/>
    <x v="68"/>
    <s v="C"/>
    <n v="75"/>
    <n v="3.1"/>
    <n v="8.1"/>
    <n v="2.3250000000000002"/>
    <n v="6.0750000000000002"/>
    <n v="35.446125899999998"/>
    <n v="2658.4594425"/>
    <n v="417.01324588235298"/>
    <n v="278.0088305882353"/>
    <n v="46.523040243750003"/>
    <n v="281.25"/>
    <n v="2986.2324827437501"/>
    <n v="39.816433103249999"/>
    <n v="468.42862474411766"/>
    <n v="312.28574982941177"/>
  </r>
  <r>
    <s v="10/06/2026"/>
    <s v="E"/>
    <s v="[1062] RAMGADH"/>
    <s v="[8401] DURGAWATI"/>
    <x v="68"/>
    <x v="68"/>
    <x v="68"/>
    <s v="B"/>
    <n v="30"/>
    <n v="6.1"/>
    <n v="8.8000000000000007"/>
    <n v="1.83"/>
    <n v="2.64"/>
    <n v="50.425650000000005"/>
    <n v="1512.7695000000001"/>
    <n v="421.38426183844012"/>
    <n v="280.92284122562677"/>
    <n v="26.473466250000005"/>
    <n v="112.5"/>
    <n v="1651.7429662500001"/>
    <n v="55.058098875000006"/>
    <n v="460.09553377437328"/>
    <n v="306.73035584958217"/>
  </r>
  <r>
    <s v="10/06/2026"/>
    <s v="E"/>
    <s v="[1062] RAMGADH"/>
    <s v="[8401] DURGAWATI"/>
    <x v="68"/>
    <x v="68"/>
    <x v="68"/>
    <s v="C"/>
    <n v="64"/>
    <n v="3"/>
    <n v="8.1"/>
    <n v="1.92"/>
    <n v="5.1840000000000002"/>
    <n v="35.029125900000004"/>
    <n v="2241.8640576000003"/>
    <n v="417.01340357142868"/>
    <n v="278.00893571428577"/>
    <n v="39.23262100800001"/>
    <n v="240"/>
    <n v="2521.0966786080003"/>
    <n v="39.392135603250004"/>
    <n v="468.9539952767858"/>
    <n v="312.63599685119055"/>
  </r>
  <r>
    <s v="11/06/2026"/>
    <s v="M"/>
    <s v="[1062] RAMGADH"/>
    <s v="[8401] DURGAWATI"/>
    <x v="68"/>
    <x v="68"/>
    <x v="68"/>
    <s v="C"/>
    <n v="73"/>
    <n v="3.2"/>
    <n v="8.1"/>
    <n v="2.3360000000000003"/>
    <n v="5.9129999999999994"/>
    <n v="35.8631259"/>
    <n v="2618.0081906999999"/>
    <n v="417.01309186046512"/>
    <n v="278.00872790697673"/>
    <n v="45.815143337249999"/>
    <n v="273.75"/>
    <n v="2937.5733340372499"/>
    <n v="40.24073060325"/>
    <n v="467.91547213081401"/>
    <n v="311.94364808720934"/>
  </r>
  <r>
    <s v="11/06/2026"/>
    <s v="E"/>
    <s v="[1062] RAMGADH"/>
    <s v="[8401] DURGAWATI"/>
    <x v="68"/>
    <x v="68"/>
    <x v="68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11/06/2026"/>
    <s v="E"/>
    <s v="[1062] RAMGADH"/>
    <s v="[8401] DURGAWATI"/>
    <x v="68"/>
    <x v="68"/>
    <x v="68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7092B-D643-4717-80CD-285BCA2FF79D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4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0"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x="1"/>
        <item x="5"/>
        <item x="8"/>
        <item x="31"/>
        <item x="2"/>
        <item x="3"/>
        <item x="7"/>
        <item x="9"/>
        <item x="10"/>
        <item x="4"/>
        <item x="11"/>
        <item x="12"/>
        <item x="34"/>
        <item x="67"/>
        <item x="68"/>
        <item x="13"/>
        <item x="50"/>
        <item x="6"/>
        <item x="22"/>
        <item t="default"/>
      </items>
    </pivotField>
    <pivotField axis="axisRow" compact="0" outline="0" showAll="0" defaultSubtotal="0">
      <items count="69">
        <item x="14"/>
        <item x="15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0"/>
        <item x="1"/>
        <item x="5"/>
        <item x="8"/>
        <item x="31"/>
        <item x="2"/>
        <item x="3"/>
        <item x="7"/>
        <item x="9"/>
        <item x="10"/>
        <item x="4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11"/>
        <item x="12"/>
        <item x="34"/>
        <item x="67"/>
        <item x="68"/>
        <item x="13"/>
        <item x="50"/>
        <item x="6"/>
        <item x="22"/>
      </items>
    </pivotField>
    <pivotField axis="axisRow" compact="0" outline="0" showAll="0" sortType="ascending" defaultSubtotal="0">
      <items count="69">
        <item x="66"/>
        <item x="68"/>
        <item x="32"/>
        <item x="62"/>
        <item x="34"/>
        <item x="56"/>
        <item x="40"/>
        <item x="43"/>
        <item x="28"/>
        <item x="47"/>
        <item x="42"/>
        <item x="55"/>
        <item x="61"/>
        <item x="53"/>
        <item x="20"/>
        <item x="21"/>
        <item x="23"/>
        <item x="44"/>
        <item x="22"/>
        <item x="52"/>
        <item x="39"/>
        <item x="54"/>
        <item x="67"/>
        <item x="35"/>
        <item x="33"/>
        <item x="46"/>
        <item x="57"/>
        <item x="36"/>
        <item x="38"/>
        <item x="58"/>
        <item x="41"/>
        <item x="15"/>
        <item x="51"/>
        <item x="24"/>
        <item x="63"/>
        <item x="59"/>
        <item x="30"/>
        <item x="37"/>
        <item x="49"/>
        <item x="16"/>
        <item x="19"/>
        <item x="65"/>
        <item x="45"/>
        <item x="26"/>
        <item x="17"/>
        <item x="48"/>
        <item x="60"/>
        <item x="25"/>
        <item x="64"/>
        <item x="14"/>
        <item x="50"/>
        <item x="18"/>
        <item x="27"/>
        <item x="31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0">
    <i>
      <x/>
      <x v="59"/>
      <x v="48"/>
    </i>
    <i>
      <x v="1"/>
      <x v="64"/>
      <x v="64"/>
    </i>
    <i>
      <x v="2"/>
      <x v="16"/>
      <x v="16"/>
    </i>
    <i>
      <x v="3"/>
      <x v="55"/>
      <x v="44"/>
    </i>
    <i>
      <x v="4"/>
      <x v="62"/>
      <x v="62"/>
    </i>
    <i>
      <x v="5"/>
      <x v="49"/>
      <x v="38"/>
    </i>
    <i>
      <x v="6"/>
      <x v="23"/>
      <x v="23"/>
    </i>
    <i>
      <x v="7"/>
      <x v="26"/>
      <x v="26"/>
    </i>
    <i>
      <x v="8"/>
      <x v="13"/>
      <x v="13"/>
    </i>
    <i>
      <x v="9"/>
      <x v="30"/>
      <x v="30"/>
    </i>
    <i>
      <x v="10"/>
      <x v="25"/>
      <x v="25"/>
    </i>
    <i>
      <x v="11"/>
      <x v="48"/>
      <x v="37"/>
    </i>
    <i>
      <x v="12"/>
      <x v="54"/>
      <x v="43"/>
    </i>
    <i>
      <x v="13"/>
      <x v="46"/>
      <x v="35"/>
    </i>
    <i>
      <x v="14"/>
      <x v="6"/>
      <x v="6"/>
    </i>
    <i>
      <x v="15"/>
      <x v="7"/>
      <x v="7"/>
    </i>
    <i>
      <x v="16"/>
      <x v="8"/>
      <x v="8"/>
    </i>
    <i>
      <x v="17"/>
      <x v="27"/>
      <x v="27"/>
    </i>
    <i>
      <x v="18"/>
      <x v="68"/>
      <x v="68"/>
    </i>
    <i>
      <x v="19"/>
      <x v="45"/>
      <x v="34"/>
    </i>
    <i>
      <x v="20"/>
      <x v="22"/>
      <x v="22"/>
    </i>
    <i>
      <x v="21"/>
      <x v="47"/>
      <x v="36"/>
    </i>
    <i>
      <x v="22"/>
      <x v="63"/>
      <x v="63"/>
    </i>
    <i>
      <x v="23"/>
      <x v="18"/>
      <x v="18"/>
    </i>
    <i>
      <x v="24"/>
      <x v="17"/>
      <x v="17"/>
    </i>
    <i>
      <x v="25"/>
      <x v="29"/>
      <x v="29"/>
    </i>
    <i>
      <x v="26"/>
      <x v="50"/>
      <x v="39"/>
    </i>
    <i>
      <x v="27"/>
      <x v="19"/>
      <x v="19"/>
    </i>
    <i>
      <x v="28"/>
      <x v="21"/>
      <x v="21"/>
    </i>
    <i>
      <x v="29"/>
      <x v="51"/>
      <x v="40"/>
    </i>
    <i>
      <x v="30"/>
      <x v="24"/>
      <x v="24"/>
    </i>
    <i>
      <x v="31"/>
      <x v="1"/>
      <x v="1"/>
    </i>
    <i>
      <x v="32"/>
      <x v="33"/>
      <x v="33"/>
    </i>
    <i>
      <x v="33"/>
      <x v="9"/>
      <x v="9"/>
    </i>
    <i>
      <x v="34"/>
      <x v="56"/>
      <x v="45"/>
    </i>
    <i>
      <x v="35"/>
      <x v="52"/>
      <x v="41"/>
    </i>
    <i>
      <x v="36"/>
      <x v="15"/>
      <x v="15"/>
    </i>
    <i>
      <x v="37"/>
      <x v="20"/>
      <x v="20"/>
    </i>
    <i>
      <x v="38"/>
      <x v="32"/>
      <x v="32"/>
    </i>
    <i>
      <x v="39"/>
      <x v="2"/>
      <x v="2"/>
    </i>
    <i>
      <x v="40"/>
      <x v="5"/>
      <x v="5"/>
    </i>
    <i>
      <x v="41"/>
      <x v="58"/>
      <x v="47"/>
    </i>
    <i>
      <x v="42"/>
      <x v="28"/>
      <x v="28"/>
    </i>
    <i>
      <x v="43"/>
      <x v="11"/>
      <x v="11"/>
    </i>
    <i>
      <x v="44"/>
      <x v="3"/>
      <x v="3"/>
    </i>
    <i>
      <x v="45"/>
      <x v="31"/>
      <x v="31"/>
    </i>
    <i>
      <x v="46"/>
      <x v="53"/>
      <x v="42"/>
    </i>
    <i>
      <x v="47"/>
      <x v="10"/>
      <x v="10"/>
    </i>
    <i>
      <x v="48"/>
      <x v="57"/>
      <x v="46"/>
    </i>
    <i>
      <x v="49"/>
      <x/>
      <x/>
    </i>
    <i>
      <x v="50"/>
      <x v="66"/>
      <x v="66"/>
    </i>
    <i>
      <x v="51"/>
      <x v="4"/>
      <x v="4"/>
    </i>
    <i>
      <x v="52"/>
      <x v="12"/>
      <x v="12"/>
    </i>
    <i>
      <x v="53"/>
      <x v="38"/>
      <x v="53"/>
    </i>
    <i>
      <x v="54"/>
      <x v="14"/>
      <x v="14"/>
    </i>
    <i>
      <x v="55"/>
      <x v="34"/>
      <x v="49"/>
    </i>
    <i>
      <x v="56"/>
      <x v="35"/>
      <x v="50"/>
    </i>
    <i>
      <x v="57"/>
      <x v="39"/>
      <x v="54"/>
    </i>
    <i>
      <x v="58"/>
      <x v="40"/>
      <x v="55"/>
    </i>
    <i>
      <x v="59"/>
      <x v="44"/>
      <x v="59"/>
    </i>
    <i>
      <x v="60"/>
      <x v="36"/>
      <x v="51"/>
    </i>
    <i>
      <x v="61"/>
      <x v="67"/>
      <x v="67"/>
    </i>
    <i>
      <x v="62"/>
      <x v="41"/>
      <x v="56"/>
    </i>
    <i>
      <x v="63"/>
      <x v="37"/>
      <x v="52"/>
    </i>
    <i>
      <x v="64"/>
      <x v="42"/>
      <x v="57"/>
    </i>
    <i>
      <x v="65"/>
      <x v="43"/>
      <x v="58"/>
    </i>
    <i>
      <x v="66"/>
      <x v="60"/>
      <x v="60"/>
    </i>
    <i>
      <x v="67"/>
      <x v="61"/>
      <x v="61"/>
    </i>
    <i>
      <x v="68"/>
      <x v="65"/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23">
      <pivotArea collapsedLevelsAreSubtotals="1" fieldPosition="0">
        <references count="2">
          <reference field="4294967294" count="1" selected="0">
            <x v="1"/>
          </reference>
          <reference field="6" count="38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48"/>
            <x v="49"/>
            <x v="52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6" count="48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1"/>
            <x v="52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33">
      <pivotArea field="1" type="button" dataOnly="0" labelOnly="1" outline="0" axis="axisRow" fieldPosition="1"/>
    </format>
    <format dxfId="3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31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30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3"/>
  <sheetViews>
    <sheetView tabSelected="1" zoomScale="80" zoomScaleNormal="80" workbookViewId="0">
      <pane xSplit="3" ySplit="2" topLeftCell="E3" activePane="bottomRight" state="frozen"/>
      <selection activeCell="D2" sqref="D2"/>
      <selection pane="topRight" activeCell="D2" sqref="D2"/>
      <selection pane="bottomLeft" activeCell="D2" sqref="D2"/>
      <selection pane="bottomRight" activeCell="AF3" sqref="AF3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485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481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706</v>
      </c>
      <c r="AE2" s="227" t="s">
        <v>801</v>
      </c>
      <c r="AF2" s="226" t="s">
        <v>800</v>
      </c>
      <c r="AG2" s="226" t="s">
        <v>799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400</v>
      </c>
      <c r="H3" s="12">
        <v>670</v>
      </c>
      <c r="I3" s="12">
        <v>26150.295710900002</v>
      </c>
      <c r="J3" s="14">
        <f>I3</f>
        <v>26150.295710900002</v>
      </c>
      <c r="K3" s="13"/>
      <c r="L3" s="13"/>
      <c r="M3" s="13">
        <v>0</v>
      </c>
      <c r="N3" s="13"/>
      <c r="O3" s="13">
        <f>J3-SUM(K3:N3)</f>
        <v>26150.295710900002</v>
      </c>
      <c r="P3" s="13">
        <f>IF(R3="Yes",O3,0)</f>
        <v>0</v>
      </c>
      <c r="Q3" s="15">
        <f>O3-P3</f>
        <v>26150.295710900002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Payment_05-11 Jun.xlsx</v>
      </c>
      <c r="U3" s="19"/>
      <c r="V3" s="36">
        <f>I3*1.75%</f>
        <v>457.63017494075007</v>
      </c>
      <c r="W3" s="20">
        <f>I3*0.25%</f>
        <v>65.375739277250005</v>
      </c>
      <c r="X3" s="59">
        <f>V3-W3</f>
        <v>392.25443566350009</v>
      </c>
      <c r="Y3" s="21">
        <v>0</v>
      </c>
      <c r="Z3" s="48">
        <f>X3-Y3</f>
        <v>392.25443566350009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26146.49</v>
      </c>
      <c r="AG3" s="5">
        <f>Q3-AF3</f>
        <v>3.8057109000001219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400</v>
      </c>
      <c r="H4" s="12">
        <v>1092</v>
      </c>
      <c r="I4" s="12">
        <v>42570.134177200009</v>
      </c>
      <c r="J4" s="14">
        <f t="shared" ref="J4:J71" si="0">I4</f>
        <v>42570.134177200009</v>
      </c>
      <c r="K4" s="13"/>
      <c r="L4" s="13"/>
      <c r="M4" s="13">
        <v>0</v>
      </c>
      <c r="N4" s="13"/>
      <c r="O4" s="13">
        <f t="shared" ref="O4:O71" si="1">J4-SUM(K4:N4)</f>
        <v>42570.134177200009</v>
      </c>
      <c r="P4" s="13">
        <f t="shared" ref="P4:P71" si="2">IF(R4="Yes",O4,0)</f>
        <v>0</v>
      </c>
      <c r="Q4" s="15">
        <f t="shared" ref="Q4:Q71" si="3">O4-P4</f>
        <v>42570.134177200009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Payment_05-11 Jun.xlsx</v>
      </c>
      <c r="U4" s="19"/>
      <c r="V4" s="36">
        <f t="shared" ref="V4:V71" si="4">I4*1.75%</f>
        <v>744.97734810100019</v>
      </c>
      <c r="W4" s="20">
        <f t="shared" ref="W4:W71" si="5">I4*0.25%</f>
        <v>106.42533544300002</v>
      </c>
      <c r="X4" s="59">
        <f t="shared" ref="X4:X71" si="6">V4-W4</f>
        <v>638.55201265800019</v>
      </c>
      <c r="Y4" s="21">
        <v>0</v>
      </c>
      <c r="Z4" s="48">
        <f t="shared" ref="Z4:Z71" si="7">X4-Y4</f>
        <v>638.55201265800019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42589.47</v>
      </c>
      <c r="AG4" s="5">
        <f t="shared" ref="AG4:AG71" si="8">Q4-AF4</f>
        <v>-19.335822799992457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400</v>
      </c>
      <c r="H5" s="24">
        <v>652</v>
      </c>
      <c r="I5" s="24">
        <v>38138.424950499997</v>
      </c>
      <c r="J5" s="14">
        <f t="shared" si="0"/>
        <v>38138.424950499997</v>
      </c>
      <c r="K5" s="13"/>
      <c r="L5" s="13"/>
      <c r="M5" s="13">
        <v>0</v>
      </c>
      <c r="N5" s="13"/>
      <c r="O5" s="13">
        <f t="shared" si="1"/>
        <v>38138.424950499997</v>
      </c>
      <c r="P5" s="13">
        <f t="shared" si="2"/>
        <v>0</v>
      </c>
      <c r="Q5" s="15">
        <f t="shared" si="3"/>
        <v>38138.424950499997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Payment_05-11 Jun.xlsx</v>
      </c>
      <c r="U5" s="19"/>
      <c r="V5" s="36">
        <f t="shared" si="4"/>
        <v>667.42243663375007</v>
      </c>
      <c r="W5" s="20">
        <f t="shared" si="5"/>
        <v>95.346062376249989</v>
      </c>
      <c r="X5" s="59">
        <f t="shared" si="6"/>
        <v>572.07637425750011</v>
      </c>
      <c r="Y5" s="21">
        <v>0</v>
      </c>
      <c r="Z5" s="48">
        <f t="shared" si="7"/>
        <v>572.07637425750011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38166.699999999997</v>
      </c>
      <c r="AG5" s="5">
        <f t="shared" si="8"/>
        <v>-28.275049500000023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400</v>
      </c>
      <c r="H6" s="24">
        <v>838</v>
      </c>
      <c r="I6" s="24">
        <v>40255.21568590001</v>
      </c>
      <c r="J6" s="14">
        <f t="shared" si="0"/>
        <v>40255.21568590001</v>
      </c>
      <c r="K6" s="13"/>
      <c r="L6" s="13"/>
      <c r="M6" s="13">
        <v>0</v>
      </c>
      <c r="N6" s="13"/>
      <c r="O6" s="13">
        <f t="shared" si="1"/>
        <v>40255.21568590001</v>
      </c>
      <c r="P6" s="13">
        <f t="shared" si="2"/>
        <v>0</v>
      </c>
      <c r="Q6" s="15">
        <f t="shared" si="3"/>
        <v>40255.21568590001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Payment_05-11 Jun.xlsx</v>
      </c>
      <c r="U6" s="19"/>
      <c r="V6" s="36">
        <f t="shared" si="4"/>
        <v>704.46627450325025</v>
      </c>
      <c r="W6" s="20">
        <f t="shared" si="5"/>
        <v>100.63803921475002</v>
      </c>
      <c r="X6" s="59">
        <f t="shared" si="6"/>
        <v>603.8282352885002</v>
      </c>
      <c r="Y6" s="21">
        <v>0</v>
      </c>
      <c r="Z6" s="48">
        <f t="shared" si="7"/>
        <v>603.8282352885002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40255.839999999997</v>
      </c>
      <c r="AG6" s="5">
        <f t="shared" si="8"/>
        <v>-0.62431409998680465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400</v>
      </c>
      <c r="H7" s="24">
        <v>538</v>
      </c>
      <c r="I7" s="24">
        <v>28978.643544100014</v>
      </c>
      <c r="J7" s="14">
        <f t="shared" si="0"/>
        <v>28978.643544100014</v>
      </c>
      <c r="K7" s="13"/>
      <c r="L7" s="13"/>
      <c r="M7" s="13">
        <v>0</v>
      </c>
      <c r="N7" s="13"/>
      <c r="O7" s="13">
        <f t="shared" si="1"/>
        <v>28978.643544100014</v>
      </c>
      <c r="P7" s="13">
        <f t="shared" si="2"/>
        <v>0</v>
      </c>
      <c r="Q7" s="15">
        <f t="shared" si="3"/>
        <v>28978.643544100014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Payment_05-11 Jun.xlsx</v>
      </c>
      <c r="U7" s="19"/>
      <c r="V7" s="36">
        <f t="shared" si="4"/>
        <v>507.12626202175028</v>
      </c>
      <c r="W7" s="20">
        <f t="shared" si="5"/>
        <v>72.446608860250038</v>
      </c>
      <c r="X7" s="59">
        <f t="shared" si="6"/>
        <v>434.67965316150026</v>
      </c>
      <c r="Y7" s="21">
        <v>0</v>
      </c>
      <c r="Z7" s="48">
        <f t="shared" si="7"/>
        <v>434.67965316150026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28979.63</v>
      </c>
      <c r="AG7" s="5">
        <f t="shared" si="8"/>
        <v>-0.98645589998704963</v>
      </c>
    </row>
    <row r="8" spans="1:33" x14ac:dyDescent="0.25">
      <c r="A8" s="8">
        <v>1062</v>
      </c>
      <c r="B8" s="38" t="s">
        <v>320</v>
      </c>
      <c r="C8" s="9">
        <v>10620011</v>
      </c>
      <c r="D8" s="8">
        <f>VLOOKUP(C8,DSC_Master!$C$1:D106,2,0)</f>
        <v>64556</v>
      </c>
      <c r="E8" s="10" t="str">
        <f>VLOOKUP(C8,DSC_Master!$C$1:$K$200,4,0)</f>
        <v>KABILASPUR DSK</v>
      </c>
      <c r="F8" s="11" t="s">
        <v>304</v>
      </c>
      <c r="G8" s="11" t="s">
        <v>400</v>
      </c>
      <c r="H8" s="24">
        <v>468</v>
      </c>
      <c r="I8" s="24">
        <v>26833.151954799996</v>
      </c>
      <c r="J8" s="14">
        <f t="shared" si="0"/>
        <v>26833.151954799996</v>
      </c>
      <c r="K8" s="13"/>
      <c r="L8" s="13"/>
      <c r="M8" s="13">
        <v>0</v>
      </c>
      <c r="N8" s="13"/>
      <c r="O8" s="13">
        <f t="shared" si="1"/>
        <v>26833.151954799996</v>
      </c>
      <c r="P8" s="13">
        <f t="shared" si="2"/>
        <v>0</v>
      </c>
      <c r="Q8" s="15">
        <f t="shared" si="3"/>
        <v>26833.151954799996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Payment_05-11 Jun.xlsx</v>
      </c>
      <c r="U8" s="19"/>
      <c r="V8" s="36">
        <f t="shared" si="4"/>
        <v>469.58015920899999</v>
      </c>
      <c r="W8" s="20">
        <f t="shared" si="5"/>
        <v>67.08287988699999</v>
      </c>
      <c r="X8" s="59">
        <f t="shared" si="6"/>
        <v>402.497279322</v>
      </c>
      <c r="Y8" s="21">
        <v>0</v>
      </c>
      <c r="Z8" s="48">
        <f t="shared" si="7"/>
        <v>402.497279322</v>
      </c>
      <c r="AB8" s="22" t="str">
        <f>VLOOKUP(C8,DSC_Master!$C$1:$K$200,9,0)</f>
        <v>MALTI DEVI</v>
      </c>
      <c r="AC8" s="22" t="str">
        <f>VLOOKUP(C8,DSC_Master!$C$1:$J$201,8,0)</f>
        <v>2374002100002492</v>
      </c>
      <c r="AD8" s="22" t="str">
        <f>VLOOKUP(C8,DSC_Master!$C$1:$J$201,7,0)</f>
        <v>PUNB0237400</v>
      </c>
      <c r="AE8" s="159"/>
      <c r="AF8" s="3">
        <v>26833.4</v>
      </c>
      <c r="AG8" s="5">
        <f t="shared" si="8"/>
        <v>-0.24804520000543562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400</v>
      </c>
      <c r="H9" s="24">
        <v>1098</v>
      </c>
      <c r="I9" s="24">
        <v>50233.861437600004</v>
      </c>
      <c r="J9" s="14">
        <f t="shared" si="0"/>
        <v>50233.861437600004</v>
      </c>
      <c r="K9" s="13"/>
      <c r="L9" s="13"/>
      <c r="M9" s="13">
        <v>0</v>
      </c>
      <c r="N9" s="13"/>
      <c r="O9" s="13">
        <f t="shared" si="1"/>
        <v>50233.861437600004</v>
      </c>
      <c r="P9" s="13">
        <f t="shared" si="2"/>
        <v>0</v>
      </c>
      <c r="Q9" s="15">
        <f t="shared" si="3"/>
        <v>50233.861437600004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Payment_05-11 Jun.xlsx</v>
      </c>
      <c r="U9" s="19"/>
      <c r="V9" s="36">
        <f t="shared" si="4"/>
        <v>879.09257515800016</v>
      </c>
      <c r="W9" s="20">
        <f t="shared" si="5"/>
        <v>125.58465359400002</v>
      </c>
      <c r="X9" s="59">
        <f t="shared" si="6"/>
        <v>753.50792156400018</v>
      </c>
      <c r="Y9" s="21">
        <v>0</v>
      </c>
      <c r="Z9" s="48">
        <f t="shared" si="7"/>
        <v>753.50792156400018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F9" s="3">
        <v>50234.21</v>
      </c>
      <c r="AG9" s="5">
        <f t="shared" si="8"/>
        <v>-0.34856239999498939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400</v>
      </c>
      <c r="H10" s="24">
        <v>258</v>
      </c>
      <c r="I10" s="24">
        <v>14366.180592100001</v>
      </c>
      <c r="J10" s="14">
        <f t="shared" si="0"/>
        <v>14366.180592100001</v>
      </c>
      <c r="K10" s="13"/>
      <c r="L10" s="13"/>
      <c r="M10" s="13">
        <v>0</v>
      </c>
      <c r="N10" s="13"/>
      <c r="O10" s="13">
        <f t="shared" si="1"/>
        <v>14366.180592100001</v>
      </c>
      <c r="P10" s="13">
        <f t="shared" si="2"/>
        <v>0</v>
      </c>
      <c r="Q10" s="15">
        <f t="shared" si="3"/>
        <v>14366.180592100001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Payment_05-11 Jun.xlsx</v>
      </c>
      <c r="U10" s="19"/>
      <c r="V10" s="36">
        <f t="shared" si="4"/>
        <v>251.40816036175005</v>
      </c>
      <c r="W10" s="20">
        <f t="shared" si="5"/>
        <v>35.915451480250006</v>
      </c>
      <c r="X10" s="59">
        <f t="shared" si="6"/>
        <v>215.49270888150005</v>
      </c>
      <c r="Y10" s="21">
        <v>0</v>
      </c>
      <c r="Z10" s="48">
        <f t="shared" si="7"/>
        <v>215.49270888150005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F10" s="3">
        <v>14366.3</v>
      </c>
      <c r="AG10" s="5">
        <f t="shared" si="8"/>
        <v>-0.11940789999789558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400</v>
      </c>
      <c r="H11" s="24">
        <v>336</v>
      </c>
      <c r="I11" s="24">
        <v>15277.132575399999</v>
      </c>
      <c r="J11" s="14">
        <f t="shared" si="0"/>
        <v>15277.132575399999</v>
      </c>
      <c r="K11" s="13"/>
      <c r="L11" s="13"/>
      <c r="M11" s="13">
        <v>0</v>
      </c>
      <c r="N11" s="13"/>
      <c r="O11" s="13">
        <f t="shared" si="1"/>
        <v>15277.132575399999</v>
      </c>
      <c r="P11" s="13">
        <f t="shared" si="2"/>
        <v>0</v>
      </c>
      <c r="Q11" s="15">
        <f t="shared" si="3"/>
        <v>15277.132575399999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Payment_05-11 Jun.xlsx</v>
      </c>
      <c r="U11" s="19"/>
      <c r="V11" s="36">
        <f t="shared" si="4"/>
        <v>267.34982006950003</v>
      </c>
      <c r="W11" s="20">
        <f t="shared" si="5"/>
        <v>38.192831438500001</v>
      </c>
      <c r="X11" s="59">
        <f t="shared" si="6"/>
        <v>229.15698863100002</v>
      </c>
      <c r="Y11" s="21">
        <v>0</v>
      </c>
      <c r="Z11" s="48">
        <f t="shared" si="7"/>
        <v>229.15698863100002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F11" s="3">
        <v>15277.38</v>
      </c>
      <c r="AG11" s="5">
        <f t="shared" si="8"/>
        <v>-0.24742460000015853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400</v>
      </c>
      <c r="H12" s="24">
        <v>619</v>
      </c>
      <c r="I12" s="24">
        <v>27359.980511400001</v>
      </c>
      <c r="J12" s="14">
        <f t="shared" si="0"/>
        <v>27359.980511400001</v>
      </c>
      <c r="K12" s="13"/>
      <c r="L12" s="13"/>
      <c r="M12" s="13">
        <v>0</v>
      </c>
      <c r="N12" s="13"/>
      <c r="O12" s="13">
        <f t="shared" si="1"/>
        <v>27359.980511400001</v>
      </c>
      <c r="P12" s="13">
        <f t="shared" si="2"/>
        <v>0</v>
      </c>
      <c r="Q12" s="15">
        <f t="shared" si="3"/>
        <v>27359.980511400001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Payment_05-11 Jun.xlsx</v>
      </c>
      <c r="U12" s="19"/>
      <c r="V12" s="36">
        <f t="shared" si="4"/>
        <v>478.79965894950004</v>
      </c>
      <c r="W12" s="20">
        <f t="shared" si="5"/>
        <v>68.399951278499998</v>
      </c>
      <c r="X12" s="59">
        <f t="shared" si="6"/>
        <v>410.39970767100004</v>
      </c>
      <c r="Y12" s="21">
        <v>0</v>
      </c>
      <c r="Z12" s="48">
        <f t="shared" si="7"/>
        <v>410.39970767100004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F12" s="3">
        <v>27360.02</v>
      </c>
      <c r="AG12" s="5">
        <f t="shared" si="8"/>
        <v>-3.9488599999458529E-2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400</v>
      </c>
      <c r="H13" s="24">
        <v>282</v>
      </c>
      <c r="I13" s="24">
        <v>13512.368648000001</v>
      </c>
      <c r="J13" s="14">
        <f t="shared" si="0"/>
        <v>13512.368648000001</v>
      </c>
      <c r="K13" s="13"/>
      <c r="L13" s="13"/>
      <c r="M13" s="13">
        <v>0</v>
      </c>
      <c r="N13" s="13"/>
      <c r="O13" s="13">
        <f t="shared" si="1"/>
        <v>13512.368648000001</v>
      </c>
      <c r="P13" s="13">
        <f t="shared" si="2"/>
        <v>0</v>
      </c>
      <c r="Q13" s="15">
        <f t="shared" si="3"/>
        <v>13512.368648000001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Payment_05-11 Jun.xlsx</v>
      </c>
      <c r="U13" s="19"/>
      <c r="V13" s="36">
        <f t="shared" si="4"/>
        <v>236.46645134000005</v>
      </c>
      <c r="W13" s="20">
        <f t="shared" si="5"/>
        <v>33.780921620000001</v>
      </c>
      <c r="X13" s="59">
        <f t="shared" si="6"/>
        <v>202.68552972000003</v>
      </c>
      <c r="Y13" s="21">
        <v>0</v>
      </c>
      <c r="Z13" s="48">
        <f t="shared" si="7"/>
        <v>202.68552972000003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F13" s="3">
        <v>13512.75</v>
      </c>
      <c r="AG13" s="5">
        <f t="shared" si="8"/>
        <v>-0.38135199999851466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400</v>
      </c>
      <c r="H14" s="24">
        <v>306</v>
      </c>
      <c r="I14" s="24">
        <v>10689.301272000002</v>
      </c>
      <c r="J14" s="14">
        <f t="shared" si="0"/>
        <v>10689.301272000002</v>
      </c>
      <c r="K14" s="13"/>
      <c r="L14" s="13"/>
      <c r="M14" s="13">
        <v>0</v>
      </c>
      <c r="N14" s="13"/>
      <c r="O14" s="13">
        <f t="shared" si="1"/>
        <v>10689.301272000002</v>
      </c>
      <c r="P14" s="13">
        <f t="shared" si="2"/>
        <v>0</v>
      </c>
      <c r="Q14" s="15">
        <f t="shared" si="3"/>
        <v>10689.301272000002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Payment_05-11 Jun.xlsx</v>
      </c>
      <c r="U14" s="19"/>
      <c r="V14" s="36">
        <f t="shared" si="4"/>
        <v>187.06277226000006</v>
      </c>
      <c r="W14" s="20">
        <f t="shared" si="5"/>
        <v>26.723253180000007</v>
      </c>
      <c r="X14" s="59">
        <f t="shared" si="6"/>
        <v>160.33951908000006</v>
      </c>
      <c r="Y14" s="21">
        <v>0</v>
      </c>
      <c r="Z14" s="48">
        <f t="shared" si="7"/>
        <v>160.33951908000006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F14" s="3">
        <v>10689.12</v>
      </c>
      <c r="AG14" s="5">
        <f t="shared" si="8"/>
        <v>0.18127200000162702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400</v>
      </c>
      <c r="H15" s="24">
        <v>1507</v>
      </c>
      <c r="I15" s="24">
        <v>69087.579810399999</v>
      </c>
      <c r="J15" s="14">
        <f t="shared" si="0"/>
        <v>69087.579810399999</v>
      </c>
      <c r="K15" s="13"/>
      <c r="L15" s="13"/>
      <c r="M15" s="13">
        <v>0</v>
      </c>
      <c r="N15" s="13"/>
      <c r="O15" s="13">
        <f t="shared" si="1"/>
        <v>69087.579810399999</v>
      </c>
      <c r="P15" s="13">
        <f t="shared" si="2"/>
        <v>0</v>
      </c>
      <c r="Q15" s="15">
        <f t="shared" si="3"/>
        <v>69087.579810399999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Payment_05-11 Jun.xlsx</v>
      </c>
      <c r="U15" s="19"/>
      <c r="V15" s="36">
        <f t="shared" si="4"/>
        <v>1209.0326466820002</v>
      </c>
      <c r="W15" s="20">
        <f t="shared" si="5"/>
        <v>172.71894952599999</v>
      </c>
      <c r="X15" s="59">
        <f t="shared" si="6"/>
        <v>1036.3136971560002</v>
      </c>
      <c r="Y15" s="21">
        <v>0</v>
      </c>
      <c r="Z15" s="48">
        <f t="shared" si="7"/>
        <v>1036.3136971560002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F15" s="3">
        <v>69089.94</v>
      </c>
      <c r="AG15" s="5">
        <f t="shared" si="8"/>
        <v>-2.3601896000036504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400</v>
      </c>
      <c r="H16" s="24">
        <v>103</v>
      </c>
      <c r="I16" s="24">
        <v>5626.1297999999997</v>
      </c>
      <c r="J16" s="14">
        <f t="shared" si="0"/>
        <v>5626.1297999999997</v>
      </c>
      <c r="K16" s="13"/>
      <c r="L16" s="13"/>
      <c r="M16" s="13">
        <v>0</v>
      </c>
      <c r="N16" s="13"/>
      <c r="O16" s="13">
        <f t="shared" si="1"/>
        <v>5626.1297999999997</v>
      </c>
      <c r="P16" s="13">
        <f t="shared" si="2"/>
        <v>0</v>
      </c>
      <c r="Q16" s="15">
        <f t="shared" si="3"/>
        <v>5626.1297999999997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Payment_05-11 Jun.xlsx</v>
      </c>
      <c r="U16" s="19"/>
      <c r="V16" s="36">
        <f t="shared" si="4"/>
        <v>98.457271500000004</v>
      </c>
      <c r="W16" s="20">
        <f t="shared" si="5"/>
        <v>14.065324499999999</v>
      </c>
      <c r="X16" s="59">
        <f t="shared" si="6"/>
        <v>84.391947000000002</v>
      </c>
      <c r="Y16" s="21">
        <v>0</v>
      </c>
      <c r="Z16" s="48">
        <f t="shared" si="7"/>
        <v>84.391947000000002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F16" s="3">
        <v>5626.22</v>
      </c>
      <c r="AG16" s="5">
        <f t="shared" si="8"/>
        <v>-9.0200000000550062E-2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400</v>
      </c>
      <c r="H17" s="24">
        <v>264</v>
      </c>
      <c r="I17" s="24">
        <v>12127.556768300001</v>
      </c>
      <c r="J17" s="14">
        <f t="shared" si="0"/>
        <v>12127.556768300001</v>
      </c>
      <c r="K17" s="13"/>
      <c r="L17" s="13"/>
      <c r="M17" s="13">
        <v>0</v>
      </c>
      <c r="N17" s="13"/>
      <c r="O17" s="13">
        <f t="shared" si="1"/>
        <v>12127.556768300001</v>
      </c>
      <c r="P17" s="13">
        <f t="shared" si="2"/>
        <v>0</v>
      </c>
      <c r="Q17" s="15">
        <f t="shared" si="3"/>
        <v>12127.556768300001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Payment_05-11 Jun.xlsx</v>
      </c>
      <c r="U17" s="19"/>
      <c r="V17" s="36">
        <f t="shared" si="4"/>
        <v>212.23224344525005</v>
      </c>
      <c r="W17" s="20">
        <f t="shared" si="5"/>
        <v>30.318891920750001</v>
      </c>
      <c r="X17" s="59">
        <f t="shared" si="6"/>
        <v>181.91335152450006</v>
      </c>
      <c r="Y17" s="21">
        <v>0</v>
      </c>
      <c r="Z17" s="48">
        <f t="shared" si="7"/>
        <v>181.91335152450006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F17" s="3">
        <v>12127.91</v>
      </c>
      <c r="AG17" s="5">
        <f t="shared" si="8"/>
        <v>-0.35323169999901438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400</v>
      </c>
      <c r="H18" s="24">
        <v>121</v>
      </c>
      <c r="I18" s="24">
        <v>4546.1795946000011</v>
      </c>
      <c r="J18" s="14">
        <f t="shared" si="0"/>
        <v>4546.1795946000011</v>
      </c>
      <c r="K18" s="13"/>
      <c r="L18" s="13"/>
      <c r="M18" s="13">
        <v>0</v>
      </c>
      <c r="N18" s="13"/>
      <c r="O18" s="13">
        <f t="shared" si="1"/>
        <v>4546.1795946000011</v>
      </c>
      <c r="P18" s="13">
        <f t="shared" si="2"/>
        <v>0</v>
      </c>
      <c r="Q18" s="15">
        <f t="shared" si="3"/>
        <v>4546.1795946000011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Payment_05-11 Jun.xlsx</v>
      </c>
      <c r="U18" s="19"/>
      <c r="V18" s="36">
        <f t="shared" si="4"/>
        <v>79.55814290550002</v>
      </c>
      <c r="W18" s="20">
        <f t="shared" si="5"/>
        <v>11.365448986500002</v>
      </c>
      <c r="X18" s="59">
        <f t="shared" si="6"/>
        <v>68.192693919000021</v>
      </c>
      <c r="Y18" s="21">
        <v>0</v>
      </c>
      <c r="Z18" s="48">
        <f t="shared" si="7"/>
        <v>68.192693919000021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F18" s="3">
        <v>4546.2</v>
      </c>
      <c r="AG18" s="5">
        <f t="shared" si="8"/>
        <v>-2.0405399998708162E-2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400</v>
      </c>
      <c r="H19" s="24">
        <v>415</v>
      </c>
      <c r="I19" s="24">
        <v>17118.321960600002</v>
      </c>
      <c r="J19" s="14">
        <f t="shared" si="0"/>
        <v>17118.321960600002</v>
      </c>
      <c r="K19" s="13"/>
      <c r="L19" s="13"/>
      <c r="M19" s="13">
        <v>0</v>
      </c>
      <c r="N19" s="13"/>
      <c r="O19" s="13">
        <f t="shared" si="1"/>
        <v>17118.321960600002</v>
      </c>
      <c r="P19" s="13">
        <f t="shared" si="2"/>
        <v>0</v>
      </c>
      <c r="Q19" s="15">
        <f t="shared" si="3"/>
        <v>17118.321960600002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Payment_05-11 Jun.xlsx</v>
      </c>
      <c r="U19" s="19"/>
      <c r="V19" s="36">
        <f t="shared" si="4"/>
        <v>299.57063431050005</v>
      </c>
      <c r="W19" s="20">
        <f t="shared" si="5"/>
        <v>42.795804901500006</v>
      </c>
      <c r="X19" s="59">
        <f t="shared" si="6"/>
        <v>256.77482940900006</v>
      </c>
      <c r="Y19" s="21">
        <v>0</v>
      </c>
      <c r="Z19" s="48">
        <f t="shared" si="7"/>
        <v>256.77482940900006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F19" s="3">
        <v>17118.310000000001</v>
      </c>
      <c r="AG19" s="5">
        <f t="shared" si="8"/>
        <v>1.1960600000747945E-2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400</v>
      </c>
      <c r="H20" s="24">
        <v>676</v>
      </c>
      <c r="I20" s="24">
        <v>30875.430495600001</v>
      </c>
      <c r="J20" s="14">
        <f t="shared" si="0"/>
        <v>30875.430495600001</v>
      </c>
      <c r="K20" s="13"/>
      <c r="L20" s="13"/>
      <c r="M20" s="13">
        <v>0</v>
      </c>
      <c r="N20" s="13"/>
      <c r="O20" s="13">
        <f t="shared" si="1"/>
        <v>30875.430495600001</v>
      </c>
      <c r="P20" s="13">
        <f t="shared" si="2"/>
        <v>0</v>
      </c>
      <c r="Q20" s="15">
        <f t="shared" si="3"/>
        <v>30875.430495600001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Payment_05-11 Jun.xlsx</v>
      </c>
      <c r="U20" s="19"/>
      <c r="V20" s="36">
        <f t="shared" si="4"/>
        <v>540.32003367300013</v>
      </c>
      <c r="W20" s="20">
        <f t="shared" si="5"/>
        <v>77.188576239</v>
      </c>
      <c r="X20" s="59">
        <f t="shared" si="6"/>
        <v>463.13145743400014</v>
      </c>
      <c r="Y20" s="21">
        <v>0</v>
      </c>
      <c r="Z20" s="48">
        <f t="shared" si="7"/>
        <v>463.13145743400014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F20" s="3">
        <v>30875.759999999998</v>
      </c>
      <c r="AG20" s="5">
        <f t="shared" si="8"/>
        <v>-0.32950439999694936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400</v>
      </c>
      <c r="H21" s="24">
        <v>25</v>
      </c>
      <c r="I21" s="24">
        <v>1059.903495</v>
      </c>
      <c r="J21" s="14">
        <f t="shared" si="0"/>
        <v>1059.903495</v>
      </c>
      <c r="K21" s="13"/>
      <c r="L21" s="13"/>
      <c r="M21" s="13">
        <v>0</v>
      </c>
      <c r="N21" s="13"/>
      <c r="O21" s="13">
        <f t="shared" si="1"/>
        <v>1059.903495</v>
      </c>
      <c r="P21" s="13">
        <f t="shared" si="2"/>
        <v>0</v>
      </c>
      <c r="Q21" s="15">
        <f t="shared" si="3"/>
        <v>1059.903495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Payment_05-11 Jun.xlsx</v>
      </c>
      <c r="U21" s="19"/>
      <c r="V21" s="36">
        <f t="shared" si="4"/>
        <v>18.548311162500003</v>
      </c>
      <c r="W21" s="20">
        <f t="shared" si="5"/>
        <v>2.6497587375</v>
      </c>
      <c r="X21" s="59">
        <f t="shared" si="6"/>
        <v>15.898552425000002</v>
      </c>
      <c r="Y21" s="21">
        <v>0</v>
      </c>
      <c r="Z21" s="48">
        <f t="shared" si="7"/>
        <v>15.898552425000002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F21" s="3">
        <v>1060</v>
      </c>
      <c r="AG21" s="5">
        <f t="shared" si="8"/>
        <v>-9.6504999999979191E-2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400</v>
      </c>
      <c r="H22" s="24">
        <v>1380</v>
      </c>
      <c r="I22" s="24">
        <v>60165.660175700003</v>
      </c>
      <c r="J22" s="14">
        <f t="shared" si="0"/>
        <v>60165.660175700003</v>
      </c>
      <c r="K22" s="13"/>
      <c r="L22" s="13"/>
      <c r="M22" s="13">
        <v>0</v>
      </c>
      <c r="N22" s="13"/>
      <c r="O22" s="13">
        <f t="shared" si="1"/>
        <v>60165.660175700003</v>
      </c>
      <c r="P22" s="13">
        <f t="shared" si="2"/>
        <v>0</v>
      </c>
      <c r="Q22" s="15">
        <f t="shared" si="3"/>
        <v>60165.660175700003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Payment_05-11 Jun.xlsx</v>
      </c>
      <c r="U22" s="19"/>
      <c r="V22" s="36">
        <f t="shared" si="4"/>
        <v>1052.8990530747501</v>
      </c>
      <c r="W22" s="20">
        <f t="shared" si="5"/>
        <v>150.41415043925002</v>
      </c>
      <c r="X22" s="59">
        <f t="shared" si="6"/>
        <v>902.48490263550002</v>
      </c>
      <c r="Y22" s="21">
        <v>0</v>
      </c>
      <c r="Z22" s="48">
        <f t="shared" si="7"/>
        <v>902.48490263550002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F22" s="3">
        <v>60171.24</v>
      </c>
      <c r="AG22" s="5">
        <f t="shared" si="8"/>
        <v>-5.57982429999538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400</v>
      </c>
      <c r="H23" s="24">
        <v>1259</v>
      </c>
      <c r="I23" s="24">
        <v>53785.579776099999</v>
      </c>
      <c r="J23" s="14">
        <f t="shared" si="0"/>
        <v>53785.579776099999</v>
      </c>
      <c r="K23" s="13"/>
      <c r="L23" s="13"/>
      <c r="M23" s="13">
        <v>0</v>
      </c>
      <c r="N23" s="13"/>
      <c r="O23" s="13">
        <f t="shared" si="1"/>
        <v>53785.579776099999</v>
      </c>
      <c r="P23" s="13">
        <f t="shared" si="2"/>
        <v>0</v>
      </c>
      <c r="Q23" s="15">
        <f t="shared" si="3"/>
        <v>53785.579776099999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Payment_05-11 Jun.xlsx</v>
      </c>
      <c r="U23" s="19"/>
      <c r="V23" s="36">
        <f t="shared" si="4"/>
        <v>941.24764608175008</v>
      </c>
      <c r="W23" s="20">
        <f t="shared" si="5"/>
        <v>134.46394944024999</v>
      </c>
      <c r="X23" s="59">
        <f t="shared" si="6"/>
        <v>806.78369664150011</v>
      </c>
      <c r="Y23" s="21">
        <v>0</v>
      </c>
      <c r="Z23" s="48">
        <f t="shared" si="7"/>
        <v>806.78369664150011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F23" s="3">
        <v>53805</v>
      </c>
      <c r="AG23" s="5">
        <f t="shared" si="8"/>
        <v>-19.420223900000565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400</v>
      </c>
      <c r="H24" s="24">
        <v>112</v>
      </c>
      <c r="I24" s="24">
        <v>5015.2243629000004</v>
      </c>
      <c r="J24" s="14">
        <f t="shared" si="0"/>
        <v>5015.2243629000004</v>
      </c>
      <c r="K24" s="13"/>
      <c r="L24" s="13"/>
      <c r="M24" s="13">
        <v>0</v>
      </c>
      <c r="N24" s="13"/>
      <c r="O24" s="13">
        <f t="shared" si="1"/>
        <v>5015.2243629000004</v>
      </c>
      <c r="P24" s="13">
        <f t="shared" si="2"/>
        <v>0</v>
      </c>
      <c r="Q24" s="15">
        <f t="shared" si="3"/>
        <v>5015.2243629000004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Payment_05-11 Jun.xlsx</v>
      </c>
      <c r="U24" s="19"/>
      <c r="V24" s="36">
        <f t="shared" si="4"/>
        <v>87.76642635075001</v>
      </c>
      <c r="W24" s="20">
        <f t="shared" si="5"/>
        <v>12.538060907250001</v>
      </c>
      <c r="X24" s="59">
        <f t="shared" si="6"/>
        <v>75.22836544350001</v>
      </c>
      <c r="Y24" s="21">
        <v>0</v>
      </c>
      <c r="Z24" s="48">
        <f t="shared" si="7"/>
        <v>75.22836544350001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F24" s="3">
        <v>5015.1499999999996</v>
      </c>
      <c r="AG24" s="5">
        <f t="shared" si="8"/>
        <v>7.4362900000778609E-2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400</v>
      </c>
      <c r="H25" s="24">
        <v>151</v>
      </c>
      <c r="I25" s="24">
        <v>5723.9120108999996</v>
      </c>
      <c r="J25" s="14">
        <f t="shared" si="0"/>
        <v>5723.9120108999996</v>
      </c>
      <c r="K25" s="13"/>
      <c r="L25" s="13"/>
      <c r="M25" s="13">
        <v>0</v>
      </c>
      <c r="N25" s="13"/>
      <c r="O25" s="13">
        <f t="shared" si="1"/>
        <v>5723.9120108999996</v>
      </c>
      <c r="P25" s="13">
        <f t="shared" si="2"/>
        <v>0</v>
      </c>
      <c r="Q25" s="15">
        <f t="shared" si="3"/>
        <v>5723.9120108999996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Payment_05-11 Jun.xlsx</v>
      </c>
      <c r="U25" s="19"/>
      <c r="V25" s="36">
        <f t="shared" si="4"/>
        <v>100.16846019075</v>
      </c>
      <c r="W25" s="20">
        <f t="shared" si="5"/>
        <v>14.30978002725</v>
      </c>
      <c r="X25" s="59">
        <f t="shared" si="6"/>
        <v>85.858680163499997</v>
      </c>
      <c r="Y25" s="21">
        <v>0</v>
      </c>
      <c r="Z25" s="48">
        <f t="shared" si="7"/>
        <v>85.858680163499997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F25" s="3">
        <v>5724.07</v>
      </c>
      <c r="AG25" s="5">
        <f t="shared" si="8"/>
        <v>-0.15798910000012256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400</v>
      </c>
      <c r="H26" s="24">
        <v>657</v>
      </c>
      <c r="I26" s="24">
        <v>24180.865079999996</v>
      </c>
      <c r="J26" s="14">
        <f t="shared" si="0"/>
        <v>24180.865079999996</v>
      </c>
      <c r="K26" s="13"/>
      <c r="L26" s="13"/>
      <c r="M26" s="13">
        <v>0</v>
      </c>
      <c r="N26" s="13"/>
      <c r="O26" s="13">
        <f t="shared" si="1"/>
        <v>24180.865079999996</v>
      </c>
      <c r="P26" s="13">
        <f t="shared" si="2"/>
        <v>0</v>
      </c>
      <c r="Q26" s="15">
        <f t="shared" si="3"/>
        <v>24180.865079999996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Payment_05-11 Jun.xlsx</v>
      </c>
      <c r="U26" s="19"/>
      <c r="V26" s="36">
        <f t="shared" si="4"/>
        <v>423.16513889999999</v>
      </c>
      <c r="W26" s="20">
        <f t="shared" si="5"/>
        <v>60.452162699999988</v>
      </c>
      <c r="X26" s="59">
        <f t="shared" si="6"/>
        <v>362.71297620000001</v>
      </c>
      <c r="Y26" s="21">
        <v>0</v>
      </c>
      <c r="Z26" s="48">
        <f t="shared" si="7"/>
        <v>362.71297620000001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F26" s="3">
        <v>24162.400000000001</v>
      </c>
      <c r="AG26" s="5">
        <f t="shared" si="8"/>
        <v>18.465079999994487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400</v>
      </c>
      <c r="H27" s="24">
        <v>1634</v>
      </c>
      <c r="I27" s="24">
        <v>71450.761224899994</v>
      </c>
      <c r="J27" s="14">
        <f t="shared" si="0"/>
        <v>71450.761224899994</v>
      </c>
      <c r="K27" s="13"/>
      <c r="L27" s="13"/>
      <c r="M27" s="13">
        <v>0</v>
      </c>
      <c r="N27" s="13"/>
      <c r="O27" s="13">
        <f t="shared" si="1"/>
        <v>71450.761224899994</v>
      </c>
      <c r="P27" s="13">
        <f t="shared" si="2"/>
        <v>0</v>
      </c>
      <c r="Q27" s="15">
        <f t="shared" si="3"/>
        <v>71450.761224899994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Payment_05-11 Jun.xlsx</v>
      </c>
      <c r="U27" s="19"/>
      <c r="V27" s="36">
        <f t="shared" si="4"/>
        <v>1250.38832143575</v>
      </c>
      <c r="W27" s="20">
        <f t="shared" si="5"/>
        <v>178.62690306224999</v>
      </c>
      <c r="X27" s="59">
        <f t="shared" si="6"/>
        <v>1071.7614183735</v>
      </c>
      <c r="Y27" s="21">
        <v>0</v>
      </c>
      <c r="Z27" s="48">
        <f t="shared" si="7"/>
        <v>1071.7614183735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F27" s="3">
        <v>71452.789999999994</v>
      </c>
      <c r="AG27" s="5">
        <f t="shared" si="8"/>
        <v>-2.0287750999996206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400</v>
      </c>
      <c r="H28" s="24">
        <v>464</v>
      </c>
      <c r="I28" s="24">
        <v>20440.465178499999</v>
      </c>
      <c r="J28" s="14">
        <f t="shared" si="0"/>
        <v>20440.465178499999</v>
      </c>
      <c r="K28" s="13"/>
      <c r="L28" s="13"/>
      <c r="M28" s="13">
        <v>0</v>
      </c>
      <c r="N28" s="13"/>
      <c r="O28" s="13">
        <f t="shared" si="1"/>
        <v>20440.465178499999</v>
      </c>
      <c r="P28" s="13">
        <f t="shared" si="2"/>
        <v>0</v>
      </c>
      <c r="Q28" s="15">
        <f t="shared" si="3"/>
        <v>20440.465178499999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Payment_05-11 Jun.xlsx</v>
      </c>
      <c r="U28" s="19"/>
      <c r="V28" s="36">
        <f t="shared" si="4"/>
        <v>357.70814062375001</v>
      </c>
      <c r="W28" s="20">
        <f t="shared" si="5"/>
        <v>51.10116294625</v>
      </c>
      <c r="X28" s="59">
        <f t="shared" si="6"/>
        <v>306.60697767750003</v>
      </c>
      <c r="Y28" s="21">
        <v>0</v>
      </c>
      <c r="Z28" s="48">
        <f t="shared" si="7"/>
        <v>306.60697767750003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F28" s="3">
        <v>20440.439999999999</v>
      </c>
      <c r="AG28" s="5">
        <f t="shared" si="8"/>
        <v>2.5178500000038184E-2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400</v>
      </c>
      <c r="H29" s="24">
        <v>1041</v>
      </c>
      <c r="I29" s="24">
        <v>45303.967344000004</v>
      </c>
      <c r="J29" s="14">
        <f t="shared" si="0"/>
        <v>45303.967344000004</v>
      </c>
      <c r="K29" s="13"/>
      <c r="L29" s="13"/>
      <c r="M29" s="13">
        <v>0</v>
      </c>
      <c r="N29" s="13"/>
      <c r="O29" s="13">
        <f t="shared" si="1"/>
        <v>45303.967344000004</v>
      </c>
      <c r="P29" s="13">
        <f t="shared" si="2"/>
        <v>0</v>
      </c>
      <c r="Q29" s="15">
        <f t="shared" si="3"/>
        <v>45303.967344000004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Payment_05-11 Jun.xlsx</v>
      </c>
      <c r="U29" s="19"/>
      <c r="V29" s="36">
        <f t="shared" si="4"/>
        <v>792.8194285200002</v>
      </c>
      <c r="W29" s="20">
        <f t="shared" si="5"/>
        <v>113.25991836000001</v>
      </c>
      <c r="X29" s="59">
        <f t="shared" si="6"/>
        <v>679.55951016000017</v>
      </c>
      <c r="Y29" s="21">
        <v>0</v>
      </c>
      <c r="Z29" s="48">
        <f t="shared" si="7"/>
        <v>679.55951016000017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F29" s="3">
        <v>45304.84</v>
      </c>
      <c r="AG29" s="5">
        <f t="shared" si="8"/>
        <v>-0.87265599999227561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400</v>
      </c>
      <c r="H30" s="24">
        <v>762</v>
      </c>
      <c r="I30" s="24">
        <v>30915.389460300004</v>
      </c>
      <c r="J30" s="14">
        <f t="shared" si="0"/>
        <v>30915.389460300004</v>
      </c>
      <c r="K30" s="13"/>
      <c r="L30" s="13"/>
      <c r="M30" s="13">
        <v>0</v>
      </c>
      <c r="N30" s="13"/>
      <c r="O30" s="13">
        <f t="shared" si="1"/>
        <v>30915.389460300004</v>
      </c>
      <c r="P30" s="13">
        <f t="shared" si="2"/>
        <v>0</v>
      </c>
      <c r="Q30" s="15">
        <f t="shared" si="3"/>
        <v>30915.389460300004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Payment_05-11 Jun.xlsx</v>
      </c>
      <c r="U30" s="19"/>
      <c r="V30" s="36">
        <f t="shared" si="4"/>
        <v>541.01931555525016</v>
      </c>
      <c r="W30" s="20">
        <f t="shared" si="5"/>
        <v>77.288473650750007</v>
      </c>
      <c r="X30" s="59">
        <f t="shared" si="6"/>
        <v>463.73084190450015</v>
      </c>
      <c r="Y30" s="21">
        <v>0</v>
      </c>
      <c r="Z30" s="48">
        <f t="shared" si="7"/>
        <v>463.73084190450015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F30" s="3">
        <v>30915.5</v>
      </c>
      <c r="AG30" s="5">
        <f t="shared" si="8"/>
        <v>-0.11053969999557012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400</v>
      </c>
      <c r="H31" s="24">
        <v>843</v>
      </c>
      <c r="I31" s="24">
        <v>35418.494627600012</v>
      </c>
      <c r="J31" s="14">
        <f t="shared" si="0"/>
        <v>35418.494627600012</v>
      </c>
      <c r="K31" s="13"/>
      <c r="L31" s="13"/>
      <c r="M31" s="13">
        <v>0</v>
      </c>
      <c r="N31" s="13"/>
      <c r="O31" s="13">
        <f t="shared" si="1"/>
        <v>35418.494627600012</v>
      </c>
      <c r="P31" s="13">
        <f t="shared" si="2"/>
        <v>0</v>
      </c>
      <c r="Q31" s="15">
        <f t="shared" si="3"/>
        <v>35418.494627600012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Payment_05-11 Jun.xlsx</v>
      </c>
      <c r="U31" s="19"/>
      <c r="V31" s="36">
        <f t="shared" si="4"/>
        <v>619.82365598300032</v>
      </c>
      <c r="W31" s="20">
        <f t="shared" si="5"/>
        <v>88.54623656900003</v>
      </c>
      <c r="X31" s="59">
        <f t="shared" si="6"/>
        <v>531.27741941400029</v>
      </c>
      <c r="Y31" s="21">
        <v>0</v>
      </c>
      <c r="Z31" s="48">
        <f t="shared" si="7"/>
        <v>531.27741941400029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F31" s="3">
        <v>35419.339999999997</v>
      </c>
      <c r="AG31" s="5">
        <f t="shared" si="8"/>
        <v>-0.8453723999846261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400</v>
      </c>
      <c r="H32" s="24">
        <v>70</v>
      </c>
      <c r="I32" s="24">
        <v>3156.9258032000002</v>
      </c>
      <c r="J32" s="14">
        <f t="shared" si="0"/>
        <v>3156.9258032000002</v>
      </c>
      <c r="K32" s="13"/>
      <c r="L32" s="13"/>
      <c r="M32" s="13">
        <v>0</v>
      </c>
      <c r="N32" s="13"/>
      <c r="O32" s="13">
        <f t="shared" si="1"/>
        <v>3156.9258032000002</v>
      </c>
      <c r="P32" s="13">
        <f t="shared" si="2"/>
        <v>0</v>
      </c>
      <c r="Q32" s="15">
        <f t="shared" si="3"/>
        <v>3156.9258032000002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Payment_05-11 Jun.xlsx</v>
      </c>
      <c r="U32" s="19"/>
      <c r="V32" s="36">
        <f t="shared" si="4"/>
        <v>55.24620155600001</v>
      </c>
      <c r="W32" s="20">
        <f t="shared" si="5"/>
        <v>7.892314508000001</v>
      </c>
      <c r="X32" s="59">
        <f t="shared" si="6"/>
        <v>47.353887048000011</v>
      </c>
      <c r="Y32" s="21">
        <v>0</v>
      </c>
      <c r="Z32" s="48">
        <f t="shared" si="7"/>
        <v>47.353887048000011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F32" s="3">
        <v>3157.01</v>
      </c>
      <c r="AG32" s="5">
        <f t="shared" si="8"/>
        <v>-8.4196799999972427E-2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400</v>
      </c>
      <c r="H33" s="24">
        <v>568</v>
      </c>
      <c r="I33" s="24">
        <v>23487.7319494</v>
      </c>
      <c r="J33" s="14">
        <f t="shared" si="0"/>
        <v>23487.7319494</v>
      </c>
      <c r="K33" s="13"/>
      <c r="L33" s="13"/>
      <c r="M33" s="13">
        <v>0</v>
      </c>
      <c r="N33" s="13"/>
      <c r="O33" s="13">
        <f t="shared" si="1"/>
        <v>23487.7319494</v>
      </c>
      <c r="P33" s="13">
        <f t="shared" si="2"/>
        <v>0</v>
      </c>
      <c r="Q33" s="15">
        <f t="shared" si="3"/>
        <v>23487.7319494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Payment_05-11 Jun.xlsx</v>
      </c>
      <c r="U33" s="19"/>
      <c r="V33" s="36">
        <f t="shared" si="4"/>
        <v>411.03530911450002</v>
      </c>
      <c r="W33" s="20">
        <f t="shared" si="5"/>
        <v>58.719329873500001</v>
      </c>
      <c r="X33" s="59">
        <f t="shared" si="6"/>
        <v>352.31597924100004</v>
      </c>
      <c r="Y33" s="21">
        <v>0</v>
      </c>
      <c r="Z33" s="48">
        <f t="shared" si="7"/>
        <v>352.31597924100004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F33" s="3">
        <v>23488.1</v>
      </c>
      <c r="AG33" s="5">
        <f t="shared" si="8"/>
        <v>-0.36805059999824152</v>
      </c>
    </row>
    <row r="34" spans="1:33" x14ac:dyDescent="0.25">
      <c r="A34" s="8">
        <v>1062</v>
      </c>
      <c r="B34" s="38" t="s">
        <v>320</v>
      </c>
      <c r="C34" s="9">
        <v>10620050</v>
      </c>
      <c r="D34" s="8">
        <f>VLOOKUP(C34,DSC_Master!$C$1:D132,2,0)</f>
        <v>60553</v>
      </c>
      <c r="E34" s="10" t="str">
        <f>VLOOKUP(C34,DSC_Master!$C$1:$K$200,4,0)</f>
        <v>PARASIYA DSK</v>
      </c>
      <c r="F34" s="11" t="s">
        <v>304</v>
      </c>
      <c r="G34" s="11" t="s">
        <v>400</v>
      </c>
      <c r="H34" s="24">
        <v>31</v>
      </c>
      <c r="I34" s="24">
        <v>1100.9144859</v>
      </c>
      <c r="J34" s="14">
        <f t="shared" si="0"/>
        <v>1100.9144859</v>
      </c>
      <c r="K34" s="13"/>
      <c r="L34" s="13"/>
      <c r="M34" s="13">
        <v>0</v>
      </c>
      <c r="N34" s="13"/>
      <c r="O34" s="13">
        <f t="shared" si="1"/>
        <v>1100.9144859</v>
      </c>
      <c r="P34" s="13">
        <f t="shared" si="2"/>
        <v>0</v>
      </c>
      <c r="Q34" s="15">
        <f t="shared" si="3"/>
        <v>1100.9144859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Payment_05-11 Jun.xlsx</v>
      </c>
      <c r="U34" s="19"/>
      <c r="V34" s="36">
        <f t="shared" si="4"/>
        <v>19.266003503250001</v>
      </c>
      <c r="W34" s="20">
        <f t="shared" si="5"/>
        <v>2.7522862147500002</v>
      </c>
      <c r="X34" s="59">
        <f t="shared" si="6"/>
        <v>16.513717288500001</v>
      </c>
      <c r="Y34" s="21">
        <v>0</v>
      </c>
      <c r="Z34" s="48">
        <f t="shared" si="7"/>
        <v>16.513717288500001</v>
      </c>
      <c r="AA34" s="23"/>
      <c r="AB34" s="22" t="str">
        <f>VLOOKUP(C34,DSC_Master!$C$1:$K$200,9,0)</f>
        <v>ABHAY SINGH</v>
      </c>
      <c r="AC34" s="22" t="str">
        <f>VLOOKUP(C34,DSC_Master!$C$1:$J$201,8,0)</f>
        <v>625310110002460</v>
      </c>
      <c r="AD34" s="22" t="str">
        <f>VLOOKUP(C34,DSC_Master!$C$1:$J$201,7,0)</f>
        <v>BKID0006253</v>
      </c>
      <c r="AE34" s="159"/>
      <c r="AF34" s="3">
        <v>1100.9100000000001</v>
      </c>
      <c r="AG34" s="5">
        <f t="shared" si="8"/>
        <v>4.4858999999632942E-3</v>
      </c>
    </row>
    <row r="35" spans="1:33" x14ac:dyDescent="0.25">
      <c r="A35" s="8">
        <v>1062</v>
      </c>
      <c r="B35" s="38" t="s">
        <v>320</v>
      </c>
      <c r="C35" s="9">
        <v>10620051</v>
      </c>
      <c r="D35" s="8">
        <f>VLOOKUP(C35,DSC_Master!$C$1:D133,2,0)</f>
        <v>64543</v>
      </c>
      <c r="E35" s="10" t="str">
        <f>VLOOKUP(C35,DSC_Master!$C$1:$K$200,4,0)</f>
        <v>SUHWAL DSK</v>
      </c>
      <c r="F35" s="11" t="s">
        <v>304</v>
      </c>
      <c r="G35" s="11" t="s">
        <v>400</v>
      </c>
      <c r="H35" s="24">
        <v>941</v>
      </c>
      <c r="I35" s="24">
        <v>53787.360000000008</v>
      </c>
      <c r="J35" s="14">
        <f t="shared" si="0"/>
        <v>53787.360000000008</v>
      </c>
      <c r="K35" s="13"/>
      <c r="L35" s="13"/>
      <c r="M35" s="13">
        <v>0</v>
      </c>
      <c r="N35" s="13"/>
      <c r="O35" s="13">
        <f t="shared" si="1"/>
        <v>53787.360000000008</v>
      </c>
      <c r="P35" s="13">
        <f t="shared" si="2"/>
        <v>0</v>
      </c>
      <c r="Q35" s="15">
        <f t="shared" si="3"/>
        <v>53787.360000000008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Payment_05-11 Jun.xlsx</v>
      </c>
      <c r="U35" s="19"/>
      <c r="V35" s="36">
        <f t="shared" si="4"/>
        <v>941.27880000000027</v>
      </c>
      <c r="W35" s="20">
        <f t="shared" si="5"/>
        <v>134.46840000000003</v>
      </c>
      <c r="X35" s="59">
        <f t="shared" si="6"/>
        <v>806.8104000000003</v>
      </c>
      <c r="Y35" s="21">
        <v>0</v>
      </c>
      <c r="Z35" s="48">
        <f t="shared" si="7"/>
        <v>806.8104000000003</v>
      </c>
      <c r="AB35" s="22" t="str">
        <f>VLOOKUP(C35,DSC_Master!$C$1:$K$200,9,0)</f>
        <v>ADITI PANDEY</v>
      </c>
      <c r="AC35" s="22" t="str">
        <f>VLOOKUP(C35,DSC_Master!$C$1:$J$201,8,0)</f>
        <v>719210110003860</v>
      </c>
      <c r="AD35" s="22" t="str">
        <f>VLOOKUP(C35,DSC_Master!$C$1:$J$201,7,0)</f>
        <v>BKID0007192</v>
      </c>
      <c r="AE35" s="159"/>
      <c r="AF35" s="3">
        <v>53788.39</v>
      </c>
      <c r="AG35" s="5">
        <f t="shared" si="8"/>
        <v>-1.0299999999915599</v>
      </c>
    </row>
    <row r="36" spans="1:33" x14ac:dyDescent="0.25">
      <c r="A36" s="8">
        <v>1062</v>
      </c>
      <c r="B36" s="38" t="s">
        <v>320</v>
      </c>
      <c r="C36" s="9">
        <v>10620052</v>
      </c>
      <c r="D36" s="8">
        <f>VLOOKUP(C36,DSC_Master!$C$1:D134,2,0)</f>
        <v>60614</v>
      </c>
      <c r="E36" s="10" t="str">
        <f>VLOOKUP(C36,DSC_Master!$C$1:$K$200,4,0)</f>
        <v>BAHPURA DSK</v>
      </c>
      <c r="F36" s="11" t="s">
        <v>304</v>
      </c>
      <c r="G36" s="11" t="s">
        <v>400</v>
      </c>
      <c r="H36" s="24">
        <v>1206</v>
      </c>
      <c r="I36" s="24">
        <v>53895.043319700002</v>
      </c>
      <c r="J36" s="14">
        <f t="shared" si="0"/>
        <v>53895.043319700002</v>
      </c>
      <c r="K36" s="13"/>
      <c r="L36" s="13"/>
      <c r="M36" s="13">
        <v>0</v>
      </c>
      <c r="N36" s="13"/>
      <c r="O36" s="13">
        <f t="shared" si="1"/>
        <v>53895.043319700002</v>
      </c>
      <c r="P36" s="13">
        <f t="shared" si="2"/>
        <v>0</v>
      </c>
      <c r="Q36" s="15">
        <f t="shared" si="3"/>
        <v>53895.043319700002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Payment_05-11 Jun.xlsx</v>
      </c>
      <c r="U36" s="19"/>
      <c r="V36" s="36">
        <f t="shared" si="4"/>
        <v>943.16325809475018</v>
      </c>
      <c r="W36" s="20">
        <f t="shared" si="5"/>
        <v>134.73760829925001</v>
      </c>
      <c r="X36" s="59">
        <f t="shared" si="6"/>
        <v>808.42564979550014</v>
      </c>
      <c r="Y36" s="21">
        <v>0</v>
      </c>
      <c r="Z36" s="48">
        <f t="shared" si="7"/>
        <v>808.42564979550014</v>
      </c>
      <c r="AB36" s="22" t="str">
        <f>VLOOKUP(C36,DSC_Master!$C$1:$K$200,9,0)</f>
        <v>ARVIND SINGH</v>
      </c>
      <c r="AC36" s="22" t="str">
        <f>VLOOKUP(C36,DSC_Master!$C$1:$J$201,8,0)</f>
        <v>2784000100277129</v>
      </c>
      <c r="AD36" s="22" t="str">
        <f>VLOOKUP(C36,DSC_Master!$C$1:$J$201,7,0)</f>
        <v>PUNB0278400</v>
      </c>
      <c r="AE36" s="159"/>
      <c r="AF36" s="3">
        <v>53896.03</v>
      </c>
      <c r="AG36" s="5">
        <f t="shared" si="8"/>
        <v>-0.98668029999680584</v>
      </c>
    </row>
    <row r="37" spans="1:33" x14ac:dyDescent="0.25">
      <c r="A37" s="8">
        <v>1062</v>
      </c>
      <c r="B37" s="38" t="s">
        <v>320</v>
      </c>
      <c r="C37" s="9">
        <v>10620053</v>
      </c>
      <c r="D37" s="8">
        <f>VLOOKUP(C37,DSC_Master!$C$1:D135,2,0)</f>
        <v>64573</v>
      </c>
      <c r="E37" s="10" t="str">
        <f>VLOOKUP(C37,DSC_Master!$C$1:$K$200,4,0)</f>
        <v>KAMHARI DSK</v>
      </c>
      <c r="F37" s="11" t="s">
        <v>304</v>
      </c>
      <c r="G37" s="11" t="s">
        <v>400</v>
      </c>
      <c r="H37" s="24">
        <v>693</v>
      </c>
      <c r="I37" s="24">
        <v>26920.4250493</v>
      </c>
      <c r="J37" s="14">
        <f t="shared" si="0"/>
        <v>26920.4250493</v>
      </c>
      <c r="K37" s="13"/>
      <c r="L37" s="13"/>
      <c r="M37" s="13">
        <v>0</v>
      </c>
      <c r="N37" s="13"/>
      <c r="O37" s="13">
        <f t="shared" si="1"/>
        <v>26920.4250493</v>
      </c>
      <c r="P37" s="13">
        <f t="shared" si="2"/>
        <v>0</v>
      </c>
      <c r="Q37" s="15">
        <f t="shared" si="3"/>
        <v>26920.4250493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Payment_05-11 Jun.xlsx</v>
      </c>
      <c r="U37" s="19"/>
      <c r="V37" s="36">
        <f t="shared" si="4"/>
        <v>471.10743836275003</v>
      </c>
      <c r="W37" s="20">
        <f t="shared" si="5"/>
        <v>67.301062623250004</v>
      </c>
      <c r="X37" s="59">
        <f t="shared" si="6"/>
        <v>403.80637573950003</v>
      </c>
      <c r="Y37" s="21">
        <v>0</v>
      </c>
      <c r="Z37" s="48">
        <f t="shared" si="7"/>
        <v>403.80637573950003</v>
      </c>
      <c r="AB37" s="22" t="str">
        <f>VLOOKUP(C37,DSC_Master!$C$1:$K$200,9,0)</f>
        <v>ARVIND SINGH</v>
      </c>
      <c r="AC37" s="22" t="str">
        <f>VLOOKUP(C37,DSC_Master!$C$1:$J$201,8,0)</f>
        <v>6008000100167773</v>
      </c>
      <c r="AD37" s="22" t="str">
        <f>VLOOKUP(C37,DSC_Master!$C$1:$J$201,7,0)</f>
        <v>PUNB0600800</v>
      </c>
      <c r="AE37" s="159"/>
      <c r="AF37" s="3">
        <v>26921.01</v>
      </c>
      <c r="AG37" s="5">
        <f t="shared" si="8"/>
        <v>-0.58495069999844418</v>
      </c>
    </row>
    <row r="38" spans="1:33" x14ac:dyDescent="0.25">
      <c r="A38" s="8">
        <v>1062</v>
      </c>
      <c r="B38" s="38" t="s">
        <v>320</v>
      </c>
      <c r="C38" s="9">
        <v>10620054</v>
      </c>
      <c r="D38" s="8">
        <f>VLOOKUP(C38,DSC_Master!$C$1:D136,2,0)</f>
        <v>64562</v>
      </c>
      <c r="E38" s="10" t="str">
        <f>VLOOKUP(C38,DSC_Master!$C$1:$K$200,4,0)</f>
        <v>KAJARIYA DSK</v>
      </c>
      <c r="F38" s="11" t="s">
        <v>304</v>
      </c>
      <c r="G38" s="11" t="s">
        <v>400</v>
      </c>
      <c r="H38" s="24">
        <v>910</v>
      </c>
      <c r="I38" s="24">
        <v>38784.64206749999</v>
      </c>
      <c r="J38" s="14">
        <f t="shared" si="0"/>
        <v>38784.64206749999</v>
      </c>
      <c r="K38" s="13"/>
      <c r="L38" s="13"/>
      <c r="M38" s="13">
        <v>0</v>
      </c>
      <c r="N38" s="13"/>
      <c r="O38" s="13">
        <f t="shared" si="1"/>
        <v>38784.64206749999</v>
      </c>
      <c r="P38" s="13">
        <f t="shared" si="2"/>
        <v>0</v>
      </c>
      <c r="Q38" s="15">
        <f t="shared" si="3"/>
        <v>38784.64206749999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Payment_05-11 Jun.xlsx</v>
      </c>
      <c r="U38" s="19"/>
      <c r="V38" s="36">
        <f t="shared" si="4"/>
        <v>678.73123618124987</v>
      </c>
      <c r="W38" s="20">
        <f t="shared" si="5"/>
        <v>96.961605168749983</v>
      </c>
      <c r="X38" s="59">
        <f t="shared" si="6"/>
        <v>581.76963101249987</v>
      </c>
      <c r="Y38" s="21">
        <v>0</v>
      </c>
      <c r="Z38" s="48">
        <f t="shared" si="7"/>
        <v>581.76963101249987</v>
      </c>
      <c r="AB38" s="22" t="str">
        <f>VLOOKUP(C38,DSC_Master!$C$1:$K$200,9,0)</f>
        <v>HARERAM KUMAR</v>
      </c>
      <c r="AC38" s="22" t="str">
        <f>VLOOKUP(C38,DSC_Master!$C$1:$J$201,8,0)</f>
        <v>924010015769691</v>
      </c>
      <c r="AD38" s="22" t="str">
        <f>VLOOKUP(C38,DSC_Master!$C$1:$J$201,7,0)</f>
        <v>UTIB0001816</v>
      </c>
      <c r="AE38" s="159"/>
      <c r="AF38" s="3">
        <v>38784.67</v>
      </c>
      <c r="AG38" s="5">
        <f t="shared" si="8"/>
        <v>-2.7932500008319039E-2</v>
      </c>
    </row>
    <row r="39" spans="1:33" x14ac:dyDescent="0.25">
      <c r="A39" s="8">
        <v>1062</v>
      </c>
      <c r="B39" s="38" t="s">
        <v>320</v>
      </c>
      <c r="C39" s="9">
        <v>10620056</v>
      </c>
      <c r="D39" s="8">
        <f>VLOOKUP(C39,DSC_Master!$C$1:D137,2,0)</f>
        <v>64501</v>
      </c>
      <c r="E39" s="10" t="str">
        <f>VLOOKUP(C39,DSC_Master!$C$1:$K$200,4,0)</f>
        <v>SAHUKA DSK</v>
      </c>
      <c r="F39" s="11" t="s">
        <v>304</v>
      </c>
      <c r="G39" s="11" t="s">
        <v>400</v>
      </c>
      <c r="H39" s="24">
        <v>269</v>
      </c>
      <c r="I39" s="24">
        <v>10657.850131200001</v>
      </c>
      <c r="J39" s="14">
        <f t="shared" si="0"/>
        <v>10657.850131200001</v>
      </c>
      <c r="K39" s="13"/>
      <c r="L39" s="13"/>
      <c r="M39" s="13">
        <v>0</v>
      </c>
      <c r="N39" s="13"/>
      <c r="O39" s="13">
        <f t="shared" si="1"/>
        <v>10657.850131200001</v>
      </c>
      <c r="P39" s="13">
        <f t="shared" si="2"/>
        <v>0</v>
      </c>
      <c r="Q39" s="15">
        <f t="shared" si="3"/>
        <v>10657.850131200001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Payment_05-11 Jun.xlsx</v>
      </c>
      <c r="U39" s="19"/>
      <c r="V39" s="36">
        <f t="shared" si="4"/>
        <v>186.51237729600004</v>
      </c>
      <c r="W39" s="20">
        <f t="shared" si="5"/>
        <v>26.644625328000004</v>
      </c>
      <c r="X39" s="59">
        <f t="shared" si="6"/>
        <v>159.86775196800005</v>
      </c>
      <c r="Y39" s="21">
        <v>0</v>
      </c>
      <c r="Z39" s="48">
        <f t="shared" si="7"/>
        <v>159.86775196800005</v>
      </c>
      <c r="AB39" s="22" t="str">
        <f>VLOOKUP(C39,DSC_Master!$C$1:$K$200,9,0)</f>
        <v>ISARAT PRAVIN</v>
      </c>
      <c r="AC39" s="22" t="str">
        <f>VLOOKUP(C39,DSC_Master!$C$1:$J$201,8,0)</f>
        <v>441810110004179</v>
      </c>
      <c r="AD39" s="22" t="str">
        <f>VLOOKUP(C39,DSC_Master!$C$1:$J$201,7,0)</f>
        <v>BKID0004418</v>
      </c>
      <c r="AE39" s="159"/>
      <c r="AF39" s="3">
        <v>10657.91</v>
      </c>
      <c r="AG39" s="5">
        <f t="shared" si="8"/>
        <v>-5.9868799999094335E-2</v>
      </c>
    </row>
    <row r="40" spans="1:33" x14ac:dyDescent="0.25">
      <c r="A40" s="8">
        <v>1062</v>
      </c>
      <c r="B40" s="38" t="s">
        <v>320</v>
      </c>
      <c r="C40" s="9">
        <v>10620057</v>
      </c>
      <c r="D40" s="8">
        <f>VLOOKUP(C40,DSC_Master!$C$1:D138,2,0)</f>
        <v>64511</v>
      </c>
      <c r="E40" s="10" t="str">
        <f>VLOOKUP(C40,DSC_Master!$C$1:$K$200,4,0)</f>
        <v>DAROLI DSK</v>
      </c>
      <c r="F40" s="11" t="s">
        <v>304</v>
      </c>
      <c r="G40" s="11" t="s">
        <v>400</v>
      </c>
      <c r="H40" s="24">
        <v>587</v>
      </c>
      <c r="I40" s="24">
        <v>29226.974336900003</v>
      </c>
      <c r="J40" s="14">
        <f t="shared" si="0"/>
        <v>29226.974336900003</v>
      </c>
      <c r="K40" s="13"/>
      <c r="L40" s="13"/>
      <c r="M40" s="13">
        <v>0</v>
      </c>
      <c r="N40" s="13"/>
      <c r="O40" s="13">
        <f t="shared" si="1"/>
        <v>29226.974336900003</v>
      </c>
      <c r="P40" s="13">
        <f t="shared" si="2"/>
        <v>0</v>
      </c>
      <c r="Q40" s="15">
        <f t="shared" si="3"/>
        <v>29226.974336900003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Payment_05-11 Jun.xlsx</v>
      </c>
      <c r="U40" s="19"/>
      <c r="V40" s="36">
        <f t="shared" si="4"/>
        <v>511.4720508957501</v>
      </c>
      <c r="W40" s="20">
        <f t="shared" si="5"/>
        <v>73.067435842250006</v>
      </c>
      <c r="X40" s="59">
        <f t="shared" si="6"/>
        <v>438.40461505350009</v>
      </c>
      <c r="Y40" s="21">
        <v>0</v>
      </c>
      <c r="Z40" s="48">
        <f t="shared" si="7"/>
        <v>438.40461505350009</v>
      </c>
      <c r="AB40" s="22" t="str">
        <f>VLOOKUP(C40,DSC_Master!$C$1:$K$200,9,0)</f>
        <v>KAPIL MUNI SINGH</v>
      </c>
      <c r="AC40" s="22" t="str">
        <f>VLOOKUP(C40,DSC_Master!$C$1:$J$201,8,0)</f>
        <v>461110100003922</v>
      </c>
      <c r="AD40" s="22" t="str">
        <f>VLOOKUP(C40,DSC_Master!$C$1:$J$201,7,0)</f>
        <v>BKID0004611</v>
      </c>
      <c r="AE40" s="159"/>
      <c r="AF40" s="3">
        <v>29227.57</v>
      </c>
      <c r="AG40" s="5">
        <f t="shared" si="8"/>
        <v>-0.59566309999718214</v>
      </c>
    </row>
    <row r="41" spans="1:33" x14ac:dyDescent="0.25">
      <c r="A41" s="8">
        <v>1062</v>
      </c>
      <c r="B41" s="38" t="s">
        <v>320</v>
      </c>
      <c r="C41" s="9">
        <v>10620058</v>
      </c>
      <c r="D41" s="8">
        <f>VLOOKUP(C41,DSC_Master!$C$1:D139,2,0)</f>
        <v>64541</v>
      </c>
      <c r="E41" s="10" t="str">
        <f>VLOOKUP(C41,DSC_Master!$C$1:$K$200,4,0)</f>
        <v>JALDHAH DSK</v>
      </c>
      <c r="F41" s="11" t="s">
        <v>304</v>
      </c>
      <c r="G41" s="11" t="s">
        <v>400</v>
      </c>
      <c r="H41" s="24">
        <v>209</v>
      </c>
      <c r="I41" s="24">
        <v>8407.8138188000012</v>
      </c>
      <c r="J41" s="14">
        <f t="shared" si="0"/>
        <v>8407.8138188000012</v>
      </c>
      <c r="K41" s="13"/>
      <c r="L41" s="13"/>
      <c r="M41" s="13">
        <v>0</v>
      </c>
      <c r="N41" s="13"/>
      <c r="O41" s="13">
        <f t="shared" si="1"/>
        <v>8407.8138188000012</v>
      </c>
      <c r="P41" s="13">
        <f t="shared" si="2"/>
        <v>0</v>
      </c>
      <c r="Q41" s="15">
        <f t="shared" si="3"/>
        <v>8407.8138188000012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Payment_05-11 Jun.xlsx</v>
      </c>
      <c r="U41" s="19"/>
      <c r="V41" s="36">
        <f t="shared" si="4"/>
        <v>147.13674182900004</v>
      </c>
      <c r="W41" s="20">
        <f t="shared" si="5"/>
        <v>21.019534547000003</v>
      </c>
      <c r="X41" s="59">
        <f t="shared" si="6"/>
        <v>126.11720728200004</v>
      </c>
      <c r="Y41" s="21">
        <v>0</v>
      </c>
      <c r="Z41" s="48">
        <f t="shared" si="7"/>
        <v>126.11720728200004</v>
      </c>
      <c r="AB41" s="22" t="str">
        <f>VLOOKUP(C41,DSC_Master!$C$1:$K$200,9,0)</f>
        <v>KIRAN DEVI</v>
      </c>
      <c r="AC41" s="22" t="str">
        <f>VLOOKUP(C41,DSC_Master!$C$1:$J$201,8,0)</f>
        <v>00070100029906</v>
      </c>
      <c r="AD41" s="22" t="str">
        <f>VLOOKUP(C41,DSC_Master!$C$1:$J$201,7,0)</f>
        <v>BARB0MOHANI</v>
      </c>
      <c r="AE41" s="159"/>
      <c r="AF41" s="3">
        <v>8407.8700000000008</v>
      </c>
      <c r="AG41" s="5">
        <f t="shared" si="8"/>
        <v>-5.6181199999628006E-2</v>
      </c>
    </row>
    <row r="42" spans="1:33" x14ac:dyDescent="0.25">
      <c r="A42" s="8">
        <v>1062</v>
      </c>
      <c r="B42" s="38" t="s">
        <v>320</v>
      </c>
      <c r="C42" s="9">
        <v>10620059</v>
      </c>
      <c r="D42" s="8">
        <f>VLOOKUP(C42,DSC_Master!$C$1:D140,2,0)</f>
        <v>60566</v>
      </c>
      <c r="E42" s="10" t="str">
        <f>VLOOKUP(C42,DSC_Master!$C$1:$K$200,4,0)</f>
        <v>BARUNA DSK</v>
      </c>
      <c r="F42" s="11" t="s">
        <v>304</v>
      </c>
      <c r="G42" s="11" t="s">
        <v>400</v>
      </c>
      <c r="H42" s="24">
        <v>988</v>
      </c>
      <c r="I42" s="24">
        <v>41850.9364432</v>
      </c>
      <c r="J42" s="14">
        <f t="shared" si="0"/>
        <v>41850.9364432</v>
      </c>
      <c r="K42" s="13"/>
      <c r="L42" s="13"/>
      <c r="M42" s="13">
        <v>0</v>
      </c>
      <c r="N42" s="13"/>
      <c r="O42" s="13">
        <f t="shared" si="1"/>
        <v>41850.9364432</v>
      </c>
      <c r="P42" s="13">
        <f t="shared" si="2"/>
        <v>0</v>
      </c>
      <c r="Q42" s="15">
        <f t="shared" si="3"/>
        <v>41850.9364432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Payment_05-11 Jun.xlsx</v>
      </c>
      <c r="U42" s="19"/>
      <c r="V42" s="36">
        <f t="shared" si="4"/>
        <v>732.39138775600009</v>
      </c>
      <c r="W42" s="20">
        <f t="shared" si="5"/>
        <v>104.627341108</v>
      </c>
      <c r="X42" s="59">
        <f t="shared" si="6"/>
        <v>627.76404664800009</v>
      </c>
      <c r="Y42" s="21">
        <v>0</v>
      </c>
      <c r="Z42" s="48">
        <f t="shared" si="7"/>
        <v>627.76404664800009</v>
      </c>
      <c r="AB42" s="22" t="str">
        <f>VLOOKUP(C42,DSC_Master!$C$1:$K$200,9,0)</f>
        <v>KRISHNA NAND SINGH</v>
      </c>
      <c r="AC42" s="22" t="str">
        <f>VLOOKUP(C42,DSC_Master!$C$1:$J$201,8,0)</f>
        <v>625310110006613</v>
      </c>
      <c r="AD42" s="22" t="str">
        <f>VLOOKUP(C42,DSC_Master!$C$1:$J$201,7,0)</f>
        <v>BKID0006253</v>
      </c>
      <c r="AE42" s="159"/>
      <c r="AF42" s="3">
        <v>41834.46</v>
      </c>
      <c r="AG42" s="5">
        <f t="shared" si="8"/>
        <v>16.476443200001086</v>
      </c>
    </row>
    <row r="43" spans="1:33" x14ac:dyDescent="0.25">
      <c r="A43" s="8">
        <v>1062</v>
      </c>
      <c r="B43" s="38" t="s">
        <v>320</v>
      </c>
      <c r="C43" s="9">
        <v>10620061</v>
      </c>
      <c r="D43" s="8">
        <f>VLOOKUP(C43,DSC_Master!$C$1:D141,2,0)</f>
        <v>60605</v>
      </c>
      <c r="E43" s="10" t="str">
        <f>VLOOKUP(C43,DSC_Master!$C$1:$K$200,4,0)</f>
        <v>BADORA DSK</v>
      </c>
      <c r="F43" s="11" t="s">
        <v>304</v>
      </c>
      <c r="G43" s="11" t="s">
        <v>400</v>
      </c>
      <c r="H43" s="24">
        <v>1040</v>
      </c>
      <c r="I43" s="24">
        <v>44571.687876599994</v>
      </c>
      <c r="J43" s="14">
        <f t="shared" si="0"/>
        <v>44571.687876599994</v>
      </c>
      <c r="K43" s="13"/>
      <c r="L43" s="13"/>
      <c r="M43" s="13">
        <v>0</v>
      </c>
      <c r="N43" s="13"/>
      <c r="O43" s="13">
        <f t="shared" si="1"/>
        <v>44571.687876599994</v>
      </c>
      <c r="P43" s="13">
        <f t="shared" si="2"/>
        <v>0</v>
      </c>
      <c r="Q43" s="15">
        <f t="shared" si="3"/>
        <v>44571.687876599994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Payment_05-11 Jun.xlsx</v>
      </c>
      <c r="U43" s="19"/>
      <c r="V43" s="36">
        <f t="shared" si="4"/>
        <v>780.00453784050001</v>
      </c>
      <c r="W43" s="20">
        <f t="shared" si="5"/>
        <v>111.42921969149998</v>
      </c>
      <c r="X43" s="59">
        <f t="shared" si="6"/>
        <v>668.57531814900005</v>
      </c>
      <c r="Y43" s="21">
        <v>0</v>
      </c>
      <c r="Z43" s="48">
        <f t="shared" si="7"/>
        <v>668.57531814900005</v>
      </c>
      <c r="AB43" s="22" t="str">
        <f>VLOOKUP(C43,DSC_Master!$C$1:$K$200,9,0)</f>
        <v>SUMAN DEVI</v>
      </c>
      <c r="AC43" s="22" t="str">
        <f>VLOOKUP(C43,DSC_Master!$C$1:$J$201,8,0)</f>
        <v>40819491150</v>
      </c>
      <c r="AD43" s="22" t="str">
        <f>VLOOKUP(C43,DSC_Master!$C$1:$J$201,7,0)</f>
        <v>SBIN0011251</v>
      </c>
      <c r="AE43" s="159"/>
      <c r="AF43" s="3">
        <v>44586.78</v>
      </c>
      <c r="AG43" s="5">
        <f t="shared" si="8"/>
        <v>-15.092123400005221</v>
      </c>
    </row>
    <row r="44" spans="1:33" x14ac:dyDescent="0.25">
      <c r="A44" s="8">
        <v>1062</v>
      </c>
      <c r="B44" s="38" t="s">
        <v>320</v>
      </c>
      <c r="C44" s="9">
        <v>10620062</v>
      </c>
      <c r="D44" s="8">
        <f>VLOOKUP(C44,DSC_Master!$C$1:D142,2,0)</f>
        <v>64590</v>
      </c>
      <c r="E44" s="10" t="str">
        <f>VLOOKUP(C44,DSC_Master!$C$1:$K$200,4,0)</f>
        <v>CHATRA DSK</v>
      </c>
      <c r="F44" s="11" t="s">
        <v>304</v>
      </c>
      <c r="G44" s="11" t="s">
        <v>400</v>
      </c>
      <c r="H44" s="24">
        <v>260</v>
      </c>
      <c r="I44" s="24">
        <v>13468.7601663</v>
      </c>
      <c r="J44" s="14">
        <f t="shared" si="0"/>
        <v>13468.7601663</v>
      </c>
      <c r="K44" s="13"/>
      <c r="L44" s="13"/>
      <c r="M44" s="13">
        <v>0</v>
      </c>
      <c r="N44" s="13"/>
      <c r="O44" s="13">
        <f t="shared" si="1"/>
        <v>13468.7601663</v>
      </c>
      <c r="P44" s="13">
        <f t="shared" si="2"/>
        <v>0</v>
      </c>
      <c r="Q44" s="15">
        <f t="shared" si="3"/>
        <v>13468.7601663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Payment_05-11 Jun.xlsx</v>
      </c>
      <c r="U44" s="19"/>
      <c r="V44" s="36">
        <f t="shared" si="4"/>
        <v>235.70330291025004</v>
      </c>
      <c r="W44" s="20">
        <f t="shared" si="5"/>
        <v>33.671900415750002</v>
      </c>
      <c r="X44" s="59">
        <f t="shared" si="6"/>
        <v>202.03140249450004</v>
      </c>
      <c r="Y44" s="21">
        <v>0</v>
      </c>
      <c r="Z44" s="48">
        <f t="shared" si="7"/>
        <v>202.03140249450004</v>
      </c>
      <c r="AB44" s="22" t="str">
        <f>VLOOKUP(C44,DSC_Master!$C$1:$K$200,9,0)</f>
        <v>USHA DEVI</v>
      </c>
      <c r="AC44" s="22" t="str">
        <f>VLOOKUP(C44,DSC_Master!$C$1:$J$201,8,0)</f>
        <v>39981585891</v>
      </c>
      <c r="AD44" s="22" t="str">
        <f>VLOOKUP(C44,DSC_Master!$C$1:$J$201,7,0)</f>
        <v>SBIN0002964</v>
      </c>
      <c r="AE44" s="159"/>
      <c r="AF44" s="3">
        <v>13468.9</v>
      </c>
      <c r="AG44" s="5">
        <f t="shared" si="8"/>
        <v>-0.1398336999991443</v>
      </c>
    </row>
    <row r="45" spans="1:33" x14ac:dyDescent="0.25">
      <c r="A45" s="8">
        <v>1062</v>
      </c>
      <c r="B45" s="38" t="s">
        <v>320</v>
      </c>
      <c r="C45" s="9">
        <v>10620063</v>
      </c>
      <c r="D45" s="8">
        <f>VLOOKUP(C45,DSC_Master!$C$1:D143,2,0)</f>
        <v>64532</v>
      </c>
      <c r="E45" s="10" t="str">
        <f>VLOOKUP(C45,DSC_Master!$C$1:$K$200,4,0)</f>
        <v>ASADE DSK</v>
      </c>
      <c r="F45" s="11" t="s">
        <v>304</v>
      </c>
      <c r="G45" s="11" t="s">
        <v>400</v>
      </c>
      <c r="H45" s="24">
        <v>401</v>
      </c>
      <c r="I45" s="24">
        <v>15216.339014900001</v>
      </c>
      <c r="J45" s="14">
        <f t="shared" si="0"/>
        <v>15216.339014900001</v>
      </c>
      <c r="K45" s="13"/>
      <c r="L45" s="13"/>
      <c r="M45" s="13">
        <v>0</v>
      </c>
      <c r="N45" s="13"/>
      <c r="O45" s="13">
        <f t="shared" si="1"/>
        <v>15216.339014900001</v>
      </c>
      <c r="P45" s="13">
        <f t="shared" si="2"/>
        <v>0</v>
      </c>
      <c r="Q45" s="15">
        <f t="shared" si="3"/>
        <v>15216.339014900001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Payment_05-11 Jun.xlsx</v>
      </c>
      <c r="U45" s="19"/>
      <c r="V45" s="36">
        <f t="shared" si="4"/>
        <v>266.28593276075003</v>
      </c>
      <c r="W45" s="20">
        <f t="shared" si="5"/>
        <v>38.040847537250002</v>
      </c>
      <c r="X45" s="59">
        <f t="shared" si="6"/>
        <v>228.24508522350004</v>
      </c>
      <c r="Y45" s="21">
        <v>0</v>
      </c>
      <c r="Z45" s="48">
        <f t="shared" si="7"/>
        <v>228.24508522350004</v>
      </c>
      <c r="AB45" s="22" t="str">
        <f>VLOOKUP(C45,DSC_Master!$C$1:$K$200,9,0)</f>
        <v>SUNIL KUMAR SINGH</v>
      </c>
      <c r="AC45" s="22" t="str">
        <f>VLOOKUP(C45,DSC_Master!$C$1:$J$201,8,0)</f>
        <v>38205293083</v>
      </c>
      <c r="AD45" s="22" t="str">
        <f>VLOOKUP(C45,DSC_Master!$C$1:$J$201,7,0)</f>
        <v>SBIN0017163</v>
      </c>
      <c r="AE45" s="159"/>
      <c r="AF45" s="3">
        <v>15216.33</v>
      </c>
      <c r="AG45" s="5">
        <f t="shared" si="8"/>
        <v>9.0149000006931601E-3</v>
      </c>
    </row>
    <row r="46" spans="1:33" x14ac:dyDescent="0.25">
      <c r="A46" s="8">
        <v>1062</v>
      </c>
      <c r="B46" s="38" t="s">
        <v>320</v>
      </c>
      <c r="C46" s="9">
        <v>10620064</v>
      </c>
      <c r="D46" s="8">
        <f>VLOOKUP(C46,DSC_Master!$C$1:D144,2,0)</f>
        <v>60617</v>
      </c>
      <c r="E46" s="10" t="str">
        <f>VLOOKUP(C46,DSC_Master!$C$1:$K$200,4,0)</f>
        <v>NARHAN DSK</v>
      </c>
      <c r="F46" s="11" t="s">
        <v>304</v>
      </c>
      <c r="G46" s="11" t="s">
        <v>400</v>
      </c>
      <c r="H46" s="24">
        <v>929</v>
      </c>
      <c r="I46" s="24">
        <v>43951.062216900005</v>
      </c>
      <c r="J46" s="14">
        <f t="shared" si="0"/>
        <v>43951.062216900005</v>
      </c>
      <c r="K46" s="13"/>
      <c r="L46" s="13"/>
      <c r="M46" s="13">
        <v>0</v>
      </c>
      <c r="N46" s="13"/>
      <c r="O46" s="13">
        <f t="shared" si="1"/>
        <v>43951.062216900005</v>
      </c>
      <c r="P46" s="13">
        <f t="shared" si="2"/>
        <v>0</v>
      </c>
      <c r="Q46" s="15">
        <f t="shared" si="3"/>
        <v>43951.062216900005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Payment_05-11 Jun.xlsx</v>
      </c>
      <c r="U46" s="19"/>
      <c r="V46" s="36">
        <f t="shared" si="4"/>
        <v>769.14358879575013</v>
      </c>
      <c r="W46" s="20">
        <f t="shared" si="5"/>
        <v>109.87765554225001</v>
      </c>
      <c r="X46" s="59">
        <f t="shared" si="6"/>
        <v>659.26593325350018</v>
      </c>
      <c r="Y46" s="21">
        <v>0</v>
      </c>
      <c r="Z46" s="48">
        <f t="shared" si="7"/>
        <v>659.26593325350018</v>
      </c>
      <c r="AB46" s="22" t="str">
        <f>VLOOKUP(C46,DSC_Master!$C$1:$K$200,9,0)</f>
        <v>NARENDRA SINGH</v>
      </c>
      <c r="AC46" s="22" t="str">
        <f>VLOOKUP(C46,DSC_Master!$C$1:$J$201,8,0)</f>
        <v>2784001700058608</v>
      </c>
      <c r="AD46" s="22" t="str">
        <f>VLOOKUP(C46,DSC_Master!$C$1:$J$201,7,0)</f>
        <v>PUNB0278400</v>
      </c>
      <c r="AE46" s="159"/>
      <c r="AF46" s="3">
        <v>43951.48</v>
      </c>
      <c r="AG46" s="5">
        <f t="shared" si="8"/>
        <v>-0.41778309999790508</v>
      </c>
    </row>
    <row r="47" spans="1:33" x14ac:dyDescent="0.25">
      <c r="A47" s="8">
        <v>1062</v>
      </c>
      <c r="B47" s="38" t="s">
        <v>320</v>
      </c>
      <c r="C47" s="9">
        <v>10620067</v>
      </c>
      <c r="D47" s="8">
        <f>VLOOKUP(C47,DSC_Master!$C$1:D145,2,0)</f>
        <v>60573</v>
      </c>
      <c r="E47" s="10" t="str">
        <f>VLOOKUP(C47,DSC_Master!$C$1:$K$200,4,0)</f>
        <v>PATKHOLIYA DSK</v>
      </c>
      <c r="F47" s="11" t="s">
        <v>304</v>
      </c>
      <c r="G47" s="11" t="s">
        <v>400</v>
      </c>
      <c r="H47" s="24">
        <v>1445</v>
      </c>
      <c r="I47" s="24">
        <v>70591.045725900025</v>
      </c>
      <c r="J47" s="14">
        <f t="shared" si="0"/>
        <v>70591.045725900025</v>
      </c>
      <c r="K47" s="13"/>
      <c r="L47" s="13"/>
      <c r="M47" s="13">
        <v>0</v>
      </c>
      <c r="N47" s="13"/>
      <c r="O47" s="13">
        <f t="shared" si="1"/>
        <v>70591.045725900025</v>
      </c>
      <c r="P47" s="13">
        <f t="shared" si="2"/>
        <v>0</v>
      </c>
      <c r="Q47" s="15">
        <f t="shared" si="3"/>
        <v>70591.045725900025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Payment_05-11 Jun.xlsx</v>
      </c>
      <c r="U47" s="19"/>
      <c r="V47" s="36">
        <f t="shared" si="4"/>
        <v>1235.3433002032505</v>
      </c>
      <c r="W47" s="20">
        <f t="shared" si="5"/>
        <v>176.47761431475007</v>
      </c>
      <c r="X47" s="59">
        <f t="shared" si="6"/>
        <v>1058.8656858885004</v>
      </c>
      <c r="Y47" s="21">
        <v>0</v>
      </c>
      <c r="Z47" s="48">
        <f t="shared" si="7"/>
        <v>1058.8656858885004</v>
      </c>
      <c r="AB47" s="22" t="str">
        <f>VLOOKUP(C47,DSC_Master!$C$1:$K$200,9,0)</f>
        <v>RAMESH KUMAR KHARWAR</v>
      </c>
      <c r="AC47" s="22" t="str">
        <f>VLOOKUP(C47,DSC_Master!$C$1:$J$201,8,0)</f>
        <v>2784000100220723</v>
      </c>
      <c r="AD47" s="22" t="str">
        <f>VLOOKUP(C47,DSC_Master!$C$1:$J$201,7,0)</f>
        <v>PUNB0278400</v>
      </c>
      <c r="AE47" s="159"/>
      <c r="AF47" s="3">
        <v>70591.990000000005</v>
      </c>
      <c r="AG47" s="5">
        <f t="shared" si="8"/>
        <v>-0.94427409998024814</v>
      </c>
    </row>
    <row r="48" spans="1:33" x14ac:dyDescent="0.25">
      <c r="A48" s="8">
        <v>1062</v>
      </c>
      <c r="B48" s="38" t="s">
        <v>320</v>
      </c>
      <c r="C48" s="9">
        <v>10620068</v>
      </c>
      <c r="D48" s="8">
        <f>VLOOKUP(C48,DSC_Master!$C$1:D146,2,0)</f>
        <v>64539</v>
      </c>
      <c r="E48" s="10" t="str">
        <f>VLOOKUP(C48,DSC_Master!$C$1:$K$200,4,0)</f>
        <v>MOHANPUR DSK</v>
      </c>
      <c r="F48" s="11" t="s">
        <v>304</v>
      </c>
      <c r="G48" s="11" t="s">
        <v>400</v>
      </c>
      <c r="H48" s="24">
        <v>781</v>
      </c>
      <c r="I48" s="24">
        <v>35178.674741700001</v>
      </c>
      <c r="J48" s="14">
        <f t="shared" si="0"/>
        <v>35178.674741700001</v>
      </c>
      <c r="K48" s="13"/>
      <c r="L48" s="13"/>
      <c r="M48" s="13">
        <v>0</v>
      </c>
      <c r="N48" s="13"/>
      <c r="O48" s="13">
        <f t="shared" si="1"/>
        <v>35178.674741700001</v>
      </c>
      <c r="P48" s="13">
        <f t="shared" si="2"/>
        <v>0</v>
      </c>
      <c r="Q48" s="15">
        <f t="shared" si="3"/>
        <v>35178.674741700001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Payment_05-11 Jun.xlsx</v>
      </c>
      <c r="U48" s="19"/>
      <c r="V48" s="36">
        <f t="shared" si="4"/>
        <v>615.62680797975008</v>
      </c>
      <c r="W48" s="20">
        <f t="shared" si="5"/>
        <v>87.946686854250004</v>
      </c>
      <c r="X48" s="59">
        <f t="shared" si="6"/>
        <v>527.68012112550014</v>
      </c>
      <c r="Y48" s="21">
        <v>0</v>
      </c>
      <c r="Z48" s="48">
        <f t="shared" si="7"/>
        <v>527.68012112550014</v>
      </c>
      <c r="AB48" s="22" t="str">
        <f>VLOOKUP(C48,DSC_Master!$C$1:$K$200,9,0)</f>
        <v>RAS BIHARI SINGH</v>
      </c>
      <c r="AC48" s="22" t="str">
        <f>VLOOKUP(C48,DSC_Master!$C$1:$J$201,8,0)</f>
        <v>460610110004946</v>
      </c>
      <c r="AD48" s="22" t="str">
        <f>VLOOKUP(C48,DSC_Master!$C$1:$J$201,7,0)</f>
        <v>BKID0006253</v>
      </c>
      <c r="AE48" s="159"/>
      <c r="AF48" s="3">
        <v>35179.199999999997</v>
      </c>
      <c r="AG48" s="5">
        <f t="shared" si="8"/>
        <v>-0.52525829999649432</v>
      </c>
    </row>
    <row r="49" spans="1:33" x14ac:dyDescent="0.25">
      <c r="A49" s="8">
        <v>1062</v>
      </c>
      <c r="B49" s="38" t="s">
        <v>320</v>
      </c>
      <c r="C49" s="9">
        <v>10620069</v>
      </c>
      <c r="D49" s="8">
        <f>VLOOKUP(C49,DSC_Master!$C$1:D147,2,0)</f>
        <v>64567</v>
      </c>
      <c r="E49" s="10" t="str">
        <f>VLOOKUP(C49,DSC_Master!$C$1:$K$200,4,0)</f>
        <v>CHANDDWA DSK</v>
      </c>
      <c r="F49" s="11" t="s">
        <v>304</v>
      </c>
      <c r="G49" s="11" t="s">
        <v>400</v>
      </c>
      <c r="H49" s="24">
        <v>790</v>
      </c>
      <c r="I49" s="24">
        <v>35009.718528100006</v>
      </c>
      <c r="J49" s="14">
        <f t="shared" si="0"/>
        <v>35009.718528100006</v>
      </c>
      <c r="K49" s="13"/>
      <c r="L49" s="13"/>
      <c r="M49" s="13">
        <v>0</v>
      </c>
      <c r="N49" s="13"/>
      <c r="O49" s="13">
        <f t="shared" si="1"/>
        <v>35009.718528100006</v>
      </c>
      <c r="P49" s="13">
        <f t="shared" si="2"/>
        <v>0</v>
      </c>
      <c r="Q49" s="15">
        <f t="shared" si="3"/>
        <v>35009.718528100006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Payment_05-11 Jun.xlsx</v>
      </c>
      <c r="U49" s="19"/>
      <c r="V49" s="36">
        <f t="shared" si="4"/>
        <v>612.67007424175017</v>
      </c>
      <c r="W49" s="20">
        <f t="shared" si="5"/>
        <v>87.524296320250016</v>
      </c>
      <c r="X49" s="59">
        <f t="shared" si="6"/>
        <v>525.14577792150021</v>
      </c>
      <c r="Y49" s="21">
        <v>0</v>
      </c>
      <c r="Z49" s="48">
        <f t="shared" si="7"/>
        <v>525.14577792150021</v>
      </c>
      <c r="AA49" s="23"/>
      <c r="AB49" s="22" t="str">
        <f>VLOOKUP(C49,DSC_Master!$C$1:$K$200,9,0)</f>
        <v>RAVI KUMAR PATEL</v>
      </c>
      <c r="AC49" s="22" t="str">
        <f>VLOOKUP(C49,DSC_Master!$C$1:$J$201,8,0)</f>
        <v>21910100008905</v>
      </c>
      <c r="AD49" s="22" t="str">
        <f>VLOOKUP(C49,DSC_Master!$C$1:$J$201,7,0)</f>
        <v>BARB0DAMOHA</v>
      </c>
      <c r="AE49" s="159"/>
      <c r="AF49" s="3">
        <v>35010.61</v>
      </c>
      <c r="AG49" s="5">
        <f t="shared" si="8"/>
        <v>-0.89147189999494003</v>
      </c>
    </row>
    <row r="50" spans="1:33" x14ac:dyDescent="0.25">
      <c r="A50" s="8">
        <v>1062</v>
      </c>
      <c r="B50" s="38" t="s">
        <v>320</v>
      </c>
      <c r="C50" s="9">
        <v>10620070</v>
      </c>
      <c r="D50" s="8">
        <f>VLOOKUP(C50,DSC_Master!$C$1:D148,2,0)</f>
        <v>60616</v>
      </c>
      <c r="E50" s="10" t="str">
        <f>VLOOKUP(C50,DSC_Master!$C$1:$K$200,4,0)</f>
        <v>AKHOLI DSK</v>
      </c>
      <c r="F50" s="11" t="s">
        <v>304</v>
      </c>
      <c r="G50" s="11" t="s">
        <v>400</v>
      </c>
      <c r="H50" s="24">
        <v>1128</v>
      </c>
      <c r="I50" s="24">
        <v>46197.169636700004</v>
      </c>
      <c r="J50" s="14">
        <f t="shared" si="0"/>
        <v>46197.169636700004</v>
      </c>
      <c r="K50" s="13"/>
      <c r="L50" s="13"/>
      <c r="M50" s="13">
        <v>0</v>
      </c>
      <c r="N50" s="13"/>
      <c r="O50" s="13">
        <f t="shared" si="1"/>
        <v>46197.169636700004</v>
      </c>
      <c r="P50" s="13">
        <f t="shared" si="2"/>
        <v>0</v>
      </c>
      <c r="Q50" s="15">
        <f t="shared" si="3"/>
        <v>46197.169636700004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Payment_05-11 Jun.xlsx</v>
      </c>
      <c r="U50" s="19"/>
      <c r="V50" s="36">
        <f t="shared" si="4"/>
        <v>808.45046864225014</v>
      </c>
      <c r="W50" s="20">
        <f t="shared" si="5"/>
        <v>115.49292409175001</v>
      </c>
      <c r="X50" s="59">
        <f t="shared" si="6"/>
        <v>692.95754455050019</v>
      </c>
      <c r="Y50" s="21">
        <v>0</v>
      </c>
      <c r="Z50" s="48">
        <f t="shared" si="7"/>
        <v>692.95754455050019</v>
      </c>
      <c r="AB50" s="22" t="str">
        <f>VLOOKUP(C50,DSC_Master!$C$1:$K$200,9,0)</f>
        <v>RAVIKANT SINGH</v>
      </c>
      <c r="AC50" s="22" t="str">
        <f>VLOOKUP(C50,DSC_Master!$C$1:$J$201,8,0)</f>
        <v>441810110003058</v>
      </c>
      <c r="AD50" s="22" t="str">
        <f>VLOOKUP(C50,DSC_Master!$C$1:$J$201,7,0)</f>
        <v>BKID0004418</v>
      </c>
      <c r="AE50" s="159"/>
      <c r="AF50" s="3">
        <v>46198.11</v>
      </c>
      <c r="AG50" s="5">
        <f t="shared" si="8"/>
        <v>-0.9403632999965339</v>
      </c>
    </row>
    <row r="51" spans="1:33" x14ac:dyDescent="0.25">
      <c r="A51" s="8">
        <v>1062</v>
      </c>
      <c r="B51" s="38" t="s">
        <v>320</v>
      </c>
      <c r="C51" s="9">
        <v>10620071</v>
      </c>
      <c r="D51" s="8">
        <f>VLOOKUP(C51,DSC_Master!$C$1:D149,2,0)</f>
        <v>64586</v>
      </c>
      <c r="E51" s="10" t="str">
        <f>VLOOKUP(C51,DSC_Master!$C$1:$K$200,4,0)</f>
        <v>KUCHHALA DSK</v>
      </c>
      <c r="F51" s="11" t="s">
        <v>304</v>
      </c>
      <c r="G51" s="11" t="s">
        <v>400</v>
      </c>
      <c r="H51" s="24">
        <v>615</v>
      </c>
      <c r="I51" s="24">
        <v>25437.826661100004</v>
      </c>
      <c r="J51" s="14">
        <f t="shared" si="0"/>
        <v>25437.826661100004</v>
      </c>
      <c r="K51" s="13"/>
      <c r="L51" s="13"/>
      <c r="M51" s="13">
        <v>0</v>
      </c>
      <c r="N51" s="13"/>
      <c r="O51" s="13">
        <f t="shared" si="1"/>
        <v>25437.826661100004</v>
      </c>
      <c r="P51" s="13">
        <f t="shared" si="2"/>
        <v>0</v>
      </c>
      <c r="Q51" s="15">
        <f t="shared" si="3"/>
        <v>25437.826661100004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Payment_05-11 Jun.xlsx</v>
      </c>
      <c r="U51" s="19"/>
      <c r="V51" s="36">
        <f t="shared" si="4"/>
        <v>445.16196656925013</v>
      </c>
      <c r="W51" s="20">
        <f t="shared" si="5"/>
        <v>63.594566652750011</v>
      </c>
      <c r="X51" s="59">
        <f t="shared" si="6"/>
        <v>381.56739991650011</v>
      </c>
      <c r="Y51" s="21">
        <v>0</v>
      </c>
      <c r="Z51" s="48">
        <f t="shared" si="7"/>
        <v>381.56739991650011</v>
      </c>
      <c r="AA51" s="23"/>
      <c r="AB51" s="22" t="str">
        <f>VLOOKUP(C51,DSC_Master!$C$1:$K$200,9,0)</f>
        <v>RAVISHANKAR RAI</v>
      </c>
      <c r="AC51" s="22" t="str">
        <f>VLOOKUP(C51,DSC_Master!$C$1:$J$201,8,0)</f>
        <v>2397000100564188</v>
      </c>
      <c r="AD51" s="22" t="str">
        <f>VLOOKUP(C51,DSC_Master!$C$1:$J$201,7,0)</f>
        <v>PUNB0239700</v>
      </c>
      <c r="AE51" s="159"/>
      <c r="AF51" s="3">
        <v>25438.44</v>
      </c>
      <c r="AG51" s="5">
        <f t="shared" si="8"/>
        <v>-0.61333889999514213</v>
      </c>
    </row>
    <row r="52" spans="1:33" x14ac:dyDescent="0.25">
      <c r="A52" s="8">
        <v>1062</v>
      </c>
      <c r="B52" s="38" t="s">
        <v>320</v>
      </c>
      <c r="C52" s="9">
        <v>10620072</v>
      </c>
      <c r="D52" s="8">
        <f>VLOOKUP(C52,DSC_Master!$C$1:D150,2,0)</f>
        <v>60526</v>
      </c>
      <c r="E52" s="10" t="str">
        <f>VLOOKUP(C52,DSC_Master!$C$1:$K$200,4,0)</f>
        <v>CHANDESH DSK</v>
      </c>
      <c r="F52" s="11" t="s">
        <v>304</v>
      </c>
      <c r="G52" s="11" t="s">
        <v>400</v>
      </c>
      <c r="H52" s="24">
        <v>63</v>
      </c>
      <c r="I52" s="24">
        <v>2941.1129860000001</v>
      </c>
      <c r="J52" s="14">
        <f t="shared" si="0"/>
        <v>2941.1129860000001</v>
      </c>
      <c r="K52" s="13"/>
      <c r="L52" s="13"/>
      <c r="M52" s="13">
        <v>0</v>
      </c>
      <c r="N52" s="13"/>
      <c r="O52" s="13">
        <f t="shared" si="1"/>
        <v>2941.1129860000001</v>
      </c>
      <c r="P52" s="13">
        <f t="shared" si="2"/>
        <v>0</v>
      </c>
      <c r="Q52" s="15">
        <f t="shared" si="3"/>
        <v>2941.1129860000001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Payment_05-11 Jun.xlsx</v>
      </c>
      <c r="U52" s="19"/>
      <c r="V52" s="36">
        <f t="shared" si="4"/>
        <v>51.469477255000008</v>
      </c>
      <c r="W52" s="20">
        <f t="shared" si="5"/>
        <v>7.3527824650000007</v>
      </c>
      <c r="X52" s="59">
        <f t="shared" si="6"/>
        <v>44.116694790000011</v>
      </c>
      <c r="Y52" s="21">
        <v>0</v>
      </c>
      <c r="Z52" s="48">
        <f t="shared" si="7"/>
        <v>44.116694790000011</v>
      </c>
      <c r="AB52" s="22" t="str">
        <f>VLOOKUP(C52,DSC_Master!$C$1:$K$200,9,0)</f>
        <v>RAVISHANKAR RAI</v>
      </c>
      <c r="AC52" s="22" t="str">
        <f>VLOOKUP(C52,DSC_Master!$C$1:$J$201,8,0)</f>
        <v>20348864069</v>
      </c>
      <c r="AD52" s="22" t="str">
        <f>VLOOKUP(C52,DSC_Master!$C$1:$J$201,7,0)</f>
        <v>SBIN0017163</v>
      </c>
      <c r="AE52" s="159"/>
      <c r="AF52" s="3">
        <v>2941.07</v>
      </c>
      <c r="AG52" s="5">
        <f t="shared" si="8"/>
        <v>4.2985999999928026E-2</v>
      </c>
    </row>
    <row r="53" spans="1:33" x14ac:dyDescent="0.25">
      <c r="A53" s="8">
        <v>1062</v>
      </c>
      <c r="B53" s="38" t="s">
        <v>320</v>
      </c>
      <c r="C53" s="9">
        <v>10620075</v>
      </c>
      <c r="D53" s="8">
        <f>VLOOKUP(C53,DSC_Master!$C$1:D151,2,0)</f>
        <v>64542</v>
      </c>
      <c r="E53" s="10" t="str">
        <f>VLOOKUP(C53,DSC_Master!$C$1:$K$200,4,0)</f>
        <v>KUCHHALA DSK</v>
      </c>
      <c r="F53" s="11" t="s">
        <v>304</v>
      </c>
      <c r="G53" s="11" t="s">
        <v>400</v>
      </c>
      <c r="H53" s="24">
        <v>687</v>
      </c>
      <c r="I53" s="24">
        <v>35849.911605900008</v>
      </c>
      <c r="J53" s="14">
        <f t="shared" si="0"/>
        <v>35849.911605900008</v>
      </c>
      <c r="K53" s="13"/>
      <c r="L53" s="13"/>
      <c r="M53" s="13">
        <v>0</v>
      </c>
      <c r="N53" s="13"/>
      <c r="O53" s="13">
        <f t="shared" si="1"/>
        <v>35849.911605900008</v>
      </c>
      <c r="P53" s="13">
        <f t="shared" si="2"/>
        <v>0</v>
      </c>
      <c r="Q53" s="15">
        <f t="shared" si="3"/>
        <v>35849.911605900008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Payment_05-11 Jun.xlsx</v>
      </c>
      <c r="U53" s="19"/>
      <c r="V53" s="36">
        <f t="shared" si="4"/>
        <v>627.3734531032502</v>
      </c>
      <c r="W53" s="20">
        <f t="shared" si="5"/>
        <v>89.624779014750018</v>
      </c>
      <c r="X53" s="59">
        <f t="shared" si="6"/>
        <v>537.74867408850014</v>
      </c>
      <c r="Y53" s="21">
        <v>0</v>
      </c>
      <c r="Z53" s="48">
        <f t="shared" si="7"/>
        <v>537.74867408850014</v>
      </c>
      <c r="AB53" s="22" t="str">
        <f>VLOOKUP(C53,DSC_Master!$C$1:$K$200,9,0)</f>
        <v>SUNITA DEVI</v>
      </c>
      <c r="AC53" s="22" t="str">
        <f>VLOOKUP(C53,DSC_Master!$C$1:$J$201,8,0)</f>
        <v>579410110012870</v>
      </c>
      <c r="AD53" s="22" t="str">
        <f>VLOOKUP(C53,DSC_Master!$C$1:$J$201,7,0)</f>
        <v>BKID0005794</v>
      </c>
      <c r="AE53" s="159"/>
      <c r="AF53" s="3">
        <v>35850.75</v>
      </c>
      <c r="AG53" s="5">
        <f t="shared" si="8"/>
        <v>-0.83839409999200143</v>
      </c>
    </row>
    <row r="54" spans="1:33" x14ac:dyDescent="0.25">
      <c r="A54" s="8">
        <v>1062</v>
      </c>
      <c r="B54" s="38" t="s">
        <v>320</v>
      </c>
      <c r="C54" s="9">
        <v>10620076</v>
      </c>
      <c r="D54" s="8">
        <f>VLOOKUP(C54,DSC_Master!$C$1:D152,2,0)</f>
        <v>60604</v>
      </c>
      <c r="E54" s="10" t="str">
        <f>VLOOKUP(C54,DSC_Master!$C$1:$K$200,4,0)</f>
        <v>SANISARAI DSK</v>
      </c>
      <c r="F54" s="11" t="s">
        <v>304</v>
      </c>
      <c r="G54" s="11" t="s">
        <v>400</v>
      </c>
      <c r="H54" s="24">
        <v>320</v>
      </c>
      <c r="I54" s="24">
        <v>12692.890873800003</v>
      </c>
      <c r="J54" s="14">
        <f t="shared" si="0"/>
        <v>12692.890873800003</v>
      </c>
      <c r="K54" s="13"/>
      <c r="L54" s="13"/>
      <c r="M54" s="13">
        <v>0</v>
      </c>
      <c r="N54" s="13"/>
      <c r="O54" s="13">
        <f t="shared" si="1"/>
        <v>12692.890873800003</v>
      </c>
      <c r="P54" s="13">
        <f t="shared" si="2"/>
        <v>0</v>
      </c>
      <c r="Q54" s="15">
        <f t="shared" si="3"/>
        <v>12692.890873800003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Payment_05-11 Jun.xlsx</v>
      </c>
      <c r="U54" s="19"/>
      <c r="V54" s="36">
        <f t="shared" si="4"/>
        <v>222.12559029150006</v>
      </c>
      <c r="W54" s="20">
        <f t="shared" si="5"/>
        <v>31.732227184500008</v>
      </c>
      <c r="X54" s="59">
        <f t="shared" si="6"/>
        <v>190.39336310700006</v>
      </c>
      <c r="Y54" s="21">
        <v>0</v>
      </c>
      <c r="Z54" s="48">
        <f t="shared" si="7"/>
        <v>190.39336310700006</v>
      </c>
      <c r="AA54" s="23"/>
      <c r="AB54" s="22" t="str">
        <f>VLOOKUP(C54,DSC_Master!$C$1:$K$200,9,0)</f>
        <v>SURESH SINGH</v>
      </c>
      <c r="AC54" s="22" t="str">
        <f>VLOOKUP(C54,DSC_Master!$C$1:$J$201,8,0)</f>
        <v>2784001700140817</v>
      </c>
      <c r="AD54" s="22" t="str">
        <f>VLOOKUP(C54,DSC_Master!$C$1:$J$201,7,0)</f>
        <v>PUNB0278400</v>
      </c>
      <c r="AE54" s="159"/>
      <c r="AF54" s="3">
        <v>12693.31</v>
      </c>
      <c r="AG54" s="5">
        <f t="shared" si="8"/>
        <v>-0.41912619999675371</v>
      </c>
    </row>
    <row r="55" spans="1:33" x14ac:dyDescent="0.25">
      <c r="A55" s="8">
        <v>1062</v>
      </c>
      <c r="B55" s="38" t="s">
        <v>320</v>
      </c>
      <c r="C55" s="9">
        <v>10620077</v>
      </c>
      <c r="D55" s="8">
        <f>VLOOKUP(C55,DSC_Master!$C$1:D153,2,0)</f>
        <v>60627</v>
      </c>
      <c r="E55" s="10" t="str">
        <f>VLOOKUP(C55,DSC_Master!$C$1:$K$200,4,0)</f>
        <v>KHANATI DSK</v>
      </c>
      <c r="F55" s="11" t="s">
        <v>304</v>
      </c>
      <c r="G55" s="11" t="s">
        <v>400</v>
      </c>
      <c r="H55" s="24">
        <v>223</v>
      </c>
      <c r="I55" s="24">
        <v>9415.4797362000027</v>
      </c>
      <c r="J55" s="14">
        <f t="shared" si="0"/>
        <v>9415.4797362000027</v>
      </c>
      <c r="K55" s="13"/>
      <c r="L55" s="13"/>
      <c r="M55" s="13">
        <v>0</v>
      </c>
      <c r="N55" s="13"/>
      <c r="O55" s="13">
        <f t="shared" si="1"/>
        <v>9415.4797362000027</v>
      </c>
      <c r="P55" s="13">
        <f t="shared" si="2"/>
        <v>0</v>
      </c>
      <c r="Q55" s="15">
        <f t="shared" si="3"/>
        <v>9415.4797362000027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Payment_05-11 Jun.xlsx</v>
      </c>
      <c r="U55" s="19"/>
      <c r="V55" s="36">
        <f t="shared" si="4"/>
        <v>164.77089538350006</v>
      </c>
      <c r="W55" s="20">
        <f t="shared" si="5"/>
        <v>23.538699340500006</v>
      </c>
      <c r="X55" s="59">
        <f t="shared" si="6"/>
        <v>141.23219604300004</v>
      </c>
      <c r="Y55" s="21">
        <v>0</v>
      </c>
      <c r="Z55" s="48">
        <f t="shared" si="7"/>
        <v>141.23219604300004</v>
      </c>
      <c r="AA55" s="23"/>
      <c r="AB55" s="22" t="str">
        <f>VLOOKUP(C55,DSC_Master!$C$1:$K$200,9,0)</f>
        <v>SUSHIL YADAV</v>
      </c>
      <c r="AC55" s="22" t="str">
        <f>VLOOKUP(C55,DSC_Master!$C$1:$J$201,8,0)</f>
        <v>2784001700136197</v>
      </c>
      <c r="AD55" s="22" t="str">
        <f>VLOOKUP(C55,DSC_Master!$C$1:$J$201,7,0)</f>
        <v>PUNB0278400</v>
      </c>
      <c r="AE55" s="159"/>
      <c r="AF55" s="3">
        <v>9415.49</v>
      </c>
      <c r="AG55" s="5">
        <f t="shared" si="8"/>
        <v>-1.0263799997119349E-2</v>
      </c>
    </row>
    <row r="56" spans="1:33" x14ac:dyDescent="0.25">
      <c r="A56" s="8">
        <v>1062</v>
      </c>
      <c r="B56" s="38" t="s">
        <v>320</v>
      </c>
      <c r="C56" s="9">
        <v>10620099</v>
      </c>
      <c r="D56" s="8">
        <f>VLOOKUP(C56,DSC_Master!$C$1:D154,2,0)</f>
        <v>64504</v>
      </c>
      <c r="E56" s="10" t="str">
        <f>VLOOKUP(C56,DSC_Master!$C$1:$K$200,4,0)</f>
        <v>NONAR DSK</v>
      </c>
      <c r="F56" s="11" t="s">
        <v>304</v>
      </c>
      <c r="G56" s="11" t="s">
        <v>400</v>
      </c>
      <c r="H56" s="24">
        <v>369</v>
      </c>
      <c r="I56" s="24">
        <v>13229.736620700001</v>
      </c>
      <c r="J56" s="14">
        <f t="shared" si="0"/>
        <v>13229.736620700001</v>
      </c>
      <c r="K56" s="13"/>
      <c r="L56" s="13"/>
      <c r="M56" s="13">
        <v>0</v>
      </c>
      <c r="N56" s="13"/>
      <c r="O56" s="13">
        <f t="shared" si="1"/>
        <v>13229.736620700001</v>
      </c>
      <c r="P56" s="13">
        <f t="shared" si="2"/>
        <v>0</v>
      </c>
      <c r="Q56" s="15">
        <f t="shared" si="3"/>
        <v>13229.736620700001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Payment_05-11 Jun.xlsx</v>
      </c>
      <c r="U56" s="19"/>
      <c r="V56" s="36">
        <f t="shared" si="4"/>
        <v>231.52039086225005</v>
      </c>
      <c r="W56" s="20">
        <f t="shared" si="5"/>
        <v>33.074341551750003</v>
      </c>
      <c r="X56" s="59">
        <f t="shared" si="6"/>
        <v>198.44604931050006</v>
      </c>
      <c r="Y56" s="21">
        <v>0</v>
      </c>
      <c r="Z56" s="48">
        <f t="shared" si="7"/>
        <v>198.44604931050006</v>
      </c>
      <c r="AA56" s="23"/>
      <c r="AB56" s="22" t="str">
        <f>VLOOKUP(C56,DSC_Master!$C$1:$K$200,9,0)</f>
        <v>SURESH KHARWAR</v>
      </c>
      <c r="AC56" s="22" t="str">
        <f>VLOOKUP(C56,DSC_Master!$C$1:$J$201,8,0)</f>
        <v>2784000100286464</v>
      </c>
      <c r="AD56" s="22" t="str">
        <f>VLOOKUP(C56,DSC_Master!$C$1:$J$201,7,0)</f>
        <v>PUNB0278400</v>
      </c>
      <c r="AE56" s="159"/>
      <c r="AF56" s="3">
        <v>13217.84</v>
      </c>
      <c r="AG56" s="5">
        <f t="shared" si="8"/>
        <v>11.896620700001222</v>
      </c>
    </row>
    <row r="57" spans="1:33" x14ac:dyDescent="0.25">
      <c r="A57" s="8">
        <v>1062</v>
      </c>
      <c r="B57" s="38" t="s">
        <v>320</v>
      </c>
      <c r="C57" s="9">
        <v>10620100</v>
      </c>
      <c r="D57" s="8">
        <f>VLOOKUP(C57,DSC_Master!$C$1:D155,2,0)</f>
        <v>60646</v>
      </c>
      <c r="E57" s="10" t="str">
        <f>VLOOKUP(C57,DSC_Master!$C$1:$K$200,4,0)</f>
        <v>RAMGARH DSK</v>
      </c>
      <c r="F57" s="11" t="s">
        <v>304</v>
      </c>
      <c r="G57" s="11" t="s">
        <v>400</v>
      </c>
      <c r="H57" s="24">
        <v>910</v>
      </c>
      <c r="I57" s="24">
        <v>50809.624750000003</v>
      </c>
      <c r="J57" s="14">
        <f t="shared" si="0"/>
        <v>50809.624750000003</v>
      </c>
      <c r="K57" s="13"/>
      <c r="L57" s="13"/>
      <c r="M57" s="13">
        <v>0</v>
      </c>
      <c r="N57" s="13"/>
      <c r="O57" s="13">
        <f t="shared" si="1"/>
        <v>50809.624750000003</v>
      </c>
      <c r="P57" s="13">
        <f t="shared" si="2"/>
        <v>0</v>
      </c>
      <c r="Q57" s="15">
        <f t="shared" si="3"/>
        <v>50809.624750000003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Payment_05-11 Jun.xlsx</v>
      </c>
      <c r="U57" s="19"/>
      <c r="V57" s="36">
        <f t="shared" si="4"/>
        <v>889.16843312500009</v>
      </c>
      <c r="W57" s="20">
        <f t="shared" si="5"/>
        <v>127.02406187500002</v>
      </c>
      <c r="X57" s="59">
        <f t="shared" si="6"/>
        <v>762.14437125000006</v>
      </c>
      <c r="Y57" s="21">
        <v>0</v>
      </c>
      <c r="Z57" s="48">
        <f t="shared" si="7"/>
        <v>762.14437125000006</v>
      </c>
      <c r="AB57" s="22" t="str">
        <f>VLOOKUP(C57,DSC_Master!$C$1:$K$200,9,0)</f>
        <v>SHRI SHYAM DAIRY CO</v>
      </c>
      <c r="AC57" s="22" t="str">
        <f>VLOOKUP(C57,DSC_Master!$C$1:$J$201,8,0)</f>
        <v>579420110000403</v>
      </c>
      <c r="AD57" s="22" t="str">
        <f>VLOOKUP(C57,DSC_Master!$C$1:$J$201,7,0)</f>
        <v>BKID0005794</v>
      </c>
      <c r="AE57" s="159"/>
      <c r="AF57" s="3">
        <v>50810.29</v>
      </c>
      <c r="AG57" s="5">
        <f t="shared" si="8"/>
        <v>-0.66524999999819556</v>
      </c>
    </row>
    <row r="58" spans="1:33" x14ac:dyDescent="0.25">
      <c r="A58" s="8">
        <v>1062</v>
      </c>
      <c r="B58" s="38" t="s">
        <v>320</v>
      </c>
      <c r="C58" s="9">
        <v>10620101</v>
      </c>
      <c r="D58" s="8">
        <f>VLOOKUP(C58,DSC_Master!$C$1:D156,2,0)</f>
        <v>20101</v>
      </c>
      <c r="E58" s="10" t="str">
        <f>VLOOKUP(C58,DSC_Master!$C$1:$K$200,4,0)</f>
        <v>JABURNA DSK</v>
      </c>
      <c r="F58" s="11" t="s">
        <v>304</v>
      </c>
      <c r="G58" s="11" t="s">
        <v>400</v>
      </c>
      <c r="H58" s="24">
        <v>183</v>
      </c>
      <c r="I58" s="24">
        <v>8680.7026807999991</v>
      </c>
      <c r="J58" s="14">
        <f t="shared" ref="J58:J60" si="9">I58</f>
        <v>8680.7026807999991</v>
      </c>
      <c r="K58" s="13"/>
      <c r="L58" s="13"/>
      <c r="M58" s="13">
        <v>0</v>
      </c>
      <c r="N58" s="13"/>
      <c r="O58" s="13">
        <f t="shared" ref="O58:O60" si="10">J58-SUM(K58:N58)</f>
        <v>8680.7026807999991</v>
      </c>
      <c r="P58" s="13">
        <f t="shared" ref="P58:P60" si="11">IF(R58="Yes",O58,0)</f>
        <v>0</v>
      </c>
      <c r="Q58" s="15">
        <f t="shared" ref="Q58:Q60" si="12">O58-P58</f>
        <v>8680.7026807999991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Payment_05-11 Jun.xlsx</v>
      </c>
      <c r="U58" s="19"/>
      <c r="V58" s="36">
        <f t="shared" ref="V58:V60" si="13">I58*1.75%</f>
        <v>151.912296914</v>
      </c>
      <c r="W58" s="20">
        <f t="shared" ref="W58:W60" si="14">I58*0.25%</f>
        <v>21.701756701999997</v>
      </c>
      <c r="X58" s="59">
        <f t="shared" ref="X58:X60" si="15">V58-W58</f>
        <v>130.21054021200001</v>
      </c>
      <c r="Y58" s="21">
        <v>0</v>
      </c>
      <c r="Z58" s="48">
        <f t="shared" ref="Z58:Z60" si="16">X58-Y58</f>
        <v>130.21054021200001</v>
      </c>
      <c r="AB58" s="22" t="str">
        <f>VLOOKUP(C58,DSC_Master!$C$1:$K$200,9,0)</f>
        <v>MD IMRAN KHAN</v>
      </c>
      <c r="AC58" s="22" t="str">
        <f>VLOOKUP(C58,DSC_Master!$C$1:$J$201,8,0)</f>
        <v>43620100017275</v>
      </c>
      <c r="AD58" s="22" t="str">
        <f>VLOOKUP(C58,DSC_Master!$C$1:$J$201,7,0)</f>
        <v>BARB0DILDAR</v>
      </c>
      <c r="AE58" s="159"/>
      <c r="AF58" s="3">
        <v>8680.7800000000007</v>
      </c>
      <c r="AG58" s="5">
        <f t="shared" ref="AG58:AG60" si="17">Q58-AF58</f>
        <v>-7.731920000151149E-2</v>
      </c>
    </row>
    <row r="59" spans="1:33" x14ac:dyDescent="0.25">
      <c r="A59" s="8">
        <v>1062</v>
      </c>
      <c r="B59" s="38" t="s">
        <v>320</v>
      </c>
      <c r="C59" s="9">
        <v>10620102</v>
      </c>
      <c r="D59" s="8">
        <f>VLOOKUP(C59,DSC_Master!$C$1:D157,2,0)</f>
        <v>20102</v>
      </c>
      <c r="E59" s="10" t="str">
        <f>VLOOKUP(C59,DSC_Master!$C$1:$K$200,4,0)</f>
        <v>KALANI DSK</v>
      </c>
      <c r="F59" s="11" t="s">
        <v>304</v>
      </c>
      <c r="G59" s="11" t="s">
        <v>400</v>
      </c>
      <c r="H59" s="24">
        <v>403</v>
      </c>
      <c r="I59" s="24">
        <v>18998.7335365</v>
      </c>
      <c r="J59" s="14">
        <f t="shared" si="9"/>
        <v>18998.7335365</v>
      </c>
      <c r="K59" s="13"/>
      <c r="L59" s="13"/>
      <c r="M59" s="13">
        <v>0</v>
      </c>
      <c r="N59" s="13"/>
      <c r="O59" s="13">
        <f t="shared" si="10"/>
        <v>18998.7335365</v>
      </c>
      <c r="P59" s="13">
        <f t="shared" si="11"/>
        <v>0</v>
      </c>
      <c r="Q59" s="15">
        <f t="shared" si="12"/>
        <v>18998.7335365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Payment_05-11 Jun.xlsx</v>
      </c>
      <c r="U59" s="19"/>
      <c r="V59" s="36">
        <f t="shared" si="13"/>
        <v>332.47783688875001</v>
      </c>
      <c r="W59" s="20">
        <f t="shared" si="14"/>
        <v>47.496833841250002</v>
      </c>
      <c r="X59" s="59">
        <f t="shared" si="15"/>
        <v>284.9810030475</v>
      </c>
      <c r="Y59" s="21">
        <v>0</v>
      </c>
      <c r="Z59" s="48">
        <f t="shared" si="16"/>
        <v>284.9810030475</v>
      </c>
      <c r="AB59" s="22" t="str">
        <f>VLOOKUP(C59,DSC_Master!$C$1:$K$200,9,0)</f>
        <v>MAYA KUMARI</v>
      </c>
      <c r="AC59" s="22" t="str">
        <f>VLOOKUP(C59,DSC_Master!$C$1:$J$201,8,0)</f>
        <v>461110110010454</v>
      </c>
      <c r="AD59" s="22" t="str">
        <f>VLOOKUP(C59,DSC_Master!$C$1:$J$201,7,0)</f>
        <v>BKID0004611</v>
      </c>
      <c r="AE59" s="159"/>
      <c r="AF59" s="3">
        <v>18999.43</v>
      </c>
      <c r="AG59" s="5">
        <f t="shared" si="17"/>
        <v>-0.69646350000039092</v>
      </c>
    </row>
    <row r="60" spans="1:33" x14ac:dyDescent="0.25">
      <c r="A60" s="8">
        <v>1062</v>
      </c>
      <c r="B60" s="38" t="s">
        <v>320</v>
      </c>
      <c r="C60" s="9">
        <v>10620104</v>
      </c>
      <c r="D60" s="8">
        <f>VLOOKUP(C60,DSC_Master!$C$1:D158,2,0)</f>
        <v>20104</v>
      </c>
      <c r="E60" s="10" t="str">
        <f>VLOOKUP(C60,DSC_Master!$C$1:$K$200,4,0)</f>
        <v>PANAPUR - PURVY DSK</v>
      </c>
      <c r="F60" s="11" t="s">
        <v>304</v>
      </c>
      <c r="G60" s="11" t="s">
        <v>400</v>
      </c>
      <c r="H60" s="24">
        <v>320</v>
      </c>
      <c r="I60" s="24">
        <v>11501.076840000002</v>
      </c>
      <c r="J60" s="14">
        <f t="shared" si="9"/>
        <v>11501.076840000002</v>
      </c>
      <c r="K60" s="13"/>
      <c r="L60" s="13"/>
      <c r="M60" s="13">
        <v>0</v>
      </c>
      <c r="N60" s="13"/>
      <c r="O60" s="13">
        <f t="shared" si="10"/>
        <v>11501.076840000002</v>
      </c>
      <c r="P60" s="13">
        <f t="shared" si="11"/>
        <v>0</v>
      </c>
      <c r="Q60" s="15">
        <f t="shared" si="12"/>
        <v>11501.076840000002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Payment_05-11 Jun.xlsx</v>
      </c>
      <c r="U60" s="19"/>
      <c r="V60" s="36">
        <f t="shared" si="13"/>
        <v>201.26884470000005</v>
      </c>
      <c r="W60" s="20">
        <f t="shared" si="14"/>
        <v>28.752692100000004</v>
      </c>
      <c r="X60" s="59">
        <f t="shared" si="15"/>
        <v>172.51615260000005</v>
      </c>
      <c r="Y60" s="21">
        <v>0</v>
      </c>
      <c r="Z60" s="48">
        <f t="shared" si="16"/>
        <v>172.51615260000005</v>
      </c>
      <c r="AB60" s="22" t="str">
        <f>VLOOKUP(C60,DSC_Master!$C$1:$K$200,9,0)</f>
        <v>NEERAJ KUMAR</v>
      </c>
      <c r="AC60" s="22" t="str">
        <f>VLOOKUP(C60,DSC_Master!$C$1:$J$201,8,0)</f>
        <v>20200123940927</v>
      </c>
      <c r="AD60" s="22" t="str">
        <f>VLOOKUP(C60,DSC_Master!$C$1:$J$201,7,0)</f>
        <v>BDBL0001544</v>
      </c>
      <c r="AE60" s="159"/>
      <c r="AF60" s="3">
        <v>11500.77</v>
      </c>
      <c r="AG60" s="5">
        <f t="shared" si="17"/>
        <v>0.30684000000110245</v>
      </c>
    </row>
    <row r="61" spans="1:33" x14ac:dyDescent="0.25">
      <c r="A61" s="8">
        <v>1062</v>
      </c>
      <c r="B61" s="38" t="s">
        <v>320</v>
      </c>
      <c r="C61" s="9">
        <v>10620106</v>
      </c>
      <c r="D61" s="8">
        <f>VLOOKUP(C61,DSC_Master!$C$1:D156,2,0)</f>
        <v>20106</v>
      </c>
      <c r="E61" s="10" t="str">
        <f>VLOOKUP(C61,DSC_Master!$C$1:$K$200,4,0)</f>
        <v>MACHHANHATA DSK</v>
      </c>
      <c r="F61" s="11" t="s">
        <v>304</v>
      </c>
      <c r="G61" s="11" t="s">
        <v>400</v>
      </c>
      <c r="H61" s="24">
        <v>395</v>
      </c>
      <c r="I61" s="24">
        <v>15523.429062900001</v>
      </c>
      <c r="J61" s="14">
        <f t="shared" si="0"/>
        <v>15523.429062900001</v>
      </c>
      <c r="K61" s="13"/>
      <c r="L61" s="13"/>
      <c r="M61" s="13">
        <v>0</v>
      </c>
      <c r="N61" s="13"/>
      <c r="O61" s="13">
        <f t="shared" si="1"/>
        <v>15523.429062900001</v>
      </c>
      <c r="P61" s="13">
        <f t="shared" si="2"/>
        <v>0</v>
      </c>
      <c r="Q61" s="15">
        <f t="shared" si="3"/>
        <v>15523.429062900001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Payment_05-11 Jun.xlsx</v>
      </c>
      <c r="U61" s="19"/>
      <c r="V61" s="36">
        <f t="shared" si="4"/>
        <v>271.66000860075002</v>
      </c>
      <c r="W61" s="20">
        <f t="shared" si="5"/>
        <v>38.808572657250004</v>
      </c>
      <c r="X61" s="59">
        <f t="shared" si="6"/>
        <v>232.85143594350001</v>
      </c>
      <c r="Y61" s="21">
        <v>0</v>
      </c>
      <c r="Z61" s="48">
        <f t="shared" si="7"/>
        <v>232.85143594350001</v>
      </c>
      <c r="AB61" s="22" t="str">
        <f>VLOOKUP(C61,DSC_Master!$C$1:$K$200,9,0)</f>
        <v>PARASNATH SINGH</v>
      </c>
      <c r="AC61" s="22" t="str">
        <f>VLOOKUP(C61,DSC_Master!$C$1:$J$201,8,0)</f>
        <v>924010067199253</v>
      </c>
      <c r="AD61" s="22" t="str">
        <f>VLOOKUP(C61,DSC_Master!$C$1:$J$201,7,0)</f>
        <v>UTIB0005542</v>
      </c>
      <c r="AE61" s="159"/>
      <c r="AF61" s="3">
        <v>15523.6</v>
      </c>
      <c r="AG61" s="5">
        <f t="shared" si="8"/>
        <v>-0.17093709999971907</v>
      </c>
    </row>
    <row r="62" spans="1:33" x14ac:dyDescent="0.25">
      <c r="A62" s="8">
        <v>1062</v>
      </c>
      <c r="B62" s="38" t="s">
        <v>320</v>
      </c>
      <c r="C62" s="9">
        <v>10620107</v>
      </c>
      <c r="D62" s="8">
        <f>VLOOKUP(C62,DSC_Master!$C$1:D157,2,0)</f>
        <v>20107</v>
      </c>
      <c r="E62" s="10" t="str">
        <f>VLOOKUP(C62,DSC_Master!$C$1:$K$200,4,0)</f>
        <v>DANDAWAS DSK</v>
      </c>
      <c r="F62" s="11" t="s">
        <v>304</v>
      </c>
      <c r="G62" s="11" t="s">
        <v>400</v>
      </c>
      <c r="H62" s="24">
        <v>142</v>
      </c>
      <c r="I62" s="24">
        <v>6057.5067984000007</v>
      </c>
      <c r="J62" s="14">
        <f t="shared" si="0"/>
        <v>6057.5067984000007</v>
      </c>
      <c r="K62" s="13"/>
      <c r="L62" s="13"/>
      <c r="M62" s="13">
        <v>0</v>
      </c>
      <c r="N62" s="13"/>
      <c r="O62" s="13">
        <f t="shared" si="1"/>
        <v>6057.5067984000007</v>
      </c>
      <c r="P62" s="13">
        <f t="shared" si="2"/>
        <v>0</v>
      </c>
      <c r="Q62" s="15">
        <f t="shared" si="3"/>
        <v>6057.5067984000007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Payment_05-11 Jun.xlsx</v>
      </c>
      <c r="U62" s="19"/>
      <c r="V62" s="36">
        <f t="shared" si="4"/>
        <v>106.00636897200002</v>
      </c>
      <c r="W62" s="20">
        <f t="shared" si="5"/>
        <v>15.143766996000002</v>
      </c>
      <c r="X62" s="59">
        <f t="shared" si="6"/>
        <v>90.862601976000022</v>
      </c>
      <c r="Y62" s="21">
        <v>0</v>
      </c>
      <c r="Z62" s="48">
        <f t="shared" si="7"/>
        <v>90.862601976000022</v>
      </c>
      <c r="AB62" s="22" t="str">
        <f>VLOOKUP(C62,DSC_Master!$C$1:$K$200,9,0)</f>
        <v>DHANANJAY SINGH</v>
      </c>
      <c r="AC62" s="22" t="str">
        <f>VLOOKUP(C62,DSC_Master!$C$1:$J$201,8,0)</f>
        <v>110291410255</v>
      </c>
      <c r="AD62" s="22" t="str">
        <f>VLOOKUP(C62,DSC_Master!$C$1:$J$201,7,0)</f>
        <v>CNRB0007689</v>
      </c>
      <c r="AE62" s="159"/>
      <c r="AF62" s="3">
        <v>6057.63</v>
      </c>
      <c r="AG62" s="5">
        <f t="shared" si="8"/>
        <v>-0.12320159999944735</v>
      </c>
    </row>
    <row r="63" spans="1:33" x14ac:dyDescent="0.25">
      <c r="A63" s="8">
        <v>1062</v>
      </c>
      <c r="B63" s="38" t="s">
        <v>320</v>
      </c>
      <c r="C63" s="9">
        <v>10620109</v>
      </c>
      <c r="D63" s="8">
        <f>VLOOKUP(C63,DSC_Master!$C$1:D158,2,0)</f>
        <v>20109</v>
      </c>
      <c r="E63" s="10" t="str">
        <f>VLOOKUP(C63,DSC_Master!$C$1:$K$200,4,0)</f>
        <v>YUVRAJPUR DSK</v>
      </c>
      <c r="F63" s="11" t="s">
        <v>304</v>
      </c>
      <c r="G63" s="11" t="s">
        <v>400</v>
      </c>
      <c r="H63" s="24">
        <v>11310</v>
      </c>
      <c r="I63" s="24">
        <v>500948.58663499996</v>
      </c>
      <c r="J63" s="14">
        <f t="shared" si="0"/>
        <v>500948.58663499996</v>
      </c>
      <c r="K63" s="13"/>
      <c r="L63" s="13"/>
      <c r="M63" s="13">
        <v>0</v>
      </c>
      <c r="N63" s="13"/>
      <c r="O63" s="13">
        <f t="shared" si="1"/>
        <v>500948.58663499996</v>
      </c>
      <c r="P63" s="13">
        <f t="shared" si="2"/>
        <v>0</v>
      </c>
      <c r="Q63" s="15">
        <f t="shared" si="3"/>
        <v>500948.58663499996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Payment_05-11 Jun.xlsx</v>
      </c>
      <c r="U63" s="19"/>
      <c r="V63" s="36">
        <f t="shared" si="4"/>
        <v>8766.6002661125003</v>
      </c>
      <c r="W63" s="20">
        <f t="shared" si="5"/>
        <v>1252.3714665875</v>
      </c>
      <c r="X63" s="59">
        <f t="shared" si="6"/>
        <v>7514.2287995250008</v>
      </c>
      <c r="Y63" s="21">
        <v>0</v>
      </c>
      <c r="Z63" s="48">
        <f t="shared" si="7"/>
        <v>7514.2287995250008</v>
      </c>
      <c r="AA63" s="23"/>
      <c r="AB63" s="22" t="str">
        <f>VLOOKUP(C63,DSC_Master!$C$1:$K$200,9,0)</f>
        <v>PRIYANKA PANDEY</v>
      </c>
      <c r="AC63" s="22" t="str">
        <f>VLOOKUP(C63,DSC_Master!$C$1:$J$201,8,0)</f>
        <v>0662001500012630</v>
      </c>
      <c r="AD63" s="22" t="str">
        <f>VLOOKUP(C63,DSC_Master!$C$1:$J$201,7,0)</f>
        <v>PUNB0066200</v>
      </c>
      <c r="AE63" s="159"/>
      <c r="AF63" s="3">
        <v>500975.1</v>
      </c>
      <c r="AG63" s="5">
        <f t="shared" si="8"/>
        <v>-26.513365000020713</v>
      </c>
    </row>
    <row r="64" spans="1:33" x14ac:dyDescent="0.25">
      <c r="A64" s="8">
        <v>1062</v>
      </c>
      <c r="B64" s="38" t="s">
        <v>320</v>
      </c>
      <c r="C64" s="9">
        <v>10620111</v>
      </c>
      <c r="D64" s="8">
        <f>VLOOKUP(C64,DSC_Master!$C$1:D159,2,0)</f>
        <v>20111</v>
      </c>
      <c r="E64" s="10" t="str">
        <f>VLOOKUP(C64,DSC_Master!$C$1:$K$200,4,0)</f>
        <v>SUHWAL</v>
      </c>
      <c r="F64" s="11" t="s">
        <v>304</v>
      </c>
      <c r="G64" s="11" t="s">
        <v>400</v>
      </c>
      <c r="H64" s="24">
        <v>200</v>
      </c>
      <c r="I64" s="24">
        <v>8062.2363000000005</v>
      </c>
      <c r="J64" s="14">
        <f t="shared" si="0"/>
        <v>8062.2363000000005</v>
      </c>
      <c r="K64" s="13"/>
      <c r="L64" s="13"/>
      <c r="M64" s="13">
        <v>0</v>
      </c>
      <c r="N64" s="13"/>
      <c r="O64" s="13">
        <f t="shared" si="1"/>
        <v>8062.2363000000005</v>
      </c>
      <c r="P64" s="13">
        <f t="shared" si="2"/>
        <v>0</v>
      </c>
      <c r="Q64" s="15">
        <f t="shared" si="3"/>
        <v>8062.2363000000005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Payment_05-11 Jun.xlsx</v>
      </c>
      <c r="U64" s="19"/>
      <c r="V64" s="36">
        <f t="shared" si="4"/>
        <v>141.08913525000003</v>
      </c>
      <c r="W64" s="20">
        <f t="shared" si="5"/>
        <v>20.155590750000002</v>
      </c>
      <c r="X64" s="59">
        <f t="shared" si="6"/>
        <v>120.93354450000002</v>
      </c>
      <c r="Y64" s="21">
        <v>0</v>
      </c>
      <c r="Z64" s="48">
        <f t="shared" si="7"/>
        <v>120.93354450000002</v>
      </c>
      <c r="AB64" s="22" t="str">
        <f>VLOOKUP(C64,DSC_Master!$C$1:$K$200,9,0)</f>
        <v>PRIYA PANDEY</v>
      </c>
      <c r="AC64" s="22" t="str">
        <f>VLOOKUP(C64,DSC_Master!$C$1:$J$201,8,0)</f>
        <v>43605915887</v>
      </c>
      <c r="AD64" s="22" t="str">
        <f>VLOOKUP(C64,DSC_Master!$C$1:$J$201,7,0)</f>
        <v>SBIN0003683</v>
      </c>
      <c r="AE64" s="159"/>
      <c r="AF64" s="3">
        <v>8062</v>
      </c>
      <c r="AG64" s="5">
        <f t="shared" si="8"/>
        <v>0.23630000000048312</v>
      </c>
    </row>
    <row r="65" spans="1:33" x14ac:dyDescent="0.25">
      <c r="A65" s="8">
        <v>1062</v>
      </c>
      <c r="B65" s="38" t="s">
        <v>320</v>
      </c>
      <c r="C65" s="9">
        <v>10620112</v>
      </c>
      <c r="D65" s="8">
        <f>VLOOKUP(C65,DSC_Master!$C$1:D160,2,0)</f>
        <v>20112</v>
      </c>
      <c r="E65" s="10" t="str">
        <f>VLOOKUP(C65,DSC_Master!$C$1:$K$200,4,0)</f>
        <v>PARSATHUA DSK</v>
      </c>
      <c r="F65" s="11" t="s">
        <v>304</v>
      </c>
      <c r="G65" s="11" t="s">
        <v>400</v>
      </c>
      <c r="H65" s="24">
        <v>167</v>
      </c>
      <c r="I65" s="24">
        <v>6517.4867799000012</v>
      </c>
      <c r="J65" s="14">
        <f t="shared" si="0"/>
        <v>6517.4867799000012</v>
      </c>
      <c r="K65" s="13"/>
      <c r="L65" s="13"/>
      <c r="M65" s="13">
        <v>0</v>
      </c>
      <c r="N65" s="13"/>
      <c r="O65" s="13">
        <f t="shared" si="1"/>
        <v>6517.4867799000012</v>
      </c>
      <c r="P65" s="13">
        <f t="shared" si="2"/>
        <v>0</v>
      </c>
      <c r="Q65" s="15">
        <f t="shared" si="3"/>
        <v>6517.4867799000012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Payment_05-11 Jun.xlsx</v>
      </c>
      <c r="U65" s="19"/>
      <c r="V65" s="36">
        <f t="shared" si="4"/>
        <v>114.05601864825003</v>
      </c>
      <c r="W65" s="20">
        <f t="shared" si="5"/>
        <v>16.293716949750003</v>
      </c>
      <c r="X65" s="59">
        <f t="shared" si="6"/>
        <v>97.762301698500025</v>
      </c>
      <c r="Y65" s="21">
        <v>0</v>
      </c>
      <c r="Z65" s="48">
        <f t="shared" si="7"/>
        <v>97.762301698500025</v>
      </c>
      <c r="AB65" s="22" t="str">
        <f>VLOOKUP(C65,DSC_Master!$C$1:$K$200,9,0)</f>
        <v>ANJU DEVI</v>
      </c>
      <c r="AC65" s="22" t="str">
        <f>VLOOKUP(C65,DSC_Master!$C$1:$J$201,8,0)</f>
        <v>50100615862671</v>
      </c>
      <c r="AD65" s="22" t="str">
        <f>VLOOKUP(C65,DSC_Master!$C$1:$J$201,7,0)</f>
        <v>HDFC0002625</v>
      </c>
      <c r="AE65" s="159"/>
      <c r="AF65" s="3">
        <v>6517.55</v>
      </c>
      <c r="AG65" s="5">
        <f t="shared" si="8"/>
        <v>-6.3220099998943624E-2</v>
      </c>
    </row>
    <row r="66" spans="1:33" x14ac:dyDescent="0.25">
      <c r="A66" s="8">
        <v>1062</v>
      </c>
      <c r="B66" s="38" t="s">
        <v>320</v>
      </c>
      <c r="C66" s="9">
        <v>10620115</v>
      </c>
      <c r="D66" s="8">
        <f>VLOOKUP(C66,DSC_Master!$C$1:D161,2,0)</f>
        <v>20115</v>
      </c>
      <c r="E66" s="10" t="str">
        <f>VLOOKUP(C66,DSC_Master!$C$1:$K$200,4,0)</f>
        <v>BADAKI KULHARIA DSK</v>
      </c>
      <c r="F66" s="11" t="s">
        <v>304</v>
      </c>
      <c r="G66" s="11" t="s">
        <v>400</v>
      </c>
      <c r="H66" s="24">
        <v>654</v>
      </c>
      <c r="I66" s="24">
        <v>25078.751958100002</v>
      </c>
      <c r="J66" s="14">
        <f t="shared" si="0"/>
        <v>25078.751958100002</v>
      </c>
      <c r="K66" s="13"/>
      <c r="L66" s="13"/>
      <c r="M66" s="13">
        <v>0</v>
      </c>
      <c r="N66" s="13"/>
      <c r="O66" s="13">
        <f t="shared" si="1"/>
        <v>25078.751958100002</v>
      </c>
      <c r="P66" s="13">
        <f t="shared" si="2"/>
        <v>0</v>
      </c>
      <c r="Q66" s="15">
        <f t="shared" si="3"/>
        <v>25078.751958100002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Payment_05-11 Jun.xlsx</v>
      </c>
      <c r="U66" s="19"/>
      <c r="V66" s="36">
        <f t="shared" si="4"/>
        <v>438.87815926675006</v>
      </c>
      <c r="W66" s="20">
        <f t="shared" si="5"/>
        <v>62.696879895250007</v>
      </c>
      <c r="X66" s="59">
        <f t="shared" si="6"/>
        <v>376.18127937150007</v>
      </c>
      <c r="Y66" s="21">
        <v>0</v>
      </c>
      <c r="Z66" s="48">
        <f t="shared" si="7"/>
        <v>376.18127937150007</v>
      </c>
      <c r="AB66" s="22" t="str">
        <f>VLOOKUP(C66,DSC_Master!$C$1:$K$200,9,0)</f>
        <v>AJAY KUMAR SINGH</v>
      </c>
      <c r="AC66" s="22" t="str">
        <f>VLOOKUP(C66,DSC_Master!$C$1:$J$201,8,0)</f>
        <v>41684045867</v>
      </c>
      <c r="AD66" s="22" t="str">
        <f>VLOOKUP(C66,DSC_Master!$C$1:$J$201,7,0)</f>
        <v>SBIN0017163</v>
      </c>
      <c r="AE66" s="159"/>
      <c r="AF66" s="3">
        <v>25081.81</v>
      </c>
      <c r="AG66" s="5">
        <f t="shared" si="8"/>
        <v>-3.0580418999998074</v>
      </c>
    </row>
    <row r="67" spans="1:33" x14ac:dyDescent="0.25">
      <c r="A67" s="8">
        <v>1062</v>
      </c>
      <c r="B67" s="38" t="s">
        <v>320</v>
      </c>
      <c r="C67" s="9">
        <v>10620119</v>
      </c>
      <c r="D67" s="8">
        <f>VLOOKUP(C67,DSC_Master!$C$1:D162,2,0)</f>
        <v>20119</v>
      </c>
      <c r="E67" s="10" t="str">
        <f>VLOOKUP(C67,DSC_Master!$C$1:$K$200,4,0)</f>
        <v>KURRA NEW DSK</v>
      </c>
      <c r="F67" s="11" t="s">
        <v>304</v>
      </c>
      <c r="G67" s="11" t="s">
        <v>400</v>
      </c>
      <c r="H67" s="24">
        <v>4670</v>
      </c>
      <c r="I67" s="24">
        <v>197410.47922500002</v>
      </c>
      <c r="J67" s="14">
        <f t="shared" si="0"/>
        <v>197410.47922500002</v>
      </c>
      <c r="K67" s="13"/>
      <c r="L67" s="13"/>
      <c r="M67" s="13">
        <v>0</v>
      </c>
      <c r="N67" s="13"/>
      <c r="O67" s="13">
        <f t="shared" si="1"/>
        <v>197410.47922500002</v>
      </c>
      <c r="P67" s="13">
        <f t="shared" si="2"/>
        <v>0</v>
      </c>
      <c r="Q67" s="15">
        <f t="shared" si="3"/>
        <v>197410.47922500002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Payment_05-11 Jun.xlsx</v>
      </c>
      <c r="U67" s="19"/>
      <c r="V67" s="36">
        <f t="shared" si="4"/>
        <v>3454.6833864375008</v>
      </c>
      <c r="W67" s="20">
        <f t="shared" si="5"/>
        <v>493.52619806250004</v>
      </c>
      <c r="X67" s="59">
        <f t="shared" si="6"/>
        <v>2961.1571883750007</v>
      </c>
      <c r="Y67" s="21">
        <v>0</v>
      </c>
      <c r="Z67" s="48">
        <f t="shared" si="7"/>
        <v>2961.1571883750007</v>
      </c>
      <c r="AB67" s="22" t="str">
        <f>VLOOKUP(C67,DSC_Master!$C$1:$K$200,9,0)</f>
        <v>DIVYANSHI DAIRY MILK</v>
      </c>
      <c r="AC67" s="22" t="str">
        <f>VLOOKUP(C67,DSC_Master!$C$1:$J$201,8,0)</f>
        <v>8136244333</v>
      </c>
      <c r="AD67" s="22" t="str">
        <f>VLOOKUP(C67,DSC_Master!$C$1:$J$201,7,0)</f>
        <v>IDIB000M430</v>
      </c>
      <c r="AE67" s="159"/>
      <c r="AF67" s="3">
        <v>197125.5</v>
      </c>
      <c r="AG67" s="5">
        <f t="shared" si="8"/>
        <v>284.97922500001732</v>
      </c>
    </row>
    <row r="68" spans="1:33" x14ac:dyDescent="0.25">
      <c r="A68" s="8">
        <v>1062</v>
      </c>
      <c r="B68" s="38" t="s">
        <v>320</v>
      </c>
      <c r="C68" s="9">
        <v>10620120</v>
      </c>
      <c r="D68" s="8">
        <f>VLOOKUP(C68,DSC_Master!$C$1:D163,2,0)</f>
        <v>20120</v>
      </c>
      <c r="E68" s="10" t="str">
        <f>VLOOKUP(C68,DSC_Master!$C$1:$K$200,4,0)</f>
        <v>TIYARA DSK</v>
      </c>
      <c r="F68" s="11" t="s">
        <v>304</v>
      </c>
      <c r="G68" s="11" t="s">
        <v>400</v>
      </c>
      <c r="H68" s="24">
        <v>180</v>
      </c>
      <c r="I68" s="24">
        <v>8982.1025637000002</v>
      </c>
      <c r="J68" s="14">
        <f t="shared" ref="J68" si="18">I68</f>
        <v>8982.1025637000002</v>
      </c>
      <c r="K68" s="13"/>
      <c r="L68" s="13"/>
      <c r="M68" s="13">
        <v>0</v>
      </c>
      <c r="N68" s="13"/>
      <c r="O68" s="13">
        <f t="shared" ref="O68" si="19">J68-SUM(K68:N68)</f>
        <v>8982.1025637000002</v>
      </c>
      <c r="P68" s="13">
        <f t="shared" ref="P68" si="20">IF(R68="Yes",O68,0)</f>
        <v>0</v>
      </c>
      <c r="Q68" s="15">
        <f t="shared" ref="Q68" si="21">O68-P68</f>
        <v>8982.1025637000002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Payment_05-11 Jun.xlsx</v>
      </c>
      <c r="U68" s="19"/>
      <c r="V68" s="36">
        <f t="shared" ref="V68" si="22">I68*1.75%</f>
        <v>157.18679486475003</v>
      </c>
      <c r="W68" s="20">
        <f t="shared" ref="W68" si="23">I68*0.25%</f>
        <v>22.455256409250001</v>
      </c>
      <c r="X68" s="59">
        <f t="shared" ref="X68" si="24">V68-W68</f>
        <v>134.73153845550002</v>
      </c>
      <c r="Y68" s="21">
        <v>0</v>
      </c>
      <c r="Z68" s="48">
        <f t="shared" ref="Z68" si="25">X68-Y68</f>
        <v>134.73153845550002</v>
      </c>
      <c r="AB68" s="22" t="str">
        <f>VLOOKUP(C68,DSC_Master!$C$1:$K$200,9,0)</f>
        <v>NIRMAL SINGH</v>
      </c>
      <c r="AC68" s="22" t="str">
        <f>VLOOKUP(C68,DSC_Master!$C$1:$J$201,8,0)</f>
        <v>2784000100110417</v>
      </c>
      <c r="AD68" s="22" t="str">
        <f>VLOOKUP(C68,DSC_Master!$C$1:$J$201,7,0)</f>
        <v>PUNB0278400</v>
      </c>
      <c r="AE68" s="159"/>
      <c r="AF68" s="3">
        <v>8989.0400000000009</v>
      </c>
      <c r="AG68" s="5">
        <f t="shared" ref="AG68" si="26">Q68-AF68</f>
        <v>-6.9374363000006269</v>
      </c>
    </row>
    <row r="69" spans="1:33" x14ac:dyDescent="0.25">
      <c r="A69" s="8">
        <v>1062</v>
      </c>
      <c r="B69" s="38" t="s">
        <v>320</v>
      </c>
      <c r="C69" s="9">
        <v>10620121</v>
      </c>
      <c r="D69" s="8">
        <f>VLOOKUP(C69,DSC_Master!$C$1:D164,2,0)</f>
        <v>20121</v>
      </c>
      <c r="E69" s="10" t="str">
        <f>VLOOKUP(C69,DSC_Master!$C$1:$K$200,4,0)</f>
        <v>DUMDUMA DSK</v>
      </c>
      <c r="F69" s="11" t="s">
        <v>304</v>
      </c>
      <c r="G69" s="11" t="s">
        <v>400</v>
      </c>
      <c r="H69" s="24">
        <v>1098</v>
      </c>
      <c r="I69" s="24">
        <v>44870.473382099997</v>
      </c>
      <c r="J69" s="14">
        <f t="shared" ref="J69" si="27">I69</f>
        <v>44870.473382099997</v>
      </c>
      <c r="K69" s="13"/>
      <c r="L69" s="13"/>
      <c r="M69" s="13">
        <v>0</v>
      </c>
      <c r="N69" s="13"/>
      <c r="O69" s="13">
        <f t="shared" ref="O69" si="28">J69-SUM(K69:N69)</f>
        <v>44870.473382099997</v>
      </c>
      <c r="P69" s="13">
        <f t="shared" ref="P69" si="29">IF(R69="Yes",O69,0)</f>
        <v>0</v>
      </c>
      <c r="Q69" s="15">
        <f t="shared" ref="Q69" si="30">O69-P69</f>
        <v>44870.473382099997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Payment_05-11 Jun.xlsx</v>
      </c>
      <c r="U69" s="19"/>
      <c r="V69" s="36">
        <f t="shared" ref="V69" si="31">I69*1.75%</f>
        <v>785.23328418674998</v>
      </c>
      <c r="W69" s="20">
        <f t="shared" ref="W69" si="32">I69*0.25%</f>
        <v>112.17618345525</v>
      </c>
      <c r="X69" s="59">
        <f t="shared" ref="X69" si="33">V69-W69</f>
        <v>673.05710073149999</v>
      </c>
      <c r="Y69" s="21">
        <v>0</v>
      </c>
      <c r="Z69" s="48">
        <f t="shared" ref="Z69" si="34">X69-Y69</f>
        <v>673.05710073149999</v>
      </c>
      <c r="AB69" s="22" t="str">
        <f>VLOOKUP(C69,DSC_Master!$C$1:$K$200,9,0)</f>
        <v>CHANDRA MANI RAI</v>
      </c>
      <c r="AC69" s="22" t="str">
        <f>VLOOKUP(C69,DSC_Master!$C$1:$J$201,8,0)</f>
        <v>625310110008012</v>
      </c>
      <c r="AD69" s="22" t="str">
        <f>VLOOKUP(C69,DSC_Master!$C$1:$J$201,7,0)</f>
        <v>BKID0006253</v>
      </c>
      <c r="AE69" s="159"/>
      <c r="AF69" s="3">
        <v>44871.96</v>
      </c>
      <c r="AG69" s="5">
        <f t="shared" ref="AG69" si="35">Q69-AF69</f>
        <v>-1.4866179000018747</v>
      </c>
    </row>
    <row r="70" spans="1:33" x14ac:dyDescent="0.25">
      <c r="A70" s="8">
        <v>1062</v>
      </c>
      <c r="B70" s="38" t="s">
        <v>320</v>
      </c>
      <c r="C70" s="9">
        <v>10620122</v>
      </c>
      <c r="D70" s="8">
        <f>VLOOKUP(C70,DSC_Master!$C$1:D163,2,0)</f>
        <v>20122</v>
      </c>
      <c r="E70" s="10" t="str">
        <f>VLOOKUP(C70,DSC_Master!$C$1:$K$200,4,0)</f>
        <v xml:space="preserve"> NOUAN DSK</v>
      </c>
      <c r="F70" s="11" t="s">
        <v>304</v>
      </c>
      <c r="G70" s="11" t="s">
        <v>400</v>
      </c>
      <c r="H70" s="24">
        <v>105</v>
      </c>
      <c r="I70" s="24">
        <v>3648.8667600000008</v>
      </c>
      <c r="J70" s="14">
        <f t="shared" si="0"/>
        <v>3648.8667600000008</v>
      </c>
      <c r="K70" s="13"/>
      <c r="L70" s="13"/>
      <c r="M70" s="13">
        <v>0</v>
      </c>
      <c r="N70" s="13"/>
      <c r="O70" s="13">
        <f t="shared" si="1"/>
        <v>3648.8667600000008</v>
      </c>
      <c r="P70" s="13">
        <f t="shared" si="2"/>
        <v>0</v>
      </c>
      <c r="Q70" s="15">
        <f t="shared" si="3"/>
        <v>3648.8667600000008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Payment_05-11 Jun.xlsx</v>
      </c>
      <c r="U70" s="19"/>
      <c r="V70" s="36">
        <f t="shared" si="4"/>
        <v>63.855168300000017</v>
      </c>
      <c r="W70" s="20">
        <f t="shared" si="5"/>
        <v>9.1221669000000016</v>
      </c>
      <c r="X70" s="59">
        <f t="shared" si="6"/>
        <v>54.733001400000013</v>
      </c>
      <c r="Y70" s="21">
        <v>0</v>
      </c>
      <c r="Z70" s="48">
        <f t="shared" si="7"/>
        <v>54.733001400000013</v>
      </c>
      <c r="AB70" s="22" t="str">
        <f>VLOOKUP(C70,DSC_Master!$C$1:$K$200,9,0)</f>
        <v xml:space="preserve">JAISHANKAR JAISWAL </v>
      </c>
      <c r="AC70" s="22" t="str">
        <f>VLOOKUP(C70,DSC_Master!$C$1:$J$201,8,0)</f>
        <v>461110110007555</v>
      </c>
      <c r="AD70" s="22" t="str">
        <f>VLOOKUP(C70,DSC_Master!$C$1:$J$201,7,0)</f>
        <v>BKID0004611</v>
      </c>
      <c r="AE70" s="159"/>
      <c r="AF70" s="3">
        <v>3648.75</v>
      </c>
      <c r="AG70" s="5">
        <f t="shared" si="8"/>
        <v>0.11676000000079512</v>
      </c>
    </row>
    <row r="71" spans="1:33" x14ac:dyDescent="0.25">
      <c r="A71" s="8">
        <v>1062</v>
      </c>
      <c r="B71" s="38" t="s">
        <v>320</v>
      </c>
      <c r="C71" s="9">
        <v>10620123</v>
      </c>
      <c r="D71" s="8">
        <f>VLOOKUP(C71,DSC_Master!$C$1:D164,2,0)</f>
        <v>20123</v>
      </c>
      <c r="E71" s="10" t="str">
        <f>VLOOKUP(C71,DSC_Master!$C$1:$K$200,4,0)</f>
        <v>SAKRAULI DSK</v>
      </c>
      <c r="F71" s="11" t="s">
        <v>304</v>
      </c>
      <c r="G71" s="11" t="s">
        <v>400</v>
      </c>
      <c r="H71" s="24">
        <v>247</v>
      </c>
      <c r="I71" s="24">
        <v>9404.4602625000025</v>
      </c>
      <c r="J71" s="14">
        <f t="shared" si="0"/>
        <v>9404.4602625000025</v>
      </c>
      <c r="K71" s="13"/>
      <c r="L71" s="13"/>
      <c r="M71" s="13">
        <v>0</v>
      </c>
      <c r="N71" s="13"/>
      <c r="O71" s="13">
        <f t="shared" si="1"/>
        <v>9404.4602625000025</v>
      </c>
      <c r="P71" s="13">
        <f t="shared" si="2"/>
        <v>0</v>
      </c>
      <c r="Q71" s="15">
        <f t="shared" si="3"/>
        <v>9404.4602625000025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Payment_05-11 Jun.xlsx</v>
      </c>
      <c r="U71" s="19"/>
      <c r="V71" s="36">
        <f t="shared" si="4"/>
        <v>164.57805459375007</v>
      </c>
      <c r="W71" s="20">
        <f t="shared" si="5"/>
        <v>23.511150656250006</v>
      </c>
      <c r="X71" s="59">
        <f t="shared" si="6"/>
        <v>141.06690393750006</v>
      </c>
      <c r="Y71" s="21">
        <v>0</v>
      </c>
      <c r="Z71" s="48">
        <f t="shared" si="7"/>
        <v>141.06690393750006</v>
      </c>
      <c r="AB71" s="22" t="str">
        <f>VLOOKUP(C71,DSC_Master!$C$1:$K$200,9,0)</f>
        <v>BECHU PASSI</v>
      </c>
      <c r="AC71" s="22" t="str">
        <f>VLOOKUP(C71,DSC_Master!$C$1:$J$201,8,0)</f>
        <v>2696000100200761</v>
      </c>
      <c r="AD71" s="22" t="str">
        <f>VLOOKUP(C71,DSC_Master!$C$1:$J$201,7,0)</f>
        <v>PUNB0269600</v>
      </c>
      <c r="AE71" s="159"/>
      <c r="AF71" s="3">
        <v>9404.49</v>
      </c>
      <c r="AG71" s="5">
        <f t="shared" si="8"/>
        <v>-2.9737499997281702E-2</v>
      </c>
    </row>
    <row r="72" spans="1:33" x14ac:dyDescent="0.25">
      <c r="A72" s="25"/>
      <c r="B72" s="26"/>
      <c r="C72" s="25"/>
      <c r="D72" s="25"/>
      <c r="E72" s="25"/>
      <c r="F72" s="25" t="s">
        <v>305</v>
      </c>
      <c r="G72" s="25">
        <f>COUNTA(G3:G71)</f>
        <v>69</v>
      </c>
      <c r="H72" s="27">
        <f t="shared" ref="H72:Q72" si="36">SUBTOTAL(109,H3:H71)</f>
        <v>55078</v>
      </c>
      <c r="I72" s="27">
        <f t="shared" si="36"/>
        <v>2438728.6635561008</v>
      </c>
      <c r="J72" s="28">
        <f t="shared" si="36"/>
        <v>2438728.6635561008</v>
      </c>
      <c r="K72" s="28">
        <f t="shared" si="36"/>
        <v>0</v>
      </c>
      <c r="L72" s="28">
        <f t="shared" si="36"/>
        <v>0</v>
      </c>
      <c r="M72" s="28">
        <f t="shared" si="36"/>
        <v>0</v>
      </c>
      <c r="N72" s="28">
        <f t="shared" si="36"/>
        <v>0</v>
      </c>
      <c r="O72" s="28">
        <f t="shared" si="36"/>
        <v>2438728.6635561008</v>
      </c>
      <c r="P72" s="28">
        <f t="shared" si="36"/>
        <v>0</v>
      </c>
      <c r="Q72" s="28">
        <f t="shared" si="36"/>
        <v>2438728.6635561008</v>
      </c>
      <c r="R72" s="29">
        <f>COUNTIF(R2:R71,"Yes")</f>
        <v>0</v>
      </c>
      <c r="S72" s="9"/>
      <c r="T72" s="22"/>
      <c r="U72" s="6"/>
      <c r="V72" s="48">
        <f>SUM(V3:V71)</f>
        <v>42677.751612231747</v>
      </c>
      <c r="W72" s="48">
        <f>SUM(W3:W71)</f>
        <v>6096.8216588902487</v>
      </c>
      <c r="X72" s="48">
        <f>SUM(X3:X71)</f>
        <v>36580.929953341511</v>
      </c>
      <c r="Y72" s="48">
        <f>SUM(Y3:Y71)</f>
        <v>0</v>
      </c>
      <c r="Z72" s="48">
        <f>SUM(Z3:Z71)</f>
        <v>36580.929953341511</v>
      </c>
      <c r="AB72" s="22"/>
      <c r="AC72" s="22"/>
      <c r="AD72" s="22"/>
      <c r="AF72" s="3">
        <f>SUM(AF3:AF71)</f>
        <v>2438539.3500000006</v>
      </c>
      <c r="AG72" s="5">
        <f>SUM(AG3:AG71)</f>
        <v>189.31355610013134</v>
      </c>
    </row>
    <row r="73" spans="1:33" x14ac:dyDescent="0.25">
      <c r="K73" s="5"/>
      <c r="O73" s="5"/>
      <c r="P73" s="5"/>
      <c r="Q73" s="5"/>
      <c r="R73" s="5"/>
      <c r="AF73" s="5"/>
    </row>
    <row r="74" spans="1:33" x14ac:dyDescent="0.25">
      <c r="E74" s="137" t="s">
        <v>310</v>
      </c>
      <c r="F74" s="138" t="s">
        <v>429</v>
      </c>
      <c r="G74"/>
      <c r="H74"/>
      <c r="J74" s="30"/>
      <c r="K74" s="30"/>
      <c r="L74" s="30"/>
      <c r="M74" s="30"/>
      <c r="N74" s="30"/>
      <c r="O74" s="30"/>
      <c r="P74" s="30"/>
      <c r="Q74" s="30"/>
    </row>
    <row r="75" spans="1:33" x14ac:dyDescent="0.25">
      <c r="E75" s="135" t="s">
        <v>306</v>
      </c>
      <c r="F75" s="139">
        <f>G72</f>
        <v>69</v>
      </c>
      <c r="G75"/>
      <c r="H75"/>
      <c r="K75" s="30"/>
      <c r="O75" s="23"/>
      <c r="P75" s="23"/>
      <c r="R75" s="5"/>
      <c r="X75" s="31"/>
    </row>
    <row r="76" spans="1:33" x14ac:dyDescent="0.25">
      <c r="E76" s="135" t="s">
        <v>307</v>
      </c>
      <c r="F76" s="139">
        <f>H72</f>
        <v>55078</v>
      </c>
      <c r="G76"/>
      <c r="H76"/>
      <c r="K76" s="5"/>
      <c r="L76" s="30"/>
      <c r="O76" s="23"/>
      <c r="P76" s="23"/>
      <c r="W76" s="5"/>
      <c r="X76" s="31"/>
    </row>
    <row r="77" spans="1:33" x14ac:dyDescent="0.25">
      <c r="E77" s="135" t="s">
        <v>308</v>
      </c>
      <c r="F77" s="139">
        <f>I72</f>
        <v>2438728.6635561008</v>
      </c>
      <c r="G77"/>
      <c r="H77"/>
      <c r="O77" s="5"/>
      <c r="P77" s="5"/>
      <c r="Q77" s="30"/>
      <c r="R77" s="5"/>
      <c r="X77" s="23"/>
    </row>
    <row r="78" spans="1:33" x14ac:dyDescent="0.25">
      <c r="E78" s="135" t="s">
        <v>309</v>
      </c>
      <c r="F78" s="139">
        <f>J72</f>
        <v>2438728.6635561008</v>
      </c>
      <c r="G78"/>
      <c r="H78"/>
      <c r="O78" s="5"/>
      <c r="P78" s="5"/>
      <c r="R78" s="6"/>
      <c r="W78" s="5"/>
    </row>
    <row r="79" spans="1:33" x14ac:dyDescent="0.25">
      <c r="E79" s="135" t="s">
        <v>298</v>
      </c>
      <c r="F79" s="139">
        <f>-K72</f>
        <v>0</v>
      </c>
      <c r="G79"/>
      <c r="H79"/>
      <c r="R79" s="5"/>
    </row>
    <row r="80" spans="1:33" x14ac:dyDescent="0.25">
      <c r="E80" s="135" t="s">
        <v>299</v>
      </c>
      <c r="F80" s="139">
        <f>-L72</f>
        <v>0</v>
      </c>
      <c r="G80"/>
      <c r="H80"/>
      <c r="O80" s="32"/>
      <c r="P80" s="32"/>
      <c r="Q80" s="33"/>
    </row>
    <row r="81" spans="5:22" x14ac:dyDescent="0.25">
      <c r="E81" s="135" t="s">
        <v>300</v>
      </c>
      <c r="F81" s="139">
        <f>-M72</f>
        <v>0</v>
      </c>
      <c r="G81"/>
      <c r="H81"/>
      <c r="O81" s="32"/>
      <c r="P81" s="32"/>
      <c r="Q81" s="33"/>
    </row>
    <row r="82" spans="5:22" x14ac:dyDescent="0.25">
      <c r="E82" s="135" t="s">
        <v>301</v>
      </c>
      <c r="F82" s="139">
        <f>-N72</f>
        <v>0</v>
      </c>
      <c r="G82"/>
      <c r="H82"/>
      <c r="Q82" s="33"/>
    </row>
    <row r="83" spans="5:22" x14ac:dyDescent="0.25">
      <c r="E83" s="135" t="s">
        <v>313</v>
      </c>
      <c r="F83" s="139">
        <f>SUM(F78:F82)</f>
        <v>2438728.6635561008</v>
      </c>
      <c r="G83"/>
      <c r="H83"/>
      <c r="L83" s="5"/>
    </row>
    <row r="84" spans="5:22" x14ac:dyDescent="0.25">
      <c r="E84" s="135" t="s">
        <v>318</v>
      </c>
      <c r="F84" s="139">
        <f>P72</f>
        <v>0</v>
      </c>
      <c r="G84"/>
      <c r="H84"/>
      <c r="Q84" s="30"/>
    </row>
    <row r="85" spans="5:22" x14ac:dyDescent="0.25">
      <c r="E85" s="136" t="s">
        <v>319</v>
      </c>
      <c r="F85" s="141">
        <f>F83-F84</f>
        <v>2438728.6635561008</v>
      </c>
      <c r="G85" s="142">
        <f>F85-Q72</f>
        <v>0</v>
      </c>
      <c r="H85"/>
    </row>
    <row r="86" spans="5:22" x14ac:dyDescent="0.25">
      <c r="F86"/>
      <c r="G86"/>
      <c r="H86"/>
      <c r="J86" s="34"/>
      <c r="O86" s="32"/>
      <c r="P86" s="32"/>
    </row>
    <row r="87" spans="5:22" x14ac:dyDescent="0.25">
      <c r="E87" s="140" t="s">
        <v>482</v>
      </c>
      <c r="F87" s="144">
        <f>Data!R2</f>
        <v>42677.751612231703</v>
      </c>
      <c r="G87"/>
      <c r="H87"/>
    </row>
    <row r="88" spans="5:22" x14ac:dyDescent="0.25">
      <c r="E88" s="140" t="s">
        <v>426</v>
      </c>
      <c r="F88" s="144">
        <f>F77*0.25%</f>
        <v>6096.8216588902524</v>
      </c>
      <c r="G88"/>
      <c r="H88"/>
      <c r="Q88" s="30"/>
    </row>
    <row r="89" spans="5:22" x14ac:dyDescent="0.25">
      <c r="E89" s="143" t="s">
        <v>483</v>
      </c>
      <c r="F89" s="145">
        <f>F87-F88</f>
        <v>36580.929953341452</v>
      </c>
      <c r="R89" s="6"/>
    </row>
    <row r="90" spans="5:22" x14ac:dyDescent="0.25">
      <c r="E90" s="3"/>
      <c r="F90" s="2"/>
      <c r="S90" s="35"/>
      <c r="V90" s="35"/>
    </row>
    <row r="91" spans="5:22" x14ac:dyDescent="0.25">
      <c r="E91" s="140" t="s">
        <v>425</v>
      </c>
      <c r="F91" s="144">
        <f>F76*3.75</f>
        <v>206542.5</v>
      </c>
    </row>
    <row r="92" spans="5:22" x14ac:dyDescent="0.25">
      <c r="E92" s="140" t="s">
        <v>427</v>
      </c>
      <c r="F92" s="144">
        <f>'TS Loss Gain'!AS27</f>
        <v>55366.886988001716</v>
      </c>
    </row>
    <row r="93" spans="5:22" x14ac:dyDescent="0.25">
      <c r="E93" s="143" t="s">
        <v>428</v>
      </c>
      <c r="F93" s="145">
        <f>F91-F92</f>
        <v>151175.6130119983</v>
      </c>
      <c r="G93" s="146"/>
    </row>
  </sheetData>
  <autoFilter ref="A2:AG71" xr:uid="{B867D296-FF59-4858-B862-B99F6D136FBB}"/>
  <conditionalFormatting sqref="C4">
    <cfRule type="duplicateValues" dxfId="19" priority="6"/>
  </conditionalFormatting>
  <conditionalFormatting sqref="C5:C71">
    <cfRule type="duplicateValues" dxfId="18" priority="44"/>
    <cfRule type="duplicateValues" dxfId="17" priority="45"/>
  </conditionalFormatting>
  <conditionalFormatting sqref="C72:D87 C2:D2">
    <cfRule type="duplicateValues" dxfId="16" priority="27" stopIfTrue="1"/>
  </conditionalFormatting>
  <conditionalFormatting sqref="E72">
    <cfRule type="duplicateValues" dxfId="15" priority="11" stopIfTrue="1"/>
  </conditionalFormatting>
  <conditionalFormatting sqref="F72">
    <cfRule type="duplicateValues" dxfId="14" priority="10" stopIfTrue="1"/>
  </conditionalFormatting>
  <conditionalFormatting sqref="G3:G71">
    <cfRule type="containsText" dxfId="13" priority="5" operator="containsText" text="Indirect">
      <formula>NOT(ISERROR(SEARCH("Indirect",G3)))</formula>
    </cfRule>
  </conditionalFormatting>
  <conditionalFormatting sqref="G72">
    <cfRule type="duplicateValues" dxfId="12" priority="9" stopIfTrue="1"/>
  </conditionalFormatting>
  <conditionalFormatting sqref="H72">
    <cfRule type="duplicateValues" dxfId="11" priority="8" stopIfTrue="1"/>
  </conditionalFormatting>
  <conditionalFormatting sqref="I72">
    <cfRule type="duplicateValues" dxfId="10" priority="7" stopIfTrue="1"/>
  </conditionalFormatting>
  <conditionalFormatting sqref="O3:P71">
    <cfRule type="cellIs" dxfId="9" priority="4" operator="lessThan">
      <formula>-1</formula>
    </cfRule>
  </conditionalFormatting>
  <conditionalFormatting sqref="Q3:Q71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topLeftCell="A2" workbookViewId="0">
      <selection activeCell="J18" sqref="J18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582</v>
      </c>
      <c r="G1" s="151" t="s">
        <v>7</v>
      </c>
      <c r="H1" s="151" t="s">
        <v>8</v>
      </c>
      <c r="I1" s="151" t="s">
        <v>9</v>
      </c>
      <c r="J1" s="151" t="s">
        <v>697</v>
      </c>
      <c r="K1" s="151" t="s">
        <v>698</v>
      </c>
      <c r="L1" s="170" t="s">
        <v>756</v>
      </c>
      <c r="M1" s="170" t="s">
        <v>757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486</v>
      </c>
      <c r="F2" s="148" t="s">
        <v>599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700</v>
      </c>
      <c r="L2" s="171" t="e">
        <f>VLOOKUP(C2,'MPG Payment'!$C$3:$N$71,12,0)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497</v>
      </c>
      <c r="F3" s="148" t="s">
        <v>610</v>
      </c>
      <c r="G3" s="148" t="s">
        <v>52</v>
      </c>
      <c r="H3" s="149" t="s">
        <v>53</v>
      </c>
      <c r="I3" s="1" t="s">
        <v>468</v>
      </c>
      <c r="J3" s="160">
        <v>354.68345740000586</v>
      </c>
      <c r="K3" s="160" t="s">
        <v>700</v>
      </c>
      <c r="L3" s="171">
        <f>VLOOKUP(C3,'MPG Payment'!$C$3:$N$71,12,0)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500</v>
      </c>
      <c r="F4" s="148" t="s">
        <v>613</v>
      </c>
      <c r="G4" s="148" t="s">
        <v>25</v>
      </c>
      <c r="H4" s="149" t="s">
        <v>435</v>
      </c>
      <c r="I4" s="1" t="s">
        <v>59</v>
      </c>
      <c r="J4" s="160">
        <v>13702.65996579999</v>
      </c>
      <c r="K4" s="160" t="s">
        <v>700</v>
      </c>
      <c r="L4" s="171">
        <f>VLOOKUP(C4,'MPG Payment'!$C$3:$N$71,12,0)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503</v>
      </c>
      <c r="F5" s="148" t="s">
        <v>616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700</v>
      </c>
      <c r="L5" s="171" t="e">
        <f>VLOOKUP(C5,'MPG Payment'!$C$3:$N$71,12,0)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505</v>
      </c>
      <c r="F6" s="148" t="s">
        <v>617</v>
      </c>
      <c r="G6" s="148" t="s">
        <v>25</v>
      </c>
      <c r="H6" s="149" t="s">
        <v>437</v>
      </c>
      <c r="I6" s="1" t="s">
        <v>73</v>
      </c>
      <c r="J6" s="160">
        <v>27305.976272200005</v>
      </c>
      <c r="K6" s="160" t="s">
        <v>700</v>
      </c>
      <c r="L6" s="171">
        <f>VLOOKUP(C6,'MPG Payment'!$C$3:$N$71,12,0)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507</v>
      </c>
      <c r="F7" s="148" t="s">
        <v>619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700</v>
      </c>
      <c r="L7" s="171" t="e">
        <f>VLOOKUP(C7,'MPG Payment'!$C$3:$N$71,12,0)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509</v>
      </c>
      <c r="F8" s="148" t="s">
        <v>621</v>
      </c>
      <c r="G8" s="148" t="s">
        <v>86</v>
      </c>
      <c r="H8" s="149" t="s">
        <v>439</v>
      </c>
      <c r="I8" s="1" t="s">
        <v>84</v>
      </c>
      <c r="J8" s="160">
        <v>3070.7935340000022</v>
      </c>
      <c r="K8" s="160" t="s">
        <v>700</v>
      </c>
      <c r="L8" s="171">
        <f>VLOOKUP(C8,'MPG Payment'!$C$3:$N$71,12,0)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511</v>
      </c>
      <c r="F9" s="148" t="s">
        <v>623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700</v>
      </c>
      <c r="L9" s="171">
        <f>VLOOKUP(C9,'MPG Payment'!$C$3:$N$71,12,0)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518</v>
      </c>
      <c r="F10" s="148" t="s">
        <v>631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700</v>
      </c>
      <c r="L10" s="171">
        <f>VLOOKUP(C10,'MPG Payment'!$C$3:$N$71,12,0)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545</v>
      </c>
      <c r="F11" s="148" t="s">
        <v>658</v>
      </c>
      <c r="G11" s="148" t="s">
        <v>187</v>
      </c>
      <c r="H11" s="149" t="s">
        <v>188</v>
      </c>
      <c r="I11" s="1" t="s">
        <v>474</v>
      </c>
      <c r="J11" s="160">
        <v>46684.153015599994</v>
      </c>
      <c r="K11" s="160" t="s">
        <v>700</v>
      </c>
      <c r="L11" s="171">
        <f>VLOOKUP(C11,'MPG Payment'!$C$3:$N$71,12,0)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546</v>
      </c>
      <c r="F12" s="148" t="s">
        <v>659</v>
      </c>
      <c r="G12" s="148" t="s">
        <v>191</v>
      </c>
      <c r="H12" s="149" t="s">
        <v>192</v>
      </c>
      <c r="I12" s="1" t="s">
        <v>475</v>
      </c>
      <c r="J12" s="160">
        <v>22196.224707600006</v>
      </c>
      <c r="K12" s="160" t="s">
        <v>700</v>
      </c>
      <c r="L12" s="171">
        <f>VLOOKUP(C12,'MPG Payment'!$C$3:$N$71,12,0)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549</v>
      </c>
      <c r="F13" s="148" t="s">
        <v>662</v>
      </c>
      <c r="G13" s="148" t="s">
        <v>25</v>
      </c>
      <c r="H13" s="149" t="s">
        <v>451</v>
      </c>
      <c r="I13" s="1" t="s">
        <v>198</v>
      </c>
      <c r="J13" s="160">
        <v>4097.9232154000001</v>
      </c>
      <c r="K13" s="160" t="s">
        <v>700</v>
      </c>
      <c r="L13" s="171" t="e">
        <f>VLOOKUP(C13,'MPG Payment'!$C$3:$N$71,12,0)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557</v>
      </c>
      <c r="F14" s="148" t="s">
        <v>670</v>
      </c>
      <c r="G14" s="148" t="s">
        <v>36</v>
      </c>
      <c r="H14" s="149" t="s">
        <v>455</v>
      </c>
      <c r="I14" s="1" t="s">
        <v>222</v>
      </c>
      <c r="J14" s="160">
        <v>8838.3466590000025</v>
      </c>
      <c r="K14" s="160" t="s">
        <v>700</v>
      </c>
      <c r="L14" s="171" t="e">
        <f>VLOOKUP(C14,'MPG Payment'!$C$3:$N$71,12,0)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571</v>
      </c>
      <c r="F15" s="148" t="s">
        <v>686</v>
      </c>
      <c r="G15" s="148" t="s">
        <v>262</v>
      </c>
      <c r="H15" s="149" t="s">
        <v>263</v>
      </c>
      <c r="I15" s="1" t="s">
        <v>477</v>
      </c>
      <c r="J15" s="160">
        <v>5833.7612509999999</v>
      </c>
      <c r="K15" s="160" t="s">
        <v>700</v>
      </c>
      <c r="L15" s="171" t="e">
        <f>VLOOKUP(C15,'MPG Payment'!$C$3:$N$71,12,0)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573</v>
      </c>
      <c r="F16" s="148" t="s">
        <v>688</v>
      </c>
      <c r="G16" s="148" t="s">
        <v>262</v>
      </c>
      <c r="H16" s="149" t="s">
        <v>269</v>
      </c>
      <c r="I16" s="1" t="s">
        <v>479</v>
      </c>
      <c r="J16" s="160">
        <v>251.31523399999969</v>
      </c>
      <c r="K16" s="160" t="s">
        <v>700</v>
      </c>
      <c r="L16" s="171" t="e">
        <f>VLOOKUP(C16,'MPG Payment'!$C$3:$N$71,12,0)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575</v>
      </c>
      <c r="F17" s="148" t="s">
        <v>690</v>
      </c>
      <c r="G17" s="148" t="s">
        <v>272</v>
      </c>
      <c r="H17" s="149" t="s">
        <v>464</v>
      </c>
      <c r="I17" s="1" t="s">
        <v>270</v>
      </c>
      <c r="J17" s="160">
        <v>9307.5261475999996</v>
      </c>
      <c r="K17" s="160" t="s">
        <v>700</v>
      </c>
      <c r="L17" s="171" t="e">
        <f>VLOOKUP(C17,'MPG Payment'!$C$3:$N$71,12,0)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401</v>
      </c>
      <c r="C1" s="77"/>
      <c r="AP1" s="79">
        <v>436.77</v>
      </c>
      <c r="AQ1" s="79">
        <v>291.18</v>
      </c>
    </row>
    <row r="2" spans="2:45" x14ac:dyDescent="0.25">
      <c r="B2" s="250" t="s">
        <v>394</v>
      </c>
      <c r="C2" s="252" t="s">
        <v>395</v>
      </c>
      <c r="D2" s="254" t="s">
        <v>402</v>
      </c>
      <c r="E2" s="254"/>
      <c r="F2" s="254"/>
      <c r="G2" s="254"/>
      <c r="H2" s="255"/>
      <c r="I2" s="256" t="s">
        <v>764</v>
      </c>
      <c r="J2" s="247"/>
      <c r="K2" s="247"/>
      <c r="L2" s="248"/>
      <c r="M2" s="246" t="s">
        <v>403</v>
      </c>
      <c r="N2" s="257"/>
      <c r="O2" s="247"/>
      <c r="P2" s="247"/>
      <c r="Q2" s="248"/>
      <c r="R2" s="257" t="s">
        <v>404</v>
      </c>
      <c r="S2" s="247"/>
      <c r="T2" s="248"/>
      <c r="U2" s="243" t="s">
        <v>405</v>
      </c>
      <c r="V2" s="244"/>
      <c r="W2" s="244"/>
      <c r="X2" s="244"/>
      <c r="Y2" s="244"/>
      <c r="Z2" s="244"/>
      <c r="AA2" s="244"/>
      <c r="AB2" s="245"/>
      <c r="AC2" s="246" t="s">
        <v>323</v>
      </c>
      <c r="AD2" s="247"/>
      <c r="AE2" s="247"/>
      <c r="AF2" s="247"/>
      <c r="AG2" s="248"/>
      <c r="AH2" s="246" t="s">
        <v>406</v>
      </c>
      <c r="AI2" s="247"/>
      <c r="AJ2" s="247"/>
      <c r="AK2" s="247"/>
      <c r="AL2" s="249"/>
      <c r="AM2" s="243" t="s">
        <v>407</v>
      </c>
      <c r="AN2" s="244"/>
      <c r="AO2" s="244"/>
      <c r="AP2" s="244"/>
      <c r="AQ2" s="245"/>
    </row>
    <row r="3" spans="2:45" x14ac:dyDescent="0.25">
      <c r="B3" s="251"/>
      <c r="C3" s="253"/>
      <c r="D3" s="80" t="s">
        <v>408</v>
      </c>
      <c r="E3" s="80" t="s">
        <v>409</v>
      </c>
      <c r="F3" s="80" t="s">
        <v>410</v>
      </c>
      <c r="G3" s="80" t="s">
        <v>321</v>
      </c>
      <c r="H3" s="81" t="s">
        <v>322</v>
      </c>
      <c r="I3" s="80" t="s">
        <v>411</v>
      </c>
      <c r="J3" s="80" t="s">
        <v>411</v>
      </c>
      <c r="K3" s="80" t="s">
        <v>409</v>
      </c>
      <c r="L3" s="81" t="s">
        <v>410</v>
      </c>
      <c r="M3" s="82" t="s">
        <v>412</v>
      </c>
      <c r="N3" s="83" t="s">
        <v>413</v>
      </c>
      <c r="O3" s="80" t="s">
        <v>411</v>
      </c>
      <c r="P3" s="80" t="s">
        <v>409</v>
      </c>
      <c r="Q3" s="81" t="s">
        <v>410</v>
      </c>
      <c r="R3" s="83" t="s">
        <v>411</v>
      </c>
      <c r="S3" s="80" t="s">
        <v>321</v>
      </c>
      <c r="T3" s="81" t="s">
        <v>322</v>
      </c>
      <c r="U3" s="82" t="s">
        <v>414</v>
      </c>
      <c r="V3" s="80" t="s">
        <v>415</v>
      </c>
      <c r="W3" s="80" t="s">
        <v>416</v>
      </c>
      <c r="X3" s="80" t="s">
        <v>417</v>
      </c>
      <c r="Y3" s="80" t="s">
        <v>409</v>
      </c>
      <c r="Z3" s="80" t="s">
        <v>410</v>
      </c>
      <c r="AA3" s="80" t="s">
        <v>321</v>
      </c>
      <c r="AB3" s="81" t="s">
        <v>322</v>
      </c>
      <c r="AC3" s="82" t="s">
        <v>417</v>
      </c>
      <c r="AD3" s="80" t="s">
        <v>409</v>
      </c>
      <c r="AE3" s="80" t="s">
        <v>410</v>
      </c>
      <c r="AF3" s="80" t="s">
        <v>321</v>
      </c>
      <c r="AG3" s="81" t="s">
        <v>322</v>
      </c>
      <c r="AH3" s="82" t="s">
        <v>417</v>
      </c>
      <c r="AI3" s="80" t="s">
        <v>409</v>
      </c>
      <c r="AJ3" s="80" t="s">
        <v>410</v>
      </c>
      <c r="AK3" s="80" t="s">
        <v>321</v>
      </c>
      <c r="AL3" s="84" t="s">
        <v>322</v>
      </c>
      <c r="AM3" s="82" t="s">
        <v>417</v>
      </c>
      <c r="AN3" s="80" t="s">
        <v>321</v>
      </c>
      <c r="AO3" s="80" t="s">
        <v>322</v>
      </c>
      <c r="AP3" s="80" t="s">
        <v>418</v>
      </c>
      <c r="AQ3" s="85" t="s">
        <v>311</v>
      </c>
    </row>
    <row r="4" spans="2:45" x14ac:dyDescent="0.25">
      <c r="B4" s="86">
        <v>46054</v>
      </c>
      <c r="C4" s="87" t="s">
        <v>396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419</v>
      </c>
      <c r="V4" s="185" t="s">
        <v>758</v>
      </c>
      <c r="W4" s="186" t="s">
        <v>421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397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396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419</v>
      </c>
      <c r="V6" s="185" t="s">
        <v>420</v>
      </c>
      <c r="W6" s="186" t="s">
        <v>421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397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396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422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397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419</v>
      </c>
      <c r="V9" s="185" t="s">
        <v>423</v>
      </c>
      <c r="W9" s="186" t="s">
        <v>421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396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397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396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419</v>
      </c>
      <c r="V12" s="185" t="s">
        <v>424</v>
      </c>
      <c r="W12" s="186" t="s">
        <v>421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397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396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397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396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397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422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396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419</v>
      </c>
      <c r="V18" s="185" t="s">
        <v>759</v>
      </c>
      <c r="W18" s="186" t="s">
        <v>421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397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396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419</v>
      </c>
      <c r="V20" s="185" t="s">
        <v>760</v>
      </c>
      <c r="W20" s="186" t="s">
        <v>421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397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396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419</v>
      </c>
      <c r="V22" s="185" t="s">
        <v>761</v>
      </c>
      <c r="W22" s="186" t="s">
        <v>421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397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396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397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419</v>
      </c>
      <c r="V25" s="184" t="s">
        <v>762</v>
      </c>
      <c r="W25" s="186" t="s">
        <v>421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396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397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419</v>
      </c>
      <c r="V27" s="185" t="s">
        <v>763</v>
      </c>
      <c r="W27" s="186" t="s">
        <v>421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396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397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396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397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396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397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396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397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396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397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396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397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396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397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396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397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396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397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396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397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396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397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396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397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396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397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396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397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396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397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396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397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396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397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396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397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396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397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opLeftCell="A83" zoomScale="80" zoomScaleNormal="80" workbookViewId="0">
      <selection activeCell="A119" sqref="A119:Q120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582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389</v>
      </c>
      <c r="T1" s="37" t="s">
        <v>703</v>
      </c>
      <c r="U1" s="37" t="s">
        <v>702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486</v>
      </c>
      <c r="G2" s="148" t="s">
        <v>14</v>
      </c>
      <c r="H2" s="148" t="s">
        <v>599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487</v>
      </c>
      <c r="G3" s="1" t="s">
        <v>20</v>
      </c>
      <c r="H3" s="148" t="s">
        <v>600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701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488</v>
      </c>
      <c r="G4" s="1" t="s">
        <v>24</v>
      </c>
      <c r="H4" s="148" t="s">
        <v>601</v>
      </c>
      <c r="I4" s="148" t="s">
        <v>25</v>
      </c>
      <c r="J4" s="149" t="s">
        <v>430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699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489</v>
      </c>
      <c r="G5" s="1" t="s">
        <v>27</v>
      </c>
      <c r="H5" s="148" t="s">
        <v>602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700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490</v>
      </c>
      <c r="G6" s="1" t="s">
        <v>31</v>
      </c>
      <c r="H6" s="148" t="s">
        <v>603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491</v>
      </c>
      <c r="G7" s="1" t="s">
        <v>35</v>
      </c>
      <c r="H7" s="148" t="s">
        <v>604</v>
      </c>
      <c r="I7" s="148" t="s">
        <v>36</v>
      </c>
      <c r="J7" s="149" t="s">
        <v>431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390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492</v>
      </c>
      <c r="G8" s="1" t="s">
        <v>38</v>
      </c>
      <c r="H8" s="148" t="s">
        <v>605</v>
      </c>
      <c r="I8" s="148" t="s">
        <v>39</v>
      </c>
      <c r="J8" s="149" t="s">
        <v>780</v>
      </c>
      <c r="K8" s="1" t="s">
        <v>480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493</v>
      </c>
      <c r="G9" s="1" t="s">
        <v>41</v>
      </c>
      <c r="H9" s="148" t="s">
        <v>606</v>
      </c>
      <c r="I9" s="148" t="s">
        <v>807</v>
      </c>
      <c r="J9" s="149" t="s">
        <v>806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494</v>
      </c>
      <c r="G10" s="1" t="s">
        <v>43</v>
      </c>
      <c r="H10" s="148" t="s">
        <v>607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495</v>
      </c>
      <c r="G11" s="1" t="s">
        <v>46</v>
      </c>
      <c r="H11" s="148" t="s">
        <v>608</v>
      </c>
      <c r="I11" s="148" t="s">
        <v>47</v>
      </c>
      <c r="J11" s="149" t="s">
        <v>432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496</v>
      </c>
      <c r="G12" s="1" t="s">
        <v>49</v>
      </c>
      <c r="H12" s="148" t="s">
        <v>609</v>
      </c>
      <c r="I12" s="148" t="s">
        <v>25</v>
      </c>
      <c r="J12" s="149" t="s">
        <v>433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497</v>
      </c>
      <c r="G13" s="1" t="s">
        <v>51</v>
      </c>
      <c r="H13" s="148" t="s">
        <v>610</v>
      </c>
      <c r="I13" s="148" t="s">
        <v>52</v>
      </c>
      <c r="J13" s="149" t="s">
        <v>53</v>
      </c>
      <c r="K13" s="1" t="s">
        <v>468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498</v>
      </c>
      <c r="G14" s="1" t="s">
        <v>55</v>
      </c>
      <c r="H14" s="148" t="s">
        <v>611</v>
      </c>
      <c r="I14" s="148" t="s">
        <v>32</v>
      </c>
      <c r="J14" s="149" t="s">
        <v>56</v>
      </c>
      <c r="K14" s="1" t="s">
        <v>469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499</v>
      </c>
      <c r="G15" s="1" t="s">
        <v>58</v>
      </c>
      <c r="H15" s="148" t="s">
        <v>612</v>
      </c>
      <c r="I15" s="148" t="s">
        <v>36</v>
      </c>
      <c r="J15" s="149" t="s">
        <v>434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500</v>
      </c>
      <c r="G16" s="1" t="s">
        <v>60</v>
      </c>
      <c r="H16" s="148" t="s">
        <v>613</v>
      </c>
      <c r="I16" s="148" t="s">
        <v>25</v>
      </c>
      <c r="J16" s="149" t="s">
        <v>435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501</v>
      </c>
      <c r="G17" s="1" t="s">
        <v>62</v>
      </c>
      <c r="H17" s="148" t="s">
        <v>614</v>
      </c>
      <c r="I17" s="148" t="s">
        <v>25</v>
      </c>
      <c r="J17" s="149" t="s">
        <v>436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502</v>
      </c>
      <c r="G18" s="1" t="s">
        <v>64</v>
      </c>
      <c r="H18" s="148" t="s">
        <v>615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503</v>
      </c>
      <c r="G19" s="1" t="s">
        <v>68</v>
      </c>
      <c r="H19" s="148" t="s">
        <v>616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504</v>
      </c>
      <c r="G20" s="1" t="s">
        <v>24</v>
      </c>
      <c r="H20" s="148" t="s">
        <v>601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505</v>
      </c>
      <c r="G21" s="1" t="s">
        <v>74</v>
      </c>
      <c r="H21" s="148" t="s">
        <v>617</v>
      </c>
      <c r="I21" s="148" t="s">
        <v>25</v>
      </c>
      <c r="J21" s="149" t="s">
        <v>437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506</v>
      </c>
      <c r="G22" s="1" t="s">
        <v>76</v>
      </c>
      <c r="H22" s="148" t="s">
        <v>618</v>
      </c>
      <c r="I22" s="148" t="s">
        <v>25</v>
      </c>
      <c r="J22" s="149" t="s">
        <v>438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507</v>
      </c>
      <c r="G23" s="1" t="s">
        <v>78</v>
      </c>
      <c r="H23" s="148" t="s">
        <v>619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508</v>
      </c>
      <c r="G24" s="1" t="s">
        <v>82</v>
      </c>
      <c r="H24" s="148" t="s">
        <v>620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509</v>
      </c>
      <c r="G25" s="1" t="s">
        <v>85</v>
      </c>
      <c r="H25" s="148" t="s">
        <v>621</v>
      </c>
      <c r="I25" s="148" t="s">
        <v>86</v>
      </c>
      <c r="J25" s="149" t="s">
        <v>439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510</v>
      </c>
      <c r="G26" s="1" t="s">
        <v>88</v>
      </c>
      <c r="H26" s="148" t="s">
        <v>622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511</v>
      </c>
      <c r="G27" s="1" t="s">
        <v>91</v>
      </c>
      <c r="H27" s="148" t="s">
        <v>623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512</v>
      </c>
      <c r="G28" s="1" t="s">
        <v>94</v>
      </c>
      <c r="H28" s="148" t="s">
        <v>624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513</v>
      </c>
      <c r="G29" s="1" t="s">
        <v>98</v>
      </c>
      <c r="H29" s="148" t="s">
        <v>625</v>
      </c>
      <c r="I29" s="148" t="s">
        <v>86</v>
      </c>
      <c r="J29" s="149" t="s">
        <v>440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514</v>
      </c>
      <c r="G30" s="1" t="s">
        <v>100</v>
      </c>
      <c r="H30" s="148" t="s">
        <v>626</v>
      </c>
      <c r="I30" s="148" t="s">
        <v>86</v>
      </c>
      <c r="J30" s="149" t="s">
        <v>441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515</v>
      </c>
      <c r="G31" s="1" t="s">
        <v>102</v>
      </c>
      <c r="H31" s="148" t="s">
        <v>627</v>
      </c>
      <c r="I31" s="148" t="s">
        <v>86</v>
      </c>
      <c r="J31" s="149" t="s">
        <v>442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516</v>
      </c>
      <c r="G32" s="1" t="s">
        <v>104</v>
      </c>
      <c r="H32" s="148" t="s">
        <v>628</v>
      </c>
      <c r="I32" s="148" t="s">
        <v>105</v>
      </c>
      <c r="J32" s="149" t="s">
        <v>781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513</v>
      </c>
      <c r="G33" s="1" t="s">
        <v>98</v>
      </c>
      <c r="H33" s="148" t="s">
        <v>629</v>
      </c>
      <c r="I33" s="148" t="s">
        <v>86</v>
      </c>
      <c r="J33" s="149" t="s">
        <v>443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517</v>
      </c>
      <c r="G34" s="1" t="s">
        <v>108</v>
      </c>
      <c r="H34" s="148" t="s">
        <v>630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518</v>
      </c>
      <c r="G35" s="1" t="s">
        <v>112</v>
      </c>
      <c r="H35" s="148" t="s">
        <v>631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519</v>
      </c>
      <c r="G36" s="1" t="s">
        <v>115</v>
      </c>
      <c r="H36" s="148" t="s">
        <v>632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520</v>
      </c>
      <c r="G37" s="1" t="s">
        <v>118</v>
      </c>
      <c r="H37" s="148" t="s">
        <v>633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521</v>
      </c>
      <c r="G38" s="1" t="s">
        <v>122</v>
      </c>
      <c r="H38" s="148" t="s">
        <v>634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522</v>
      </c>
      <c r="G39" s="1" t="s">
        <v>125</v>
      </c>
      <c r="H39" s="148" t="s">
        <v>635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523</v>
      </c>
      <c r="G40" s="1" t="s">
        <v>128</v>
      </c>
      <c r="H40" s="148" t="s">
        <v>636</v>
      </c>
      <c r="I40" s="148" t="s">
        <v>36</v>
      </c>
      <c r="J40" s="149" t="s">
        <v>444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524</v>
      </c>
      <c r="G41" s="1" t="s">
        <v>130</v>
      </c>
      <c r="H41" s="148" t="s">
        <v>637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525</v>
      </c>
      <c r="G42" s="1" t="s">
        <v>134</v>
      </c>
      <c r="H42" s="148" t="s">
        <v>638</v>
      </c>
      <c r="I42" s="148" t="s">
        <v>95</v>
      </c>
      <c r="J42" s="158" t="s">
        <v>583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526</v>
      </c>
      <c r="G43" s="1" t="s">
        <v>136</v>
      </c>
      <c r="H43" s="148" t="s">
        <v>639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527</v>
      </c>
      <c r="G44" s="1" t="s">
        <v>139</v>
      </c>
      <c r="H44" s="148" t="s">
        <v>640</v>
      </c>
      <c r="I44" s="148" t="s">
        <v>36</v>
      </c>
      <c r="J44" s="149" t="s">
        <v>445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528</v>
      </c>
      <c r="G45" s="1" t="s">
        <v>141</v>
      </c>
      <c r="H45" s="148" t="s">
        <v>641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529</v>
      </c>
      <c r="G46" s="1" t="s">
        <v>144</v>
      </c>
      <c r="H46" s="148" t="s">
        <v>642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530</v>
      </c>
      <c r="G47" s="1" t="s">
        <v>147</v>
      </c>
      <c r="H47" s="148" t="s">
        <v>643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531</v>
      </c>
      <c r="G48" s="1" t="s">
        <v>150</v>
      </c>
      <c r="H48" s="148" t="s">
        <v>644</v>
      </c>
      <c r="I48" s="148" t="s">
        <v>86</v>
      </c>
      <c r="J48" s="149" t="s">
        <v>446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532</v>
      </c>
      <c r="G49" s="1" t="s">
        <v>152</v>
      </c>
      <c r="H49" s="148" t="s">
        <v>645</v>
      </c>
      <c r="I49" s="148" t="s">
        <v>153</v>
      </c>
      <c r="J49" s="158" t="s">
        <v>584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533</v>
      </c>
      <c r="G50" s="1" t="s">
        <v>155</v>
      </c>
      <c r="H50" s="148" t="s">
        <v>646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534</v>
      </c>
      <c r="G51" s="1" t="s">
        <v>158</v>
      </c>
      <c r="H51" s="148" t="s">
        <v>647</v>
      </c>
      <c r="I51" s="148" t="s">
        <v>131</v>
      </c>
      <c r="J51" s="158" t="s">
        <v>585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535</v>
      </c>
      <c r="G52" s="1" t="s">
        <v>160</v>
      </c>
      <c r="H52" s="148" t="s">
        <v>648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536</v>
      </c>
      <c r="G53" s="1" t="s">
        <v>163</v>
      </c>
      <c r="H53" s="148" t="s">
        <v>649</v>
      </c>
      <c r="I53" s="148" t="s">
        <v>36</v>
      </c>
      <c r="J53" s="149" t="s">
        <v>447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537</v>
      </c>
      <c r="G54" s="1" t="s">
        <v>164</v>
      </c>
      <c r="H54" s="148" t="s">
        <v>650</v>
      </c>
      <c r="I54" s="148" t="s">
        <v>86</v>
      </c>
      <c r="J54" s="149" t="s">
        <v>448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538</v>
      </c>
      <c r="G55" s="1" t="s">
        <v>166</v>
      </c>
      <c r="H55" s="148" t="s">
        <v>651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539</v>
      </c>
      <c r="G56" s="1" t="s">
        <v>170</v>
      </c>
      <c r="H56" s="148" t="s">
        <v>652</v>
      </c>
      <c r="I56" s="148" t="s">
        <v>25</v>
      </c>
      <c r="J56" s="149" t="s">
        <v>449</v>
      </c>
      <c r="K56" s="1" t="s">
        <v>470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540</v>
      </c>
      <c r="G57" s="1" t="s">
        <v>172</v>
      </c>
      <c r="H57" s="148" t="s">
        <v>653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541</v>
      </c>
      <c r="G58" s="1" t="s">
        <v>176</v>
      </c>
      <c r="H58" s="148" t="s">
        <v>654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542</v>
      </c>
      <c r="G59" s="1" t="s">
        <v>179</v>
      </c>
      <c r="H59" s="148" t="s">
        <v>655</v>
      </c>
      <c r="I59" s="148" t="s">
        <v>153</v>
      </c>
      <c r="J59" s="158" t="s">
        <v>586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543</v>
      </c>
      <c r="G60" s="1" t="s">
        <v>181</v>
      </c>
      <c r="H60" s="148" t="s">
        <v>656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544</v>
      </c>
      <c r="G61" s="1" t="s">
        <v>184</v>
      </c>
      <c r="H61" s="148" t="s">
        <v>657</v>
      </c>
      <c r="I61" s="148" t="s">
        <v>119</v>
      </c>
      <c r="J61" s="149" t="s">
        <v>185</v>
      </c>
      <c r="K61" s="1" t="s">
        <v>473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545</v>
      </c>
      <c r="G62" s="1" t="s">
        <v>160</v>
      </c>
      <c r="H62" s="148" t="s">
        <v>658</v>
      </c>
      <c r="I62" s="148" t="s">
        <v>187</v>
      </c>
      <c r="J62" s="149" t="s">
        <v>188</v>
      </c>
      <c r="K62" s="1" t="s">
        <v>474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546</v>
      </c>
      <c r="G63" s="1" t="s">
        <v>190</v>
      </c>
      <c r="H63" s="148" t="s">
        <v>659</v>
      </c>
      <c r="I63" s="148" t="s">
        <v>191</v>
      </c>
      <c r="J63" s="149" t="s">
        <v>192</v>
      </c>
      <c r="K63" s="1" t="s">
        <v>475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547</v>
      </c>
      <c r="G64" s="1" t="s">
        <v>194</v>
      </c>
      <c r="H64" s="148" t="s">
        <v>660</v>
      </c>
      <c r="I64" s="148" t="s">
        <v>119</v>
      </c>
      <c r="J64" s="149" t="s">
        <v>195</v>
      </c>
      <c r="K64" s="1" t="s">
        <v>476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548</v>
      </c>
      <c r="G65" s="1" t="s">
        <v>197</v>
      </c>
      <c r="H65" s="148" t="s">
        <v>661</v>
      </c>
      <c r="I65" s="148" t="s">
        <v>36</v>
      </c>
      <c r="J65" s="149" t="s">
        <v>450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549</v>
      </c>
      <c r="G66" s="1" t="s">
        <v>199</v>
      </c>
      <c r="H66" s="148" t="s">
        <v>662</v>
      </c>
      <c r="I66" s="148" t="s">
        <v>25</v>
      </c>
      <c r="J66" s="149" t="s">
        <v>451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550</v>
      </c>
      <c r="G67" s="1" t="s">
        <v>201</v>
      </c>
      <c r="H67" s="148" t="s">
        <v>655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551</v>
      </c>
      <c r="G68" s="1" t="s">
        <v>204</v>
      </c>
      <c r="H68" s="148" t="s">
        <v>663</v>
      </c>
      <c r="I68" s="148" t="s">
        <v>36</v>
      </c>
      <c r="J68" s="149" t="s">
        <v>452</v>
      </c>
      <c r="K68" s="1" t="s">
        <v>471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552</v>
      </c>
      <c r="G69" s="1" t="s">
        <v>206</v>
      </c>
      <c r="H69" s="148" t="s">
        <v>664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553</v>
      </c>
      <c r="G70" s="1" t="s">
        <v>209</v>
      </c>
      <c r="H70" s="148" t="s">
        <v>665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513</v>
      </c>
      <c r="G71" s="1" t="s">
        <v>213</v>
      </c>
      <c r="H71" s="148" t="s">
        <v>666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554</v>
      </c>
      <c r="G72" s="1" t="s">
        <v>216</v>
      </c>
      <c r="H72" s="148" t="s">
        <v>667</v>
      </c>
      <c r="I72" s="148" t="s">
        <v>217</v>
      </c>
      <c r="J72" s="149" t="s">
        <v>453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555</v>
      </c>
      <c r="G73" s="1" t="s">
        <v>218</v>
      </c>
      <c r="H73" s="148" t="s">
        <v>668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556</v>
      </c>
      <c r="G74" s="1" t="s">
        <v>221</v>
      </c>
      <c r="H74" s="148" t="s">
        <v>669</v>
      </c>
      <c r="I74" s="148" t="s">
        <v>36</v>
      </c>
      <c r="J74" s="149" t="s">
        <v>454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557</v>
      </c>
      <c r="G75" s="1" t="s">
        <v>223</v>
      </c>
      <c r="H75" s="148" t="s">
        <v>670</v>
      </c>
      <c r="I75" s="148" t="s">
        <v>36</v>
      </c>
      <c r="J75" s="149" t="s">
        <v>455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554</v>
      </c>
      <c r="G76" s="1" t="s">
        <v>216</v>
      </c>
      <c r="H76" s="148" t="s">
        <v>671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558</v>
      </c>
      <c r="G77" s="1" t="s">
        <v>228</v>
      </c>
      <c r="H77" s="148" t="s">
        <v>672</v>
      </c>
      <c r="I77" s="148" t="s">
        <v>36</v>
      </c>
      <c r="J77" s="149" t="s">
        <v>456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559</v>
      </c>
      <c r="G78" s="1" t="s">
        <v>230</v>
      </c>
      <c r="H78" s="148" t="s">
        <v>673</v>
      </c>
      <c r="I78" s="148" t="s">
        <v>36</v>
      </c>
      <c r="J78" s="149" t="s">
        <v>457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560</v>
      </c>
      <c r="G79" s="1" t="s">
        <v>232</v>
      </c>
      <c r="H79" s="148" t="s">
        <v>674</v>
      </c>
      <c r="I79" s="148" t="s">
        <v>36</v>
      </c>
      <c r="J79" s="149" t="s">
        <v>458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561</v>
      </c>
      <c r="G80" s="1" t="s">
        <v>234</v>
      </c>
      <c r="H80" s="148" t="s">
        <v>675</v>
      </c>
      <c r="I80" s="148" t="s">
        <v>36</v>
      </c>
      <c r="J80" s="149" t="s">
        <v>472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562</v>
      </c>
      <c r="G81" s="1" t="s">
        <v>236</v>
      </c>
      <c r="H81" s="148" t="s">
        <v>676</v>
      </c>
      <c r="I81" s="148" t="s">
        <v>459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563</v>
      </c>
      <c r="G82" s="1" t="s">
        <v>239</v>
      </c>
      <c r="H82" s="148" t="s">
        <v>677</v>
      </c>
      <c r="I82" s="148" t="s">
        <v>86</v>
      </c>
      <c r="J82" s="149" t="s">
        <v>460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564</v>
      </c>
      <c r="G83" s="1" t="s">
        <v>241</v>
      </c>
      <c r="H83" s="148" t="s">
        <v>678</v>
      </c>
      <c r="I83" s="148" t="s">
        <v>86</v>
      </c>
      <c r="J83" s="149" t="s">
        <v>461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565</v>
      </c>
      <c r="G84" s="1" t="s">
        <v>243</v>
      </c>
      <c r="H84" s="148" t="s">
        <v>679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566</v>
      </c>
      <c r="G85" s="1" t="s">
        <v>247</v>
      </c>
      <c r="H85" s="148" t="s">
        <v>680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567</v>
      </c>
      <c r="G86" s="1" t="s">
        <v>250</v>
      </c>
      <c r="H86" s="148" t="s">
        <v>681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568</v>
      </c>
      <c r="G87" s="1" t="s">
        <v>252</v>
      </c>
      <c r="H87" s="148" t="s">
        <v>682</v>
      </c>
      <c r="I87" s="148" t="s">
        <v>86</v>
      </c>
      <c r="J87" s="149" t="s">
        <v>462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562</v>
      </c>
      <c r="G88" s="1" t="s">
        <v>236</v>
      </c>
      <c r="H88" s="148" t="s">
        <v>683</v>
      </c>
      <c r="I88" s="148" t="s">
        <v>86</v>
      </c>
      <c r="J88" s="149" t="s">
        <v>463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569</v>
      </c>
      <c r="G89" s="1" t="s">
        <v>255</v>
      </c>
      <c r="H89" s="148" t="s">
        <v>684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570</v>
      </c>
      <c r="G90" s="1" t="s">
        <v>258</v>
      </c>
      <c r="H90" s="148" t="s">
        <v>685</v>
      </c>
      <c r="I90" s="148" t="s">
        <v>259</v>
      </c>
      <c r="J90" s="149" t="s">
        <v>779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571</v>
      </c>
      <c r="G91" s="1" t="s">
        <v>261</v>
      </c>
      <c r="H91" s="148" t="s">
        <v>686</v>
      </c>
      <c r="I91" s="148" t="s">
        <v>262</v>
      </c>
      <c r="J91" s="149" t="s">
        <v>263</v>
      </c>
      <c r="K91" s="1" t="s">
        <v>477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572</v>
      </c>
      <c r="G92" s="1" t="s">
        <v>265</v>
      </c>
      <c r="H92" s="148" t="s">
        <v>687</v>
      </c>
      <c r="I92" s="148" t="s">
        <v>262</v>
      </c>
      <c r="J92" s="149" t="s">
        <v>266</v>
      </c>
      <c r="K92" s="1" t="s">
        <v>478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573</v>
      </c>
      <c r="G93" s="1" t="s">
        <v>268</v>
      </c>
      <c r="H93" s="148" t="s">
        <v>688</v>
      </c>
      <c r="I93" s="148" t="s">
        <v>262</v>
      </c>
      <c r="J93" s="149" t="s">
        <v>269</v>
      </c>
      <c r="K93" s="1" t="s">
        <v>479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574</v>
      </c>
      <c r="G94" s="1" t="s">
        <v>286</v>
      </c>
      <c r="H94" s="148" t="s">
        <v>689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575</v>
      </c>
      <c r="G95" s="1" t="s">
        <v>271</v>
      </c>
      <c r="H95" s="148" t="s">
        <v>690</v>
      </c>
      <c r="I95" s="148" t="s">
        <v>272</v>
      </c>
      <c r="J95" s="149" t="s">
        <v>464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576</v>
      </c>
      <c r="G96" s="1" t="s">
        <v>274</v>
      </c>
      <c r="H96" s="148" t="s">
        <v>691</v>
      </c>
      <c r="I96" s="148" t="s">
        <v>275</v>
      </c>
      <c r="J96" s="149" t="s">
        <v>465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577</v>
      </c>
      <c r="G97" s="1" t="s">
        <v>277</v>
      </c>
      <c r="H97" s="148" t="s">
        <v>692</v>
      </c>
      <c r="I97" s="148" t="s">
        <v>278</v>
      </c>
      <c r="J97" s="149" t="s">
        <v>466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578</v>
      </c>
      <c r="G98" s="1" t="s">
        <v>261</v>
      </c>
      <c r="H98" s="148" t="s">
        <v>693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579</v>
      </c>
      <c r="G99" s="1" t="s">
        <v>283</v>
      </c>
      <c r="H99" s="148" t="s">
        <v>694</v>
      </c>
      <c r="I99" s="148" t="s">
        <v>284</v>
      </c>
      <c r="J99" s="149" t="s">
        <v>467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580</v>
      </c>
      <c r="G100" s="1"/>
      <c r="H100" s="1" t="s">
        <v>695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581</v>
      </c>
      <c r="G101" s="1"/>
      <c r="H101" s="1" t="s">
        <v>696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769</v>
      </c>
      <c r="F102" s="1" t="s">
        <v>772</v>
      </c>
      <c r="G102" s="1"/>
      <c r="H102" s="1"/>
      <c r="I102" s="1" t="s">
        <v>774</v>
      </c>
      <c r="J102" s="229" t="s">
        <v>776</v>
      </c>
      <c r="K102" s="1" t="s">
        <v>769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770</v>
      </c>
      <c r="F103" s="1" t="s">
        <v>544</v>
      </c>
      <c r="G103" s="1"/>
      <c r="H103" s="1"/>
      <c r="I103" s="1" t="s">
        <v>79</v>
      </c>
      <c r="J103" s="229" t="s">
        <v>777</v>
      </c>
      <c r="K103" s="1" t="s">
        <v>770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771</v>
      </c>
      <c r="F104" s="1" t="s">
        <v>773</v>
      </c>
      <c r="G104" s="1"/>
      <c r="H104" s="1"/>
      <c r="I104" s="1" t="s">
        <v>775</v>
      </c>
      <c r="J104" s="229" t="s">
        <v>778</v>
      </c>
      <c r="K104" s="1" t="s">
        <v>771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786</v>
      </c>
      <c r="F105" s="1" t="s">
        <v>786</v>
      </c>
      <c r="G105" s="1"/>
      <c r="H105" s="1"/>
      <c r="I105" s="1" t="s">
        <v>792</v>
      </c>
      <c r="J105" s="1" t="s">
        <v>790</v>
      </c>
      <c r="K105" s="1" t="s">
        <v>788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787</v>
      </c>
      <c r="F106" s="1" t="s">
        <v>787</v>
      </c>
      <c r="G106" s="1"/>
      <c r="H106" s="1"/>
      <c r="I106" s="1" t="s">
        <v>793</v>
      </c>
      <c r="J106" s="1" t="s">
        <v>791</v>
      </c>
      <c r="K106" s="1" t="s">
        <v>789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794</v>
      </c>
      <c r="F107" s="1" t="s">
        <v>795</v>
      </c>
      <c r="G107" s="1"/>
      <c r="H107" s="1"/>
      <c r="I107" s="1" t="s">
        <v>95</v>
      </c>
      <c r="J107" s="1" t="s">
        <v>797</v>
      </c>
      <c r="K107" s="1" t="s">
        <v>794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796</v>
      </c>
      <c r="G108" s="1"/>
      <c r="H108" s="1"/>
      <c r="I108" s="1" t="s">
        <v>119</v>
      </c>
      <c r="J108" s="1" t="s">
        <v>798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802</v>
      </c>
      <c r="F109" s="1" t="s">
        <v>803</v>
      </c>
      <c r="G109" s="1"/>
      <c r="H109" s="1"/>
      <c r="I109" s="1" t="s">
        <v>804</v>
      </c>
      <c r="J109" s="1" t="s">
        <v>805</v>
      </c>
      <c r="K109" s="1" t="s">
        <v>802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812</v>
      </c>
      <c r="F110" s="1" t="s">
        <v>812</v>
      </c>
      <c r="G110" s="1"/>
      <c r="H110" s="1"/>
      <c r="I110" s="1" t="s">
        <v>16</v>
      </c>
      <c r="J110" s="1" t="s">
        <v>814</v>
      </c>
      <c r="K110" s="1" t="s">
        <v>813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821</v>
      </c>
      <c r="F111" s="1" t="s">
        <v>822</v>
      </c>
      <c r="G111" s="1"/>
      <c r="H111" s="1" t="s">
        <v>823</v>
      </c>
      <c r="I111" s="1" t="s">
        <v>807</v>
      </c>
      <c r="J111" s="1" t="s">
        <v>824</v>
      </c>
      <c r="K111" s="1" t="s">
        <v>821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825</v>
      </c>
      <c r="F112" s="1" t="s">
        <v>826</v>
      </c>
      <c r="G112" s="1"/>
      <c r="H112" s="1" t="s">
        <v>827</v>
      </c>
      <c r="I112" s="1" t="s">
        <v>828</v>
      </c>
      <c r="J112" s="1" t="s">
        <v>829</v>
      </c>
      <c r="K112" s="1" t="s">
        <v>825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830</v>
      </c>
      <c r="F113" s="1" t="s">
        <v>832</v>
      </c>
      <c r="G113" s="1"/>
      <c r="H113" s="1" t="s">
        <v>834</v>
      </c>
      <c r="I113" s="1" t="s">
        <v>836</v>
      </c>
      <c r="J113" s="1" t="s">
        <v>837</v>
      </c>
      <c r="K113" s="1" t="s">
        <v>830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831</v>
      </c>
      <c r="F114" s="1" t="s">
        <v>833</v>
      </c>
      <c r="G114" s="1"/>
      <c r="H114" s="1" t="s">
        <v>835</v>
      </c>
      <c r="I114" s="1" t="s">
        <v>32</v>
      </c>
      <c r="J114" s="1" t="s">
        <v>838</v>
      </c>
      <c r="K114" s="1" t="s">
        <v>831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839</v>
      </c>
      <c r="F115" s="1" t="s">
        <v>840</v>
      </c>
      <c r="G115" s="1"/>
      <c r="H115" s="1" t="s">
        <v>605</v>
      </c>
      <c r="I115" s="1" t="s">
        <v>841</v>
      </c>
      <c r="J115" s="1" t="s">
        <v>842</v>
      </c>
      <c r="K115" s="1" t="s">
        <v>839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845</v>
      </c>
      <c r="F116" s="1" t="s">
        <v>846</v>
      </c>
      <c r="G116" s="1"/>
      <c r="H116" s="1" t="s">
        <v>847</v>
      </c>
      <c r="I116" s="1" t="s">
        <v>36</v>
      </c>
      <c r="J116" s="1" t="s">
        <v>848</v>
      </c>
      <c r="K116" s="1" t="s">
        <v>845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854</v>
      </c>
      <c r="F117" s="1" t="s">
        <v>855</v>
      </c>
      <c r="G117" s="1"/>
      <c r="H117" s="1" t="s">
        <v>856</v>
      </c>
      <c r="I117" s="1" t="s">
        <v>858</v>
      </c>
      <c r="J117" s="1" t="s">
        <v>857</v>
      </c>
      <c r="K117" s="1" t="s">
        <v>854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861</v>
      </c>
      <c r="F118" s="1" t="s">
        <v>863</v>
      </c>
      <c r="G118" s="1"/>
      <c r="H118" s="1" t="s">
        <v>865</v>
      </c>
      <c r="I118" s="1" t="s">
        <v>131</v>
      </c>
      <c r="J118" s="1" t="s">
        <v>867</v>
      </c>
      <c r="K118" s="1" t="s">
        <v>861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862</v>
      </c>
      <c r="F119" s="1" t="s">
        <v>864</v>
      </c>
      <c r="G119" s="1"/>
      <c r="H119" s="1" t="s">
        <v>866</v>
      </c>
      <c r="I119" s="1" t="s">
        <v>79</v>
      </c>
      <c r="J119" s="1" t="s">
        <v>868</v>
      </c>
      <c r="K119" s="1" t="s">
        <v>862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882</v>
      </c>
      <c r="F120" s="1" t="s">
        <v>883</v>
      </c>
      <c r="G120" s="1"/>
      <c r="H120" s="1" t="s">
        <v>884</v>
      </c>
      <c r="I120" s="1" t="s">
        <v>65</v>
      </c>
      <c r="J120" s="1" t="s">
        <v>885</v>
      </c>
      <c r="K120" s="1" t="s">
        <v>882</v>
      </c>
      <c r="L120" s="1" t="s">
        <v>18</v>
      </c>
      <c r="M120" s="1"/>
      <c r="N120" s="1"/>
      <c r="O120" s="1"/>
      <c r="P120" s="1"/>
      <c r="Q120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1301"/>
  <sheetViews>
    <sheetView zoomScale="80" zoomScaleNormal="80" workbookViewId="0">
      <pane xSplit="8" ySplit="3" topLeftCell="T34" activePane="bottomRight" state="frozen"/>
      <selection pane="topRight" activeCell="D1" sqref="D1"/>
      <selection pane="bottomLeft" activeCell="A4" sqref="A4"/>
      <selection pane="bottomRight" activeCell="AC5" sqref="AC5:AD73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13465.849999999995</v>
      </c>
      <c r="Q1" s="53">
        <f>P2*4%+Q2*8.5%</f>
        <v>40.795394438784001</v>
      </c>
      <c r="R1" s="65">
        <f>R2/I2</f>
        <v>0.77486022753607076</v>
      </c>
      <c r="S1" s="51">
        <f>S2/I2</f>
        <v>3.75</v>
      </c>
      <c r="T1" s="67">
        <f>W1-Q1</f>
        <v>4.1770884887928901</v>
      </c>
      <c r="W1" s="67">
        <f>V2*4%+W2*8.5%</f>
        <v>44.972482927576891</v>
      </c>
      <c r="AH1" s="154">
        <f>AH2+W1</f>
        <v>46.207932924533189</v>
      </c>
      <c r="AI1" s="154">
        <f>AH1-Q1</f>
        <v>5.4125384857491881</v>
      </c>
    </row>
    <row r="2" spans="1:44" x14ac:dyDescent="0.25">
      <c r="I2" s="72">
        <f>SUM(I4:I99351)</f>
        <v>55078</v>
      </c>
      <c r="J2" s="74">
        <f>L2/I2*100</f>
        <v>4.8897381894767404</v>
      </c>
      <c r="K2" s="74">
        <f>M2/I2*100</f>
        <v>8.3987998838011446</v>
      </c>
      <c r="L2" s="74">
        <f>SUM(L4:L99351)</f>
        <v>2693.1699999999992</v>
      </c>
      <c r="M2" s="74">
        <f>SUM(M4:M99351)</f>
        <v>4625.8909999999942</v>
      </c>
      <c r="N2" s="70">
        <f>O2/I2</f>
        <v>44.277727287775448</v>
      </c>
      <c r="O2" s="72">
        <f>SUM(O4:O99351)</f>
        <v>2438728.6635560961</v>
      </c>
      <c r="P2" s="71">
        <f>SUMPRODUCT(P4:P99351,L4:L99351)/L2</f>
        <v>423.31986275684886</v>
      </c>
      <c r="Q2" s="71">
        <f>SUMPRODUCT(Q4:Q99351,M4:M99351)/M2</f>
        <v>280.73646974717695</v>
      </c>
      <c r="R2" s="72">
        <f>SUM(R4:R99351)</f>
        <v>42677.751612231703</v>
      </c>
      <c r="S2" s="72">
        <f>SUM(S4:S99351)</f>
        <v>206542.5</v>
      </c>
      <c r="T2" s="72">
        <f>SUM(T4:T99351)</f>
        <v>2687948.9151683338</v>
      </c>
      <c r="U2" s="75">
        <f>T2/I2</f>
        <v>48.802587515311629</v>
      </c>
      <c r="V2" s="73">
        <f>SUMPRODUCT(V4:V99351,L4:L99351)/L2</f>
        <v>465.72651205482089</v>
      </c>
      <c r="W2" s="73">
        <f>SUMPRODUCT(W4:W99351,M4:M99351)/M2</f>
        <v>309.9226170045182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12.780517209892711</v>
      </c>
      <c r="AG2" s="154">
        <f>AF2*2/3</f>
        <v>8.5203448065951406</v>
      </c>
      <c r="AH2" s="154">
        <f>AF2*4%+AG2*8.5%</f>
        <v>1.2354499969562953</v>
      </c>
    </row>
    <row r="3" spans="1:44" ht="30" x14ac:dyDescent="0.25">
      <c r="A3" s="54" t="s">
        <v>587</v>
      </c>
      <c r="B3" s="54" t="s">
        <v>395</v>
      </c>
      <c r="C3" s="54" t="s">
        <v>588</v>
      </c>
      <c r="D3" s="54" t="s">
        <v>589</v>
      </c>
      <c r="E3" s="54" t="s">
        <v>590</v>
      </c>
      <c r="F3" s="60" t="s">
        <v>485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484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398</v>
      </c>
      <c r="AD3" s="216"/>
      <c r="AG3" s="213"/>
      <c r="AH3" s="214"/>
      <c r="AI3" s="215" t="s">
        <v>398</v>
      </c>
      <c r="AJ3" s="214"/>
      <c r="AK3" s="216"/>
    </row>
    <row r="4" spans="1:44" x14ac:dyDescent="0.25">
      <c r="A4" s="168" t="s">
        <v>888</v>
      </c>
      <c r="B4" s="62" t="s">
        <v>396</v>
      </c>
      <c r="C4" s="62" t="s">
        <v>591</v>
      </c>
      <c r="D4" s="62" t="s">
        <v>869</v>
      </c>
      <c r="E4" s="49" t="s">
        <v>765</v>
      </c>
      <c r="F4" s="62" t="str">
        <f>MID(E4,2,5)</f>
        <v>20101</v>
      </c>
      <c r="G4" s="62">
        <v>10620101</v>
      </c>
      <c r="H4" s="49" t="s">
        <v>387</v>
      </c>
      <c r="I4" s="69">
        <v>15</v>
      </c>
      <c r="J4" s="69">
        <v>7.3</v>
      </c>
      <c r="K4" s="69">
        <v>8.6999999999999993</v>
      </c>
      <c r="L4" s="69">
        <f>J4*I4/100</f>
        <v>1.095</v>
      </c>
      <c r="M4" s="69">
        <f>K4*I4/100</f>
        <v>1.3049999999999999</v>
      </c>
      <c r="N4" s="56">
        <f>INDEX(Rate_Chart!$A$1:$AK$127,MATCH(Data!J4,Rate_Chart!$A$1:$A$127,0),MATCH(Data!K4,Rate_Chart!$A$1:$AK$1,0))</f>
        <v>59.735899999999994</v>
      </c>
      <c r="O4" s="57">
        <f>N4*I4</f>
        <v>896.03849999999989</v>
      </c>
      <c r="P4" s="58">
        <f>N4/(J4%+K4%*2/3)</f>
        <v>455.99923664122133</v>
      </c>
      <c r="Q4" s="58">
        <f>P4*2/3</f>
        <v>303.99949109414757</v>
      </c>
      <c r="R4" s="66">
        <f t="shared" ref="R4:R18" si="0">O4*1.75%</f>
        <v>15.680673749999999</v>
      </c>
      <c r="S4" s="64">
        <f>I4*3.75</f>
        <v>56.25</v>
      </c>
      <c r="T4" s="66">
        <f>R4+S4+O4</f>
        <v>967.96917374999987</v>
      </c>
      <c r="U4" s="68">
        <f>T4/I4</f>
        <v>64.531278249999986</v>
      </c>
      <c r="V4" s="68">
        <f>U4/(J4%+K4%*2/3)</f>
        <v>492.60517748091593</v>
      </c>
      <c r="W4" s="68">
        <f>V4*2/3</f>
        <v>328.40345165394393</v>
      </c>
      <c r="Z4" s="239" t="s">
        <v>325</v>
      </c>
      <c r="AA4" s="215" t="s">
        <v>485</v>
      </c>
      <c r="AB4" s="215" t="s">
        <v>590</v>
      </c>
      <c r="AC4" s="239" t="s">
        <v>391</v>
      </c>
      <c r="AD4" s="240" t="s">
        <v>392</v>
      </c>
      <c r="AG4" s="215" t="s">
        <v>587</v>
      </c>
      <c r="AH4" s="222" t="s">
        <v>395</v>
      </c>
      <c r="AI4" s="223" t="s">
        <v>391</v>
      </c>
      <c r="AJ4" s="224" t="s">
        <v>393</v>
      </c>
      <c r="AK4" s="225" t="s">
        <v>399</v>
      </c>
    </row>
    <row r="5" spans="1:44" x14ac:dyDescent="0.25">
      <c r="A5" s="168" t="s">
        <v>888</v>
      </c>
      <c r="B5" s="62" t="s">
        <v>396</v>
      </c>
      <c r="C5" s="62" t="s">
        <v>591</v>
      </c>
      <c r="D5" s="62" t="s">
        <v>869</v>
      </c>
      <c r="E5" s="49" t="s">
        <v>765</v>
      </c>
      <c r="F5" s="62" t="str">
        <f t="shared" ref="F5:F68" si="1">MID(E5,2,5)</f>
        <v>20101</v>
      </c>
      <c r="G5" s="62">
        <v>10620101</v>
      </c>
      <c r="H5" s="49" t="s">
        <v>388</v>
      </c>
      <c r="I5" s="69">
        <v>14</v>
      </c>
      <c r="J5" s="69">
        <v>3</v>
      </c>
      <c r="K5" s="69">
        <v>8</v>
      </c>
      <c r="L5" s="69">
        <f t="shared" ref="L5:L68" si="2">J5*I5/100</f>
        <v>0.42</v>
      </c>
      <c r="M5" s="69">
        <f t="shared" ref="M5:M68" si="3">K5*I5/100</f>
        <v>1.1200000000000001</v>
      </c>
      <c r="N5" s="56">
        <f>INDEX(Rate_Chart!$A$1:$AK$127,MATCH(Data!J5,Rate_Chart!$A$1:$A$127,0),MATCH(Data!K5,Rate_Chart!$A$1:$AK$1,0))</f>
        <v>34.751112000000006</v>
      </c>
      <c r="O5" s="57">
        <f t="shared" ref="O5:O68" si="4">N5*I5</f>
        <v>486.51556800000009</v>
      </c>
      <c r="P5" s="58">
        <f t="shared" ref="P5:P68" si="5">N5/(J5%+K5%*2/3)</f>
        <v>417.01334400000002</v>
      </c>
      <c r="Q5" s="58">
        <f t="shared" ref="Q5:Q68" si="6">P5*2/3</f>
        <v>278.00889599999999</v>
      </c>
      <c r="R5" s="66">
        <f t="shared" si="0"/>
        <v>8.5140224400000015</v>
      </c>
      <c r="S5" s="64">
        <f t="shared" ref="S5:S68" si="7">I5*3.75</f>
        <v>52.5</v>
      </c>
      <c r="T5" s="66">
        <f t="shared" ref="T5:T68" si="8">R5+S5+O5</f>
        <v>547.52959044000011</v>
      </c>
      <c r="U5" s="68">
        <f t="shared" ref="U5:U68" si="9">T5/I5</f>
        <v>39.109256460000005</v>
      </c>
      <c r="V5" s="68">
        <f t="shared" ref="V5:V68" si="10">U5/(J5%+K5%*2/3)</f>
        <v>469.31107752000003</v>
      </c>
      <c r="W5" s="68">
        <f t="shared" ref="W5:W68" si="11">V5*2/3</f>
        <v>312.87405168000004</v>
      </c>
      <c r="Z5" s="213">
        <v>10620002</v>
      </c>
      <c r="AA5" s="213" t="s">
        <v>707</v>
      </c>
      <c r="AB5" s="213" t="s">
        <v>386</v>
      </c>
      <c r="AC5" s="213">
        <v>670</v>
      </c>
      <c r="AD5" s="241">
        <v>26150.295710900002</v>
      </c>
      <c r="AG5" s="218" t="s">
        <v>849</v>
      </c>
      <c r="AH5" s="213" t="s">
        <v>396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889</v>
      </c>
      <c r="B6" s="62" t="s">
        <v>396</v>
      </c>
      <c r="C6" s="62" t="s">
        <v>591</v>
      </c>
      <c r="D6" s="62" t="s">
        <v>869</v>
      </c>
      <c r="E6" s="49" t="s">
        <v>765</v>
      </c>
      <c r="F6" s="62" t="str">
        <f t="shared" si="1"/>
        <v>20101</v>
      </c>
      <c r="G6" s="62">
        <v>10620101</v>
      </c>
      <c r="H6" s="49" t="s">
        <v>387</v>
      </c>
      <c r="I6" s="69">
        <v>12</v>
      </c>
      <c r="J6" s="69">
        <v>7.6</v>
      </c>
      <c r="K6" s="69">
        <v>8.8000000000000007</v>
      </c>
      <c r="L6" s="69">
        <f t="shared" si="2"/>
        <v>0.91199999999999992</v>
      </c>
      <c r="M6" s="69">
        <f t="shared" si="3"/>
        <v>1.056</v>
      </c>
      <c r="N6" s="56">
        <f>INDEX(Rate_Chart!$A$1:$AK$127,MATCH(Data!J6,Rate_Chart!$A$1:$A$127,0),MATCH(Data!K6,Rate_Chart!$A$1:$AK$1,0))</f>
        <v>62.825400000000002</v>
      </c>
      <c r="O6" s="57">
        <f t="shared" si="4"/>
        <v>753.90480000000002</v>
      </c>
      <c r="P6" s="58">
        <f t="shared" si="5"/>
        <v>466.5252475247525</v>
      </c>
      <c r="Q6" s="58">
        <f t="shared" si="6"/>
        <v>311.01683168316833</v>
      </c>
      <c r="R6" s="66">
        <f t="shared" si="0"/>
        <v>13.193334000000002</v>
      </c>
      <c r="S6" s="64">
        <f t="shared" si="7"/>
        <v>45</v>
      </c>
      <c r="T6" s="66">
        <f t="shared" si="8"/>
        <v>812.09813400000007</v>
      </c>
      <c r="U6" s="68">
        <f t="shared" si="9"/>
        <v>67.674844500000006</v>
      </c>
      <c r="V6" s="68">
        <f t="shared" si="10"/>
        <v>502.53597400990105</v>
      </c>
      <c r="W6" s="68">
        <f t="shared" si="11"/>
        <v>335.02398267326737</v>
      </c>
      <c r="Z6" s="213">
        <v>10620004</v>
      </c>
      <c r="AA6" s="213" t="s">
        <v>875</v>
      </c>
      <c r="AB6" s="213" t="s">
        <v>874</v>
      </c>
      <c r="AC6" s="213">
        <v>1092</v>
      </c>
      <c r="AD6" s="241">
        <v>42570.134177200009</v>
      </c>
      <c r="AG6" s="219"/>
      <c r="AH6" s="220" t="s">
        <v>397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889</v>
      </c>
      <c r="B7" s="62" t="s">
        <v>396</v>
      </c>
      <c r="C7" s="62" t="s">
        <v>591</v>
      </c>
      <c r="D7" s="62" t="s">
        <v>869</v>
      </c>
      <c r="E7" s="49" t="s">
        <v>765</v>
      </c>
      <c r="F7" s="62" t="str">
        <f t="shared" si="1"/>
        <v>20101</v>
      </c>
      <c r="G7" s="62">
        <v>10620101</v>
      </c>
      <c r="H7" s="49" t="s">
        <v>388</v>
      </c>
      <c r="I7" s="69">
        <v>12</v>
      </c>
      <c r="J7" s="69">
        <v>3</v>
      </c>
      <c r="K7" s="69">
        <v>8</v>
      </c>
      <c r="L7" s="69">
        <f t="shared" si="2"/>
        <v>0.36</v>
      </c>
      <c r="M7" s="69">
        <f t="shared" si="3"/>
        <v>0.96</v>
      </c>
      <c r="N7" s="56">
        <f>INDEX(Rate_Chart!$A$1:$AK$127,MATCH(Data!J7,Rate_Chart!$A$1:$A$127,0),MATCH(Data!K7,Rate_Chart!$A$1:$AK$1,0))</f>
        <v>34.751112000000006</v>
      </c>
      <c r="O7" s="57">
        <f t="shared" si="4"/>
        <v>417.01334400000007</v>
      </c>
      <c r="P7" s="58">
        <f t="shared" si="5"/>
        <v>417.01334400000002</v>
      </c>
      <c r="Q7" s="58">
        <f t="shared" si="6"/>
        <v>278.00889599999999</v>
      </c>
      <c r="R7" s="66">
        <f t="shared" si="0"/>
        <v>7.2977335200000022</v>
      </c>
      <c r="S7" s="64">
        <f t="shared" si="7"/>
        <v>45</v>
      </c>
      <c r="T7" s="66">
        <f t="shared" si="8"/>
        <v>469.31107752000008</v>
      </c>
      <c r="U7" s="68">
        <f t="shared" si="9"/>
        <v>39.109256460000005</v>
      </c>
      <c r="V7" s="68">
        <f t="shared" si="10"/>
        <v>469.31107752000003</v>
      </c>
      <c r="W7" s="68">
        <f t="shared" si="11"/>
        <v>312.87405168000004</v>
      </c>
      <c r="Z7" s="213">
        <v>10620005</v>
      </c>
      <c r="AA7" s="213" t="s">
        <v>708</v>
      </c>
      <c r="AB7" s="213" t="s">
        <v>357</v>
      </c>
      <c r="AC7" s="213">
        <v>652</v>
      </c>
      <c r="AD7" s="241">
        <v>38138.424950499997</v>
      </c>
      <c r="AG7" s="218" t="s">
        <v>850</v>
      </c>
      <c r="AH7" s="213" t="s">
        <v>396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889</v>
      </c>
      <c r="B8" s="62" t="s">
        <v>397</v>
      </c>
      <c r="C8" s="62" t="s">
        <v>591</v>
      </c>
      <c r="D8" s="62" t="s">
        <v>869</v>
      </c>
      <c r="E8" s="49" t="s">
        <v>765</v>
      </c>
      <c r="F8" s="62" t="str">
        <f t="shared" si="1"/>
        <v>20101</v>
      </c>
      <c r="G8" s="62">
        <v>10620101</v>
      </c>
      <c r="H8" s="49" t="s">
        <v>388</v>
      </c>
      <c r="I8" s="69">
        <v>11</v>
      </c>
      <c r="J8" s="69">
        <v>4.8</v>
      </c>
      <c r="K8" s="69">
        <v>8.3000000000000007</v>
      </c>
      <c r="L8" s="69">
        <f t="shared" si="2"/>
        <v>0.52800000000000002</v>
      </c>
      <c r="M8" s="69">
        <f t="shared" si="3"/>
        <v>0.91300000000000014</v>
      </c>
      <c r="N8" s="56">
        <f>INDEX(Rate_Chart!$A$1:$AK$127,MATCH(Data!J8,Rate_Chart!$A$1:$A$127,0),MATCH(Data!K8,Rate_Chart!$A$1:$AK$1,0))</f>
        <v>43.091153700000007</v>
      </c>
      <c r="O8" s="57">
        <f t="shared" si="4"/>
        <v>474.00269070000007</v>
      </c>
      <c r="P8" s="58">
        <f t="shared" si="5"/>
        <v>417.01116483870976</v>
      </c>
      <c r="Q8" s="58">
        <f t="shared" si="6"/>
        <v>278.00744322580653</v>
      </c>
      <c r="R8" s="66">
        <f t="shared" si="0"/>
        <v>8.2950470872500013</v>
      </c>
      <c r="S8" s="64">
        <f t="shared" si="7"/>
        <v>41.25</v>
      </c>
      <c r="T8" s="66">
        <f t="shared" si="8"/>
        <v>523.54773778725007</v>
      </c>
      <c r="U8" s="68">
        <f t="shared" si="9"/>
        <v>47.595248889750003</v>
      </c>
      <c r="V8" s="68">
        <f t="shared" si="10"/>
        <v>460.5991828040323</v>
      </c>
      <c r="W8" s="68">
        <f t="shared" si="11"/>
        <v>307.06612186935484</v>
      </c>
      <c r="Z8" s="213">
        <v>10620009</v>
      </c>
      <c r="AA8" s="213" t="s">
        <v>709</v>
      </c>
      <c r="AB8" s="213" t="s">
        <v>384</v>
      </c>
      <c r="AC8" s="213">
        <v>838</v>
      </c>
      <c r="AD8" s="241">
        <v>40255.21568590001</v>
      </c>
      <c r="AG8" s="219"/>
      <c r="AH8" s="220" t="s">
        <v>397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890</v>
      </c>
      <c r="B9" s="62" t="s">
        <v>396</v>
      </c>
      <c r="C9" s="62" t="s">
        <v>591</v>
      </c>
      <c r="D9" s="62" t="s">
        <v>869</v>
      </c>
      <c r="E9" s="49" t="s">
        <v>765</v>
      </c>
      <c r="F9" s="62" t="str">
        <f t="shared" si="1"/>
        <v>20101</v>
      </c>
      <c r="G9" s="62">
        <v>10620101</v>
      </c>
      <c r="H9" s="49" t="s">
        <v>387</v>
      </c>
      <c r="I9" s="69">
        <v>7</v>
      </c>
      <c r="J9" s="69">
        <v>7.1</v>
      </c>
      <c r="K9" s="69">
        <v>8.8000000000000007</v>
      </c>
      <c r="L9" s="69">
        <f t="shared" si="2"/>
        <v>0.49699999999999994</v>
      </c>
      <c r="M9" s="69">
        <f t="shared" si="3"/>
        <v>0.6160000000000001</v>
      </c>
      <c r="N9" s="56">
        <f>INDEX(Rate_Chart!$A$1:$AK$127,MATCH(Data!J9,Rate_Chart!$A$1:$A$127,0),MATCH(Data!K9,Rate_Chart!$A$1:$AK$1,0))</f>
        <v>58.692149999999998</v>
      </c>
      <c r="O9" s="57">
        <f t="shared" si="4"/>
        <v>410.84505000000001</v>
      </c>
      <c r="P9" s="58">
        <f t="shared" si="5"/>
        <v>452.63868894601546</v>
      </c>
      <c r="Q9" s="58">
        <f t="shared" si="6"/>
        <v>301.75912596401031</v>
      </c>
      <c r="R9" s="66">
        <f t="shared" si="0"/>
        <v>7.1897883750000009</v>
      </c>
      <c r="S9" s="64">
        <f t="shared" si="7"/>
        <v>26.25</v>
      </c>
      <c r="T9" s="66">
        <f t="shared" si="8"/>
        <v>444.28483837499999</v>
      </c>
      <c r="U9" s="68">
        <f t="shared" si="9"/>
        <v>63.469262624999999</v>
      </c>
      <c r="V9" s="68">
        <f t="shared" si="10"/>
        <v>489.48017448586126</v>
      </c>
      <c r="W9" s="68">
        <f t="shared" si="11"/>
        <v>326.32011632390748</v>
      </c>
      <c r="Z9" s="213">
        <v>10620010</v>
      </c>
      <c r="AA9" s="213" t="s">
        <v>876</v>
      </c>
      <c r="AB9" s="213" t="s">
        <v>872</v>
      </c>
      <c r="AC9" s="213">
        <v>538</v>
      </c>
      <c r="AD9" s="241">
        <v>28978.643544100014</v>
      </c>
      <c r="AG9" s="218" t="s">
        <v>853</v>
      </c>
      <c r="AH9" s="213" t="s">
        <v>853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891</v>
      </c>
      <c r="B10" s="62" t="s">
        <v>396</v>
      </c>
      <c r="C10" s="62" t="s">
        <v>591</v>
      </c>
      <c r="D10" s="62" t="s">
        <v>869</v>
      </c>
      <c r="E10" s="49" t="s">
        <v>765</v>
      </c>
      <c r="F10" s="62" t="str">
        <f t="shared" si="1"/>
        <v>20101</v>
      </c>
      <c r="G10" s="62">
        <v>10620101</v>
      </c>
      <c r="H10" s="49" t="s">
        <v>388</v>
      </c>
      <c r="I10" s="69">
        <v>17</v>
      </c>
      <c r="J10" s="69">
        <v>4.0999999999999996</v>
      </c>
      <c r="K10" s="69">
        <v>8.1999999999999993</v>
      </c>
      <c r="L10" s="69">
        <f t="shared" si="2"/>
        <v>0.69699999999999984</v>
      </c>
      <c r="M10" s="69">
        <f t="shared" si="3"/>
        <v>1.3939999999999997</v>
      </c>
      <c r="N10" s="56">
        <f>INDEX(Rate_Chart!$A$1:$AK$127,MATCH(Data!J10,Rate_Chart!$A$1:$A$127,0),MATCH(Data!K10,Rate_Chart!$A$1:$AK$1,0))</f>
        <v>39.894139799999998</v>
      </c>
      <c r="O10" s="57">
        <f t="shared" si="4"/>
        <v>678.20037659999991</v>
      </c>
      <c r="P10" s="58">
        <f t="shared" si="5"/>
        <v>417.01191428571434</v>
      </c>
      <c r="Q10" s="58">
        <f t="shared" si="6"/>
        <v>278.00794285714289</v>
      </c>
      <c r="R10" s="66">
        <f t="shared" si="0"/>
        <v>11.868506590499999</v>
      </c>
      <c r="S10" s="64">
        <f t="shared" si="7"/>
        <v>63.75</v>
      </c>
      <c r="T10" s="66">
        <f t="shared" si="8"/>
        <v>753.81888319049995</v>
      </c>
      <c r="U10" s="68">
        <f t="shared" si="9"/>
        <v>44.3422872465</v>
      </c>
      <c r="V10" s="68">
        <f t="shared" si="10"/>
        <v>463.50822905749135</v>
      </c>
      <c r="W10" s="68">
        <f t="shared" si="11"/>
        <v>309.00548603832755</v>
      </c>
      <c r="Z10" s="213">
        <v>10620011</v>
      </c>
      <c r="AA10" s="213" t="s">
        <v>710</v>
      </c>
      <c r="AB10" s="213" t="s">
        <v>378</v>
      </c>
      <c r="AC10" s="213">
        <v>468</v>
      </c>
      <c r="AD10" s="241">
        <v>26833.151954799996</v>
      </c>
      <c r="AG10" s="221" t="s">
        <v>390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891</v>
      </c>
      <c r="B11" s="62" t="s">
        <v>397</v>
      </c>
      <c r="C11" s="62" t="s">
        <v>591</v>
      </c>
      <c r="D11" s="62" t="s">
        <v>869</v>
      </c>
      <c r="E11" s="49" t="s">
        <v>765</v>
      </c>
      <c r="F11" s="62" t="str">
        <f t="shared" si="1"/>
        <v>20101</v>
      </c>
      <c r="G11" s="62">
        <v>10620101</v>
      </c>
      <c r="H11" s="49" t="s">
        <v>388</v>
      </c>
      <c r="I11" s="69">
        <v>11</v>
      </c>
      <c r="J11" s="69">
        <v>3.8</v>
      </c>
      <c r="K11" s="69">
        <v>8.1</v>
      </c>
      <c r="L11" s="69">
        <f t="shared" si="2"/>
        <v>0.41799999999999998</v>
      </c>
      <c r="M11" s="69">
        <f t="shared" si="3"/>
        <v>0.8909999999999999</v>
      </c>
      <c r="N11" s="56">
        <f>INDEX(Rate_Chart!$A$1:$AK$127,MATCH(Data!J11,Rate_Chart!$A$1:$A$127,0),MATCH(Data!K11,Rate_Chart!$A$1:$AK$1,0))</f>
        <v>38.365125900000002</v>
      </c>
      <c r="O11" s="57">
        <f t="shared" si="4"/>
        <v>422.01638490000005</v>
      </c>
      <c r="P11" s="58">
        <f t="shared" si="5"/>
        <v>417.01223804347831</v>
      </c>
      <c r="Q11" s="58">
        <f t="shared" si="6"/>
        <v>278.00815869565218</v>
      </c>
      <c r="R11" s="66">
        <f t="shared" si="0"/>
        <v>7.3852867357500012</v>
      </c>
      <c r="S11" s="64">
        <f t="shared" si="7"/>
        <v>41.25</v>
      </c>
      <c r="T11" s="66">
        <f t="shared" si="8"/>
        <v>470.65167163575006</v>
      </c>
      <c r="U11" s="68">
        <f t="shared" si="9"/>
        <v>42.786515603250002</v>
      </c>
      <c r="V11" s="68">
        <f t="shared" si="10"/>
        <v>465.07082177445653</v>
      </c>
      <c r="W11" s="68">
        <f t="shared" si="11"/>
        <v>310.04721451630434</v>
      </c>
      <c r="Z11" s="213">
        <v>10620012</v>
      </c>
      <c r="AA11" s="213" t="s">
        <v>711</v>
      </c>
      <c r="AB11" s="213" t="s">
        <v>364</v>
      </c>
      <c r="AC11" s="213">
        <v>1098</v>
      </c>
      <c r="AD11" s="241">
        <v>50233.861437600004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892</v>
      </c>
      <c r="B12" s="62" t="s">
        <v>396</v>
      </c>
      <c r="C12" s="62" t="s">
        <v>591</v>
      </c>
      <c r="D12" s="62" t="s">
        <v>869</v>
      </c>
      <c r="E12" s="49" t="s">
        <v>765</v>
      </c>
      <c r="F12" s="62" t="str">
        <f t="shared" si="1"/>
        <v>20101</v>
      </c>
      <c r="G12" s="62">
        <v>10620101</v>
      </c>
      <c r="H12" s="49" t="s">
        <v>388</v>
      </c>
      <c r="I12" s="69">
        <v>18</v>
      </c>
      <c r="J12" s="69">
        <v>4.7</v>
      </c>
      <c r="K12" s="69">
        <v>8.1</v>
      </c>
      <c r="L12" s="69">
        <f t="shared" si="2"/>
        <v>0.84600000000000009</v>
      </c>
      <c r="M12" s="69">
        <f t="shared" si="3"/>
        <v>1.4579999999999997</v>
      </c>
      <c r="N12" s="56">
        <f>INDEX(Rate_Chart!$A$1:$AK$127,MATCH(Data!J12,Rate_Chart!$A$1:$A$127,0),MATCH(Data!K12,Rate_Chart!$A$1:$AK$1,0))</f>
        <v>42.118125900000003</v>
      </c>
      <c r="O12" s="57">
        <f t="shared" si="4"/>
        <v>758.12626620000003</v>
      </c>
      <c r="P12" s="58">
        <f t="shared" si="5"/>
        <v>417.01114752475246</v>
      </c>
      <c r="Q12" s="58">
        <f t="shared" si="6"/>
        <v>278.00743168316831</v>
      </c>
      <c r="R12" s="66">
        <f t="shared" si="0"/>
        <v>13.267209658500002</v>
      </c>
      <c r="S12" s="64">
        <f t="shared" si="7"/>
        <v>67.5</v>
      </c>
      <c r="T12" s="66">
        <f t="shared" si="8"/>
        <v>838.8934758585001</v>
      </c>
      <c r="U12" s="68">
        <f t="shared" si="9"/>
        <v>46.605193103250002</v>
      </c>
      <c r="V12" s="68">
        <f t="shared" si="10"/>
        <v>461.43755547772275</v>
      </c>
      <c r="W12" s="68">
        <f t="shared" si="11"/>
        <v>307.62503698514848</v>
      </c>
      <c r="Z12" s="213">
        <v>10620013</v>
      </c>
      <c r="AA12" s="213" t="s">
        <v>712</v>
      </c>
      <c r="AB12" s="213" t="s">
        <v>367</v>
      </c>
      <c r="AC12" s="213">
        <v>258</v>
      </c>
      <c r="AD12" s="241">
        <v>14366.180592100001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893</v>
      </c>
      <c r="B13" s="62" t="s">
        <v>396</v>
      </c>
      <c r="C13" s="62" t="s">
        <v>591</v>
      </c>
      <c r="D13" s="62" t="s">
        <v>869</v>
      </c>
      <c r="E13" s="49" t="s">
        <v>765</v>
      </c>
      <c r="F13" s="62" t="str">
        <f t="shared" si="1"/>
        <v>20101</v>
      </c>
      <c r="G13" s="62">
        <v>10620101</v>
      </c>
      <c r="H13" s="49" t="s">
        <v>387</v>
      </c>
      <c r="I13" s="69">
        <v>14</v>
      </c>
      <c r="J13" s="69">
        <v>8.1999999999999993</v>
      </c>
      <c r="K13" s="69">
        <v>9</v>
      </c>
      <c r="L13" s="69">
        <f t="shared" si="2"/>
        <v>1.1479999999999999</v>
      </c>
      <c r="M13" s="69">
        <f t="shared" si="3"/>
        <v>1.26</v>
      </c>
      <c r="N13" s="56">
        <f>INDEX(Rate_Chart!$A$1:$AK$127,MATCH(Data!J13,Rate_Chart!$A$1:$A$127,0),MATCH(Data!K13,Rate_Chart!$A$1:$AK$1,0))</f>
        <v>68.469999999999985</v>
      </c>
      <c r="O13" s="57">
        <f t="shared" si="4"/>
        <v>958.57999999999981</v>
      </c>
      <c r="P13" s="58">
        <f t="shared" si="5"/>
        <v>482.18309859154925</v>
      </c>
      <c r="Q13" s="58">
        <f t="shared" si="6"/>
        <v>321.45539906103284</v>
      </c>
      <c r="R13" s="66">
        <f t="shared" si="0"/>
        <v>16.77515</v>
      </c>
      <c r="S13" s="64">
        <f t="shared" si="7"/>
        <v>52.5</v>
      </c>
      <c r="T13" s="66">
        <f t="shared" si="8"/>
        <v>1027.8551499999999</v>
      </c>
      <c r="U13" s="68">
        <f t="shared" si="9"/>
        <v>73.418224999999993</v>
      </c>
      <c r="V13" s="68">
        <f t="shared" si="10"/>
        <v>517.02975352112674</v>
      </c>
      <c r="W13" s="68">
        <f t="shared" si="11"/>
        <v>344.68650234741784</v>
      </c>
      <c r="Z13" s="213">
        <v>10620014</v>
      </c>
      <c r="AA13" s="213" t="s">
        <v>713</v>
      </c>
      <c r="AB13" s="213" t="s">
        <v>355</v>
      </c>
      <c r="AC13" s="213">
        <v>336</v>
      </c>
      <c r="AD13" s="241">
        <v>15277.132575399999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893</v>
      </c>
      <c r="B14" s="62" t="s">
        <v>396</v>
      </c>
      <c r="C14" s="62" t="s">
        <v>591</v>
      </c>
      <c r="D14" s="62" t="s">
        <v>869</v>
      </c>
      <c r="E14" s="49" t="s">
        <v>765</v>
      </c>
      <c r="F14" s="62" t="str">
        <f t="shared" si="1"/>
        <v>20101</v>
      </c>
      <c r="G14" s="62">
        <v>10620101</v>
      </c>
      <c r="H14" s="49" t="s">
        <v>388</v>
      </c>
      <c r="I14" s="69">
        <v>13</v>
      </c>
      <c r="J14" s="69">
        <v>3</v>
      </c>
      <c r="K14" s="69">
        <v>8</v>
      </c>
      <c r="L14" s="69">
        <f t="shared" si="2"/>
        <v>0.39</v>
      </c>
      <c r="M14" s="69">
        <f t="shared" si="3"/>
        <v>1.04</v>
      </c>
      <c r="N14" s="56">
        <f>INDEX(Rate_Chart!$A$1:$AK$127,MATCH(Data!J14,Rate_Chart!$A$1:$A$127,0),MATCH(Data!K14,Rate_Chart!$A$1:$AK$1,0))</f>
        <v>34.751112000000006</v>
      </c>
      <c r="O14" s="57">
        <f t="shared" si="4"/>
        <v>451.76445600000011</v>
      </c>
      <c r="P14" s="58">
        <f t="shared" si="5"/>
        <v>417.01334400000002</v>
      </c>
      <c r="Q14" s="58">
        <f t="shared" si="6"/>
        <v>278.00889599999999</v>
      </c>
      <c r="R14" s="66">
        <f t="shared" si="0"/>
        <v>7.9058779800000023</v>
      </c>
      <c r="S14" s="64">
        <f t="shared" si="7"/>
        <v>48.75</v>
      </c>
      <c r="T14" s="66">
        <f t="shared" si="8"/>
        <v>508.42033398000012</v>
      </c>
      <c r="U14" s="68">
        <f t="shared" si="9"/>
        <v>39.109256460000012</v>
      </c>
      <c r="V14" s="68">
        <f t="shared" si="10"/>
        <v>469.31107752000008</v>
      </c>
      <c r="W14" s="68">
        <f t="shared" si="11"/>
        <v>312.87405168000004</v>
      </c>
      <c r="Z14" s="213">
        <v>10620015</v>
      </c>
      <c r="AA14" s="213" t="s">
        <v>714</v>
      </c>
      <c r="AB14" s="213" t="s">
        <v>371</v>
      </c>
      <c r="AC14" s="213">
        <v>619</v>
      </c>
      <c r="AD14" s="241">
        <v>27359.980511400001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893</v>
      </c>
      <c r="B15" s="62" t="s">
        <v>397</v>
      </c>
      <c r="C15" s="62" t="s">
        <v>591</v>
      </c>
      <c r="D15" s="62" t="s">
        <v>869</v>
      </c>
      <c r="E15" s="49" t="s">
        <v>765</v>
      </c>
      <c r="F15" s="62" t="str">
        <f t="shared" si="1"/>
        <v>20101</v>
      </c>
      <c r="G15" s="62">
        <v>10620101</v>
      </c>
      <c r="H15" s="49" t="s">
        <v>387</v>
      </c>
      <c r="I15" s="69">
        <v>11</v>
      </c>
      <c r="J15" s="69">
        <v>6.8</v>
      </c>
      <c r="K15" s="69">
        <v>8.8000000000000007</v>
      </c>
      <c r="L15" s="69">
        <f t="shared" si="2"/>
        <v>0.748</v>
      </c>
      <c r="M15" s="69">
        <f t="shared" si="3"/>
        <v>0.96800000000000008</v>
      </c>
      <c r="N15" s="56">
        <f>INDEX(Rate_Chart!$A$1:$AK$127,MATCH(Data!J15,Rate_Chart!$A$1:$A$127,0),MATCH(Data!K15,Rate_Chart!$A$1:$AK$1,0))</f>
        <v>56.212200000000003</v>
      </c>
      <c r="O15" s="57">
        <f t="shared" si="4"/>
        <v>618.33420000000001</v>
      </c>
      <c r="P15" s="58">
        <f t="shared" si="5"/>
        <v>443.78052631578947</v>
      </c>
      <c r="Q15" s="58">
        <f t="shared" si="6"/>
        <v>295.8536842105263</v>
      </c>
      <c r="R15" s="66">
        <f t="shared" si="0"/>
        <v>10.8208485</v>
      </c>
      <c r="S15" s="64">
        <f t="shared" si="7"/>
        <v>41.25</v>
      </c>
      <c r="T15" s="66">
        <f t="shared" si="8"/>
        <v>670.40504850000002</v>
      </c>
      <c r="U15" s="68">
        <f t="shared" si="9"/>
        <v>60.945913500000003</v>
      </c>
      <c r="V15" s="68">
        <f t="shared" si="10"/>
        <v>481.15194868421054</v>
      </c>
      <c r="W15" s="68">
        <f t="shared" si="11"/>
        <v>320.76796578947369</v>
      </c>
      <c r="Z15" s="213">
        <v>10620016</v>
      </c>
      <c r="AA15" s="213" t="s">
        <v>715</v>
      </c>
      <c r="AB15" s="213" t="s">
        <v>366</v>
      </c>
      <c r="AC15" s="213">
        <v>282</v>
      </c>
      <c r="AD15" s="241">
        <v>13512.368648000001</v>
      </c>
    </row>
    <row r="16" spans="1:44" x14ac:dyDescent="0.25">
      <c r="A16" s="168" t="s">
        <v>894</v>
      </c>
      <c r="B16" s="62" t="s">
        <v>396</v>
      </c>
      <c r="C16" s="62" t="s">
        <v>591</v>
      </c>
      <c r="D16" s="62" t="s">
        <v>869</v>
      </c>
      <c r="E16" s="49" t="s">
        <v>765</v>
      </c>
      <c r="F16" s="62" t="str">
        <f t="shared" si="1"/>
        <v>20101</v>
      </c>
      <c r="G16" s="62">
        <v>10620101</v>
      </c>
      <c r="H16" s="49" t="s">
        <v>388</v>
      </c>
      <c r="I16" s="69">
        <v>12</v>
      </c>
      <c r="J16" s="69">
        <v>4.9000000000000004</v>
      </c>
      <c r="K16" s="69">
        <v>8.3000000000000007</v>
      </c>
      <c r="L16" s="69">
        <f t="shared" si="2"/>
        <v>0.58800000000000008</v>
      </c>
      <c r="M16" s="69">
        <f t="shared" si="3"/>
        <v>0.99600000000000011</v>
      </c>
      <c r="N16" s="56">
        <f>INDEX(Rate_Chart!$A$1:$AK$127,MATCH(Data!J16,Rate_Chart!$A$1:$A$127,0),MATCH(Data!K16,Rate_Chart!$A$1:$AK$1,0))</f>
        <v>43.508153700000008</v>
      </c>
      <c r="O16" s="57">
        <f t="shared" si="4"/>
        <v>522.0978444000001</v>
      </c>
      <c r="P16" s="58">
        <f t="shared" si="5"/>
        <v>417.01105782747612</v>
      </c>
      <c r="Q16" s="58">
        <f t="shared" si="6"/>
        <v>278.00737188498408</v>
      </c>
      <c r="R16" s="66">
        <f t="shared" si="0"/>
        <v>9.1367122770000027</v>
      </c>
      <c r="S16" s="64">
        <f t="shared" si="7"/>
        <v>45</v>
      </c>
      <c r="T16" s="66">
        <f t="shared" si="8"/>
        <v>576.23455667700011</v>
      </c>
      <c r="U16" s="68">
        <f t="shared" si="9"/>
        <v>48.019546389750012</v>
      </c>
      <c r="V16" s="68">
        <f t="shared" si="10"/>
        <v>460.25124335223654</v>
      </c>
      <c r="W16" s="68">
        <f t="shared" si="11"/>
        <v>306.83416223482436</v>
      </c>
      <c r="Z16" s="213">
        <v>10620017</v>
      </c>
      <c r="AA16" s="213" t="s">
        <v>716</v>
      </c>
      <c r="AB16" s="213" t="s">
        <v>377</v>
      </c>
      <c r="AC16" s="213">
        <v>306</v>
      </c>
      <c r="AD16" s="241">
        <v>10689.301272000002</v>
      </c>
    </row>
    <row r="17" spans="1:30" x14ac:dyDescent="0.25">
      <c r="A17" s="168" t="s">
        <v>894</v>
      </c>
      <c r="B17" s="62" t="s">
        <v>397</v>
      </c>
      <c r="C17" s="62" t="s">
        <v>591</v>
      </c>
      <c r="D17" s="62" t="s">
        <v>869</v>
      </c>
      <c r="E17" s="49" t="s">
        <v>765</v>
      </c>
      <c r="F17" s="62" t="str">
        <f t="shared" si="1"/>
        <v>20101</v>
      </c>
      <c r="G17" s="62">
        <v>10620101</v>
      </c>
      <c r="H17" s="49" t="s">
        <v>387</v>
      </c>
      <c r="I17" s="69">
        <v>16</v>
      </c>
      <c r="J17" s="69">
        <v>6.3</v>
      </c>
      <c r="K17" s="69">
        <v>8.8000000000000007</v>
      </c>
      <c r="L17" s="69">
        <f t="shared" si="2"/>
        <v>1.008</v>
      </c>
      <c r="M17" s="69">
        <f t="shared" si="3"/>
        <v>1.4080000000000001</v>
      </c>
      <c r="N17" s="56">
        <f>INDEX(Rate_Chart!$A$1:$AK$127,MATCH(Data!J17,Rate_Chart!$A$1:$A$127,0),MATCH(Data!K17,Rate_Chart!$A$1:$AK$1,0))</f>
        <v>52.078949999999999</v>
      </c>
      <c r="O17" s="57">
        <f t="shared" si="4"/>
        <v>833.26319999999998</v>
      </c>
      <c r="P17" s="58">
        <f t="shared" si="5"/>
        <v>428.04616438356163</v>
      </c>
      <c r="Q17" s="58">
        <f t="shared" si="6"/>
        <v>285.36410958904111</v>
      </c>
      <c r="R17" s="66">
        <f t="shared" si="0"/>
        <v>14.582106000000001</v>
      </c>
      <c r="S17" s="64">
        <f t="shared" si="7"/>
        <v>60</v>
      </c>
      <c r="T17" s="66">
        <f t="shared" si="8"/>
        <v>907.84530599999994</v>
      </c>
      <c r="U17" s="68">
        <f t="shared" si="9"/>
        <v>56.740331624999996</v>
      </c>
      <c r="V17" s="68">
        <f t="shared" si="10"/>
        <v>466.35889006849311</v>
      </c>
      <c r="W17" s="68">
        <f t="shared" si="11"/>
        <v>310.90592671232872</v>
      </c>
      <c r="Z17" s="213">
        <v>10620019</v>
      </c>
      <c r="AA17" s="213" t="s">
        <v>717</v>
      </c>
      <c r="AB17" s="213" t="s">
        <v>383</v>
      </c>
      <c r="AC17" s="213">
        <v>1507</v>
      </c>
      <c r="AD17" s="241">
        <v>69087.579810399999</v>
      </c>
    </row>
    <row r="18" spans="1:30" x14ac:dyDescent="0.25">
      <c r="A18" s="168" t="s">
        <v>888</v>
      </c>
      <c r="B18" s="62" t="s">
        <v>396</v>
      </c>
      <c r="C18" s="62" t="s">
        <v>591</v>
      </c>
      <c r="D18" s="62" t="s">
        <v>592</v>
      </c>
      <c r="E18" s="49" t="s">
        <v>766</v>
      </c>
      <c r="F18" s="62" t="str">
        <f t="shared" si="1"/>
        <v>20102</v>
      </c>
      <c r="G18" s="62">
        <v>10620102</v>
      </c>
      <c r="H18" s="49" t="s">
        <v>387</v>
      </c>
      <c r="I18" s="69">
        <v>34</v>
      </c>
      <c r="J18" s="69">
        <v>6</v>
      </c>
      <c r="K18" s="69">
        <v>8.6</v>
      </c>
      <c r="L18" s="69">
        <f t="shared" si="2"/>
        <v>2.04</v>
      </c>
      <c r="M18" s="69">
        <f t="shared" si="3"/>
        <v>2.9239999999999999</v>
      </c>
      <c r="N18" s="56">
        <f>INDEX(Rate_Chart!$A$1:$AK$127,MATCH(Data!J18,Rate_Chart!$A$1:$A$127,0),MATCH(Data!K18,Rate_Chart!$A$1:$AK$1,0))</f>
        <v>49.097999999999999</v>
      </c>
      <c r="O18" s="57">
        <f t="shared" si="4"/>
        <v>1669.3319999999999</v>
      </c>
      <c r="P18" s="58">
        <f t="shared" si="5"/>
        <v>418.44886363636368</v>
      </c>
      <c r="Q18" s="58">
        <f t="shared" si="6"/>
        <v>278.96590909090912</v>
      </c>
      <c r="R18" s="66">
        <f t="shared" si="0"/>
        <v>29.21331</v>
      </c>
      <c r="S18" s="64">
        <f t="shared" si="7"/>
        <v>127.5</v>
      </c>
      <c r="T18" s="66">
        <f t="shared" si="8"/>
        <v>1826.04531</v>
      </c>
      <c r="U18" s="68">
        <f t="shared" si="9"/>
        <v>53.707214999999998</v>
      </c>
      <c r="V18" s="68">
        <f t="shared" si="10"/>
        <v>457.7319460227273</v>
      </c>
      <c r="W18" s="68">
        <f t="shared" si="11"/>
        <v>305.15463068181822</v>
      </c>
      <c r="Z18" s="213">
        <v>10620020</v>
      </c>
      <c r="AA18" s="213" t="s">
        <v>718</v>
      </c>
      <c r="AB18" s="213" t="s">
        <v>596</v>
      </c>
      <c r="AC18" s="213">
        <v>103</v>
      </c>
      <c r="AD18" s="241">
        <v>5626.1297999999997</v>
      </c>
    </row>
    <row r="19" spans="1:30" x14ac:dyDescent="0.25">
      <c r="A19" s="168" t="s">
        <v>888</v>
      </c>
      <c r="B19" s="62" t="s">
        <v>397</v>
      </c>
      <c r="C19" s="62" t="s">
        <v>591</v>
      </c>
      <c r="D19" s="62" t="s">
        <v>592</v>
      </c>
      <c r="E19" s="49" t="s">
        <v>766</v>
      </c>
      <c r="F19" s="62" t="str">
        <f t="shared" si="1"/>
        <v>20102</v>
      </c>
      <c r="G19" s="62">
        <v>10620102</v>
      </c>
      <c r="H19" s="49" t="s">
        <v>387</v>
      </c>
      <c r="I19" s="69">
        <v>22</v>
      </c>
      <c r="J19" s="69">
        <v>6.2</v>
      </c>
      <c r="K19" s="69">
        <v>8.8000000000000007</v>
      </c>
      <c r="L19" s="69">
        <f t="shared" si="2"/>
        <v>1.3640000000000001</v>
      </c>
      <c r="M19" s="69">
        <f t="shared" si="3"/>
        <v>1.9360000000000002</v>
      </c>
      <c r="N19" s="56">
        <f>INDEX(Rate_Chart!$A$1:$AK$127,MATCH(Data!J19,Rate_Chart!$A$1:$A$127,0),MATCH(Data!K19,Rate_Chart!$A$1:$AK$1,0))</f>
        <v>51.252300000000005</v>
      </c>
      <c r="O19" s="57">
        <f t="shared" si="4"/>
        <v>1127.5506</v>
      </c>
      <c r="P19" s="58">
        <f t="shared" si="5"/>
        <v>424.74281767955802</v>
      </c>
      <c r="Q19" s="58">
        <f t="shared" si="6"/>
        <v>283.1618784530387</v>
      </c>
      <c r="R19" s="66">
        <f t="shared" ref="R19:R68" si="15">O19*1.75%</f>
        <v>19.732135500000002</v>
      </c>
      <c r="S19" s="64">
        <f t="shared" si="7"/>
        <v>82.5</v>
      </c>
      <c r="T19" s="66">
        <f t="shared" si="8"/>
        <v>1229.7827354999999</v>
      </c>
      <c r="U19" s="68">
        <f t="shared" si="9"/>
        <v>55.899215249999997</v>
      </c>
      <c r="V19" s="68">
        <f t="shared" si="10"/>
        <v>463.25316505524859</v>
      </c>
      <c r="W19" s="68">
        <f t="shared" si="11"/>
        <v>308.83544337016571</v>
      </c>
      <c r="Z19" s="213">
        <v>10620023</v>
      </c>
      <c r="AA19" s="213" t="s">
        <v>719</v>
      </c>
      <c r="AB19" s="213" t="s">
        <v>348</v>
      </c>
      <c r="AC19" s="213">
        <v>264</v>
      </c>
      <c r="AD19" s="241">
        <v>12127.556768300001</v>
      </c>
    </row>
    <row r="20" spans="1:30" x14ac:dyDescent="0.25">
      <c r="A20" s="168" t="s">
        <v>889</v>
      </c>
      <c r="B20" s="62" t="s">
        <v>396</v>
      </c>
      <c r="C20" s="62" t="s">
        <v>591</v>
      </c>
      <c r="D20" s="62" t="s">
        <v>592</v>
      </c>
      <c r="E20" s="49" t="s">
        <v>766</v>
      </c>
      <c r="F20" s="62" t="str">
        <f t="shared" si="1"/>
        <v>20102</v>
      </c>
      <c r="G20" s="62">
        <v>10620102</v>
      </c>
      <c r="H20" s="49" t="s">
        <v>387</v>
      </c>
      <c r="I20" s="69">
        <v>31</v>
      </c>
      <c r="J20" s="69">
        <v>6</v>
      </c>
      <c r="K20" s="69">
        <v>8.6</v>
      </c>
      <c r="L20" s="69">
        <f t="shared" si="2"/>
        <v>1.86</v>
      </c>
      <c r="M20" s="69">
        <f t="shared" si="3"/>
        <v>2.6659999999999995</v>
      </c>
      <c r="N20" s="56">
        <f>INDEX(Rate_Chart!$A$1:$AK$127,MATCH(Data!J20,Rate_Chart!$A$1:$A$127,0),MATCH(Data!K20,Rate_Chart!$A$1:$AK$1,0))</f>
        <v>49.097999999999999</v>
      </c>
      <c r="O20" s="57">
        <f t="shared" si="4"/>
        <v>1522.038</v>
      </c>
      <c r="P20" s="58">
        <f t="shared" si="5"/>
        <v>418.44886363636368</v>
      </c>
      <c r="Q20" s="58">
        <f t="shared" si="6"/>
        <v>278.96590909090912</v>
      </c>
      <c r="R20" s="66">
        <f t="shared" si="15"/>
        <v>26.635665000000003</v>
      </c>
      <c r="S20" s="64">
        <f t="shared" si="7"/>
        <v>116.25</v>
      </c>
      <c r="T20" s="66">
        <f t="shared" si="8"/>
        <v>1664.923665</v>
      </c>
      <c r="U20" s="68">
        <f t="shared" si="9"/>
        <v>53.707214999999998</v>
      </c>
      <c r="V20" s="68">
        <f t="shared" si="10"/>
        <v>457.7319460227273</v>
      </c>
      <c r="W20" s="68">
        <f t="shared" si="11"/>
        <v>305.15463068181822</v>
      </c>
      <c r="Z20" s="213">
        <v>10620024</v>
      </c>
      <c r="AA20" s="213" t="s">
        <v>720</v>
      </c>
      <c r="AB20" s="213" t="s">
        <v>349</v>
      </c>
      <c r="AC20" s="213">
        <v>121</v>
      </c>
      <c r="AD20" s="241">
        <v>4546.1795946000011</v>
      </c>
    </row>
    <row r="21" spans="1:30" x14ac:dyDescent="0.25">
      <c r="A21" s="168" t="s">
        <v>889</v>
      </c>
      <c r="B21" s="62" t="s">
        <v>397</v>
      </c>
      <c r="C21" s="62" t="s">
        <v>591</v>
      </c>
      <c r="D21" s="62" t="s">
        <v>592</v>
      </c>
      <c r="E21" s="49" t="s">
        <v>766</v>
      </c>
      <c r="F21" s="62" t="str">
        <f t="shared" si="1"/>
        <v>20102</v>
      </c>
      <c r="G21" s="62">
        <v>10620102</v>
      </c>
      <c r="H21" s="49" t="s">
        <v>388</v>
      </c>
      <c r="I21" s="69">
        <v>16</v>
      </c>
      <c r="J21" s="69">
        <v>4.5</v>
      </c>
      <c r="K21" s="69">
        <v>8.1</v>
      </c>
      <c r="L21" s="69">
        <f t="shared" si="2"/>
        <v>0.72</v>
      </c>
      <c r="M21" s="69">
        <f t="shared" si="3"/>
        <v>1.296</v>
      </c>
      <c r="N21" s="56">
        <f>INDEX(Rate_Chart!$A$1:$AK$127,MATCH(Data!J21,Rate_Chart!$A$1:$A$127,0),MATCH(Data!K21,Rate_Chart!$A$1:$AK$1,0))</f>
        <v>41.284125900000006</v>
      </c>
      <c r="O21" s="57">
        <f t="shared" si="4"/>
        <v>660.5460144000001</v>
      </c>
      <c r="P21" s="58">
        <f t="shared" si="5"/>
        <v>417.01137272727277</v>
      </c>
      <c r="Q21" s="58">
        <f t="shared" si="6"/>
        <v>278.00758181818185</v>
      </c>
      <c r="R21" s="66">
        <f t="shared" si="15"/>
        <v>11.559555252000003</v>
      </c>
      <c r="S21" s="64">
        <f t="shared" si="7"/>
        <v>60</v>
      </c>
      <c r="T21" s="66">
        <f t="shared" si="8"/>
        <v>732.1055696520001</v>
      </c>
      <c r="U21" s="68">
        <f t="shared" si="9"/>
        <v>45.756598103250006</v>
      </c>
      <c r="V21" s="68">
        <f t="shared" si="10"/>
        <v>462.18785962878792</v>
      </c>
      <c r="W21" s="68">
        <f t="shared" si="11"/>
        <v>308.12523975252526</v>
      </c>
      <c r="Z21" s="213">
        <v>10620025</v>
      </c>
      <c r="AA21" s="213" t="s">
        <v>721</v>
      </c>
      <c r="AB21" s="213" t="s">
        <v>350</v>
      </c>
      <c r="AC21" s="213">
        <v>415</v>
      </c>
      <c r="AD21" s="241">
        <v>17118.321960600002</v>
      </c>
    </row>
    <row r="22" spans="1:30" x14ac:dyDescent="0.25">
      <c r="A22" s="168" t="s">
        <v>890</v>
      </c>
      <c r="B22" s="62" t="s">
        <v>396</v>
      </c>
      <c r="C22" s="62" t="s">
        <v>591</v>
      </c>
      <c r="D22" s="62" t="s">
        <v>592</v>
      </c>
      <c r="E22" s="49" t="s">
        <v>766</v>
      </c>
      <c r="F22" s="62" t="str">
        <f t="shared" si="1"/>
        <v>20102</v>
      </c>
      <c r="G22" s="62">
        <v>10620102</v>
      </c>
      <c r="H22" s="49" t="s">
        <v>387</v>
      </c>
      <c r="I22" s="69">
        <v>19</v>
      </c>
      <c r="J22" s="69">
        <v>6.7</v>
      </c>
      <c r="K22" s="69">
        <v>8.8000000000000007</v>
      </c>
      <c r="L22" s="69">
        <f t="shared" si="2"/>
        <v>1.2729999999999999</v>
      </c>
      <c r="M22" s="69">
        <f t="shared" si="3"/>
        <v>1.6720000000000002</v>
      </c>
      <c r="N22" s="56">
        <f>INDEX(Rate_Chart!$A$1:$AK$127,MATCH(Data!J22,Rate_Chart!$A$1:$A$127,0),MATCH(Data!K22,Rate_Chart!$A$1:$AK$1,0))</f>
        <v>55.385550000000002</v>
      </c>
      <c r="O22" s="57">
        <f t="shared" si="4"/>
        <v>1052.32545</v>
      </c>
      <c r="P22" s="58">
        <f t="shared" si="5"/>
        <v>440.73381962864721</v>
      </c>
      <c r="Q22" s="58">
        <f t="shared" si="6"/>
        <v>293.82254641909816</v>
      </c>
      <c r="R22" s="66">
        <f t="shared" si="15"/>
        <v>18.415695375000002</v>
      </c>
      <c r="S22" s="64">
        <f t="shared" si="7"/>
        <v>71.25</v>
      </c>
      <c r="T22" s="66">
        <f t="shared" si="8"/>
        <v>1141.9911453750001</v>
      </c>
      <c r="U22" s="68">
        <f t="shared" si="9"/>
        <v>60.104797125000005</v>
      </c>
      <c r="V22" s="68">
        <f t="shared" si="10"/>
        <v>478.28751027851456</v>
      </c>
      <c r="W22" s="68">
        <f t="shared" si="11"/>
        <v>318.85834018567635</v>
      </c>
      <c r="Z22" s="213">
        <v>10620026</v>
      </c>
      <c r="AA22" s="213" t="s">
        <v>722</v>
      </c>
      <c r="AB22" s="213" t="s">
        <v>368</v>
      </c>
      <c r="AC22" s="213">
        <v>676</v>
      </c>
      <c r="AD22" s="241">
        <v>30875.430495600001</v>
      </c>
    </row>
    <row r="23" spans="1:30" x14ac:dyDescent="0.25">
      <c r="A23" s="168" t="s">
        <v>890</v>
      </c>
      <c r="B23" s="62" t="s">
        <v>397</v>
      </c>
      <c r="C23" s="62" t="s">
        <v>591</v>
      </c>
      <c r="D23" s="62" t="s">
        <v>592</v>
      </c>
      <c r="E23" s="49" t="s">
        <v>766</v>
      </c>
      <c r="F23" s="62" t="str">
        <f t="shared" si="1"/>
        <v>20102</v>
      </c>
      <c r="G23" s="62">
        <v>10620102</v>
      </c>
      <c r="H23" s="49" t="s">
        <v>387</v>
      </c>
      <c r="I23" s="69">
        <v>23</v>
      </c>
      <c r="J23" s="69">
        <v>5.8</v>
      </c>
      <c r="K23" s="69">
        <v>8.6</v>
      </c>
      <c r="L23" s="69">
        <f t="shared" si="2"/>
        <v>1.3340000000000001</v>
      </c>
      <c r="M23" s="69">
        <f t="shared" si="3"/>
        <v>1.9779999999999998</v>
      </c>
      <c r="N23" s="56">
        <f>INDEX(Rate_Chart!$A$1:$AK$127,MATCH(Data!J23,Rate_Chart!$A$1:$A$127,0),MATCH(Data!K23,Rate_Chart!$A$1:$AK$1,0))</f>
        <v>47.461399999999998</v>
      </c>
      <c r="O23" s="57">
        <f t="shared" si="4"/>
        <v>1091.6122</v>
      </c>
      <c r="P23" s="58">
        <f t="shared" si="5"/>
        <v>411.51502890173413</v>
      </c>
      <c r="Q23" s="58">
        <f t="shared" si="6"/>
        <v>274.34335260115608</v>
      </c>
      <c r="R23" s="66">
        <f t="shared" si="15"/>
        <v>19.103213500000003</v>
      </c>
      <c r="S23" s="64">
        <f t="shared" si="7"/>
        <v>86.25</v>
      </c>
      <c r="T23" s="66">
        <f t="shared" si="8"/>
        <v>1196.9654135000001</v>
      </c>
      <c r="U23" s="68">
        <f t="shared" si="9"/>
        <v>52.041974500000002</v>
      </c>
      <c r="V23" s="68">
        <f t="shared" si="10"/>
        <v>451.23099277456657</v>
      </c>
      <c r="W23" s="68">
        <f t="shared" si="11"/>
        <v>300.82066184971103</v>
      </c>
      <c r="Z23" s="213">
        <v>10620028</v>
      </c>
      <c r="AA23" s="213" t="s">
        <v>896</v>
      </c>
      <c r="AB23" s="213" t="s">
        <v>895</v>
      </c>
      <c r="AC23" s="213">
        <v>25</v>
      </c>
      <c r="AD23" s="241">
        <v>1059.903495</v>
      </c>
    </row>
    <row r="24" spans="1:30" x14ac:dyDescent="0.25">
      <c r="A24" s="168" t="s">
        <v>891</v>
      </c>
      <c r="B24" s="62" t="s">
        <v>396</v>
      </c>
      <c r="C24" s="62" t="s">
        <v>591</v>
      </c>
      <c r="D24" s="62" t="s">
        <v>592</v>
      </c>
      <c r="E24" s="49" t="s">
        <v>766</v>
      </c>
      <c r="F24" s="62" t="str">
        <f t="shared" si="1"/>
        <v>20102</v>
      </c>
      <c r="G24" s="62">
        <v>10620102</v>
      </c>
      <c r="H24" s="49" t="s">
        <v>387</v>
      </c>
      <c r="I24" s="69">
        <v>28</v>
      </c>
      <c r="J24" s="69">
        <v>5.6</v>
      </c>
      <c r="K24" s="69">
        <v>8.4</v>
      </c>
      <c r="L24" s="69">
        <f t="shared" si="2"/>
        <v>1.5679999999999998</v>
      </c>
      <c r="M24" s="69">
        <f t="shared" si="3"/>
        <v>2.3520000000000003</v>
      </c>
      <c r="N24" s="56">
        <f>INDEX(Rate_Chart!$A$1:$AK$127,MATCH(Data!J24,Rate_Chart!$A$1:$A$127,0),MATCH(Data!K24,Rate_Chart!$A$1:$AK$1,0))</f>
        <v>45.357199999999999</v>
      </c>
      <c r="O24" s="57">
        <f t="shared" si="4"/>
        <v>1270.0016000000001</v>
      </c>
      <c r="P24" s="58">
        <f t="shared" si="5"/>
        <v>404.97500000000002</v>
      </c>
      <c r="Q24" s="58">
        <f t="shared" si="6"/>
        <v>269.98333333333335</v>
      </c>
      <c r="R24" s="66">
        <f t="shared" si="15"/>
        <v>22.225028000000002</v>
      </c>
      <c r="S24" s="64">
        <f t="shared" si="7"/>
        <v>105</v>
      </c>
      <c r="T24" s="66">
        <f t="shared" si="8"/>
        <v>1397.2266280000001</v>
      </c>
      <c r="U24" s="68">
        <f t="shared" si="9"/>
        <v>49.900951000000006</v>
      </c>
      <c r="V24" s="68">
        <f t="shared" si="10"/>
        <v>445.54420535714297</v>
      </c>
      <c r="W24" s="68">
        <f t="shared" si="11"/>
        <v>297.02947023809531</v>
      </c>
      <c r="Z24" s="213">
        <v>10620029</v>
      </c>
      <c r="AA24" s="213" t="s">
        <v>723</v>
      </c>
      <c r="AB24" s="213" t="s">
        <v>375</v>
      </c>
      <c r="AC24" s="213">
        <v>1380</v>
      </c>
      <c r="AD24" s="241">
        <v>60165.660175700003</v>
      </c>
    </row>
    <row r="25" spans="1:30" x14ac:dyDescent="0.25">
      <c r="A25" s="168" t="s">
        <v>891</v>
      </c>
      <c r="B25" s="62" t="s">
        <v>397</v>
      </c>
      <c r="C25" s="62" t="s">
        <v>591</v>
      </c>
      <c r="D25" s="62" t="s">
        <v>592</v>
      </c>
      <c r="E25" s="49" t="s">
        <v>766</v>
      </c>
      <c r="F25" s="62" t="str">
        <f t="shared" si="1"/>
        <v>20102</v>
      </c>
      <c r="G25" s="62">
        <v>10620102</v>
      </c>
      <c r="H25" s="49" t="s">
        <v>387</v>
      </c>
      <c r="I25" s="69">
        <v>31</v>
      </c>
      <c r="J25" s="69">
        <v>6.1</v>
      </c>
      <c r="K25" s="69">
        <v>8.8000000000000007</v>
      </c>
      <c r="L25" s="69">
        <f t="shared" si="2"/>
        <v>1.891</v>
      </c>
      <c r="M25" s="69">
        <f t="shared" si="3"/>
        <v>2.7280000000000002</v>
      </c>
      <c r="N25" s="56">
        <f>INDEX(Rate_Chart!$A$1:$AK$127,MATCH(Data!J25,Rate_Chart!$A$1:$A$127,0),MATCH(Data!K25,Rate_Chart!$A$1:$AK$1,0))</f>
        <v>50.425650000000005</v>
      </c>
      <c r="O25" s="57">
        <f t="shared" si="4"/>
        <v>1563.1951500000002</v>
      </c>
      <c r="P25" s="58">
        <f t="shared" si="5"/>
        <v>421.38426183844012</v>
      </c>
      <c r="Q25" s="58">
        <f t="shared" si="6"/>
        <v>280.92284122562677</v>
      </c>
      <c r="R25" s="66">
        <f t="shared" si="15"/>
        <v>27.355915125000006</v>
      </c>
      <c r="S25" s="64">
        <f t="shared" si="7"/>
        <v>116.25</v>
      </c>
      <c r="T25" s="66">
        <f t="shared" si="8"/>
        <v>1706.8010651250002</v>
      </c>
      <c r="U25" s="68">
        <f t="shared" si="9"/>
        <v>55.058098875000006</v>
      </c>
      <c r="V25" s="68">
        <f t="shared" si="10"/>
        <v>460.09553377437328</v>
      </c>
      <c r="W25" s="68">
        <f t="shared" si="11"/>
        <v>306.73035584958217</v>
      </c>
      <c r="Z25" s="213">
        <v>10620030</v>
      </c>
      <c r="AA25" s="213" t="s">
        <v>724</v>
      </c>
      <c r="AB25" s="213" t="s">
        <v>363</v>
      </c>
      <c r="AC25" s="213">
        <v>1259</v>
      </c>
      <c r="AD25" s="241">
        <v>53785.579776099999</v>
      </c>
    </row>
    <row r="26" spans="1:30" x14ac:dyDescent="0.25">
      <c r="A26" s="168" t="s">
        <v>891</v>
      </c>
      <c r="B26" s="62" t="s">
        <v>397</v>
      </c>
      <c r="C26" s="62" t="s">
        <v>591</v>
      </c>
      <c r="D26" s="62" t="s">
        <v>592</v>
      </c>
      <c r="E26" s="49" t="s">
        <v>766</v>
      </c>
      <c r="F26" s="62" t="str">
        <f t="shared" si="1"/>
        <v>20102</v>
      </c>
      <c r="G26" s="62">
        <v>10620102</v>
      </c>
      <c r="H26" s="49" t="s">
        <v>388</v>
      </c>
      <c r="I26" s="69">
        <v>64</v>
      </c>
      <c r="J26" s="69">
        <v>3.1</v>
      </c>
      <c r="K26" s="69">
        <v>8.1</v>
      </c>
      <c r="L26" s="69">
        <f t="shared" si="2"/>
        <v>1.984</v>
      </c>
      <c r="M26" s="69">
        <f t="shared" si="3"/>
        <v>5.1840000000000002</v>
      </c>
      <c r="N26" s="56">
        <f>INDEX(Rate_Chart!$A$1:$AK$127,MATCH(Data!J26,Rate_Chart!$A$1:$A$127,0),MATCH(Data!K26,Rate_Chart!$A$1:$AK$1,0))</f>
        <v>35.446125899999998</v>
      </c>
      <c r="O26" s="57">
        <f t="shared" si="4"/>
        <v>2268.5520575999999</v>
      </c>
      <c r="P26" s="58">
        <f t="shared" si="5"/>
        <v>417.01324588235298</v>
      </c>
      <c r="Q26" s="58">
        <f t="shared" si="6"/>
        <v>278.0088305882353</v>
      </c>
      <c r="R26" s="66">
        <f t="shared" si="15"/>
        <v>39.699661008</v>
      </c>
      <c r="S26" s="64">
        <f t="shared" si="7"/>
        <v>240</v>
      </c>
      <c r="T26" s="66">
        <f t="shared" si="8"/>
        <v>2548.2517186079999</v>
      </c>
      <c r="U26" s="68">
        <f t="shared" si="9"/>
        <v>39.816433103249999</v>
      </c>
      <c r="V26" s="68">
        <f t="shared" si="10"/>
        <v>468.42862474411766</v>
      </c>
      <c r="W26" s="68">
        <f t="shared" si="11"/>
        <v>312.28574982941177</v>
      </c>
      <c r="Z26" s="213">
        <v>10620031</v>
      </c>
      <c r="AA26" s="213" t="s">
        <v>725</v>
      </c>
      <c r="AB26" s="213" t="s">
        <v>376</v>
      </c>
      <c r="AC26" s="213">
        <v>112</v>
      </c>
      <c r="AD26" s="241">
        <v>5015.2243629000004</v>
      </c>
    </row>
    <row r="27" spans="1:30" x14ac:dyDescent="0.25">
      <c r="A27" s="168" t="s">
        <v>892</v>
      </c>
      <c r="B27" s="62" t="s">
        <v>396</v>
      </c>
      <c r="C27" s="62" t="s">
        <v>591</v>
      </c>
      <c r="D27" s="62" t="s">
        <v>592</v>
      </c>
      <c r="E27" s="49" t="s">
        <v>766</v>
      </c>
      <c r="F27" s="62" t="str">
        <f t="shared" si="1"/>
        <v>20102</v>
      </c>
      <c r="G27" s="62">
        <v>10620102</v>
      </c>
      <c r="H27" s="49" t="s">
        <v>387</v>
      </c>
      <c r="I27" s="69">
        <v>11</v>
      </c>
      <c r="J27" s="69">
        <v>6.4</v>
      </c>
      <c r="K27" s="69">
        <v>8.6</v>
      </c>
      <c r="L27" s="69">
        <f t="shared" si="2"/>
        <v>0.70400000000000007</v>
      </c>
      <c r="M27" s="69">
        <f t="shared" si="3"/>
        <v>0.94599999999999995</v>
      </c>
      <c r="N27" s="56">
        <f>INDEX(Rate_Chart!$A$1:$AK$127,MATCH(Data!J27,Rate_Chart!$A$1:$A$127,0),MATCH(Data!K27,Rate_Chart!$A$1:$AK$1,0))</f>
        <v>52.371199999999995</v>
      </c>
      <c r="O27" s="57">
        <f t="shared" si="4"/>
        <v>576.08319999999992</v>
      </c>
      <c r="P27" s="58">
        <f t="shared" si="5"/>
        <v>431.6307692307692</v>
      </c>
      <c r="Q27" s="58">
        <f t="shared" si="6"/>
        <v>287.75384615384615</v>
      </c>
      <c r="R27" s="66">
        <f t="shared" si="15"/>
        <v>10.081455999999999</v>
      </c>
      <c r="S27" s="64">
        <f t="shared" si="7"/>
        <v>41.25</v>
      </c>
      <c r="T27" s="66">
        <f t="shared" si="8"/>
        <v>627.41465599999992</v>
      </c>
      <c r="U27" s="68">
        <f t="shared" si="9"/>
        <v>57.03769599999999</v>
      </c>
      <c r="V27" s="68">
        <f t="shared" si="10"/>
        <v>470.09090109890104</v>
      </c>
      <c r="W27" s="68">
        <f t="shared" si="11"/>
        <v>313.39393406593405</v>
      </c>
      <c r="Z27" s="213">
        <v>10620032</v>
      </c>
      <c r="AA27" s="213" t="s">
        <v>877</v>
      </c>
      <c r="AB27" s="213" t="s">
        <v>873</v>
      </c>
      <c r="AC27" s="213">
        <v>151</v>
      </c>
      <c r="AD27" s="241">
        <v>5723.9120108999996</v>
      </c>
    </row>
    <row r="28" spans="1:30" x14ac:dyDescent="0.25">
      <c r="A28" s="168" t="s">
        <v>892</v>
      </c>
      <c r="B28" s="62" t="s">
        <v>397</v>
      </c>
      <c r="C28" s="62" t="s">
        <v>591</v>
      </c>
      <c r="D28" s="62" t="s">
        <v>592</v>
      </c>
      <c r="E28" s="49" t="s">
        <v>766</v>
      </c>
      <c r="F28" s="62" t="str">
        <f t="shared" si="1"/>
        <v>20102</v>
      </c>
      <c r="G28" s="62">
        <v>10620102</v>
      </c>
      <c r="H28" s="49" t="s">
        <v>388</v>
      </c>
      <c r="I28" s="69">
        <v>19</v>
      </c>
      <c r="J28" s="69">
        <v>5</v>
      </c>
      <c r="K28" s="69">
        <v>8.5</v>
      </c>
      <c r="L28" s="69">
        <f t="shared" si="2"/>
        <v>0.95</v>
      </c>
      <c r="M28" s="69">
        <f t="shared" si="3"/>
        <v>1.615</v>
      </c>
      <c r="N28" s="56">
        <f>INDEX(Rate_Chart!$A$1:$AK$127,MATCH(Data!J28,Rate_Chart!$A$1:$A$127,0),MATCH(Data!K28,Rate_Chart!$A$1:$AK$1,0))</f>
        <v>44.481181500000005</v>
      </c>
      <c r="O28" s="57">
        <f t="shared" si="4"/>
        <v>845.14244850000011</v>
      </c>
      <c r="P28" s="58">
        <f t="shared" si="5"/>
        <v>417.01107656250002</v>
      </c>
      <c r="Q28" s="58">
        <f t="shared" si="6"/>
        <v>278.00738437500002</v>
      </c>
      <c r="R28" s="66">
        <f t="shared" si="15"/>
        <v>14.789992848750003</v>
      </c>
      <c r="S28" s="64">
        <f t="shared" si="7"/>
        <v>71.25</v>
      </c>
      <c r="T28" s="66">
        <f t="shared" si="8"/>
        <v>931.1824413487501</v>
      </c>
      <c r="U28" s="68">
        <f t="shared" si="9"/>
        <v>49.009602176250006</v>
      </c>
      <c r="V28" s="68">
        <f t="shared" si="10"/>
        <v>459.46502040234378</v>
      </c>
      <c r="W28" s="68">
        <f t="shared" si="11"/>
        <v>306.3100136015625</v>
      </c>
      <c r="Z28" s="213">
        <v>10620034</v>
      </c>
      <c r="AA28" s="213" t="s">
        <v>726</v>
      </c>
      <c r="AB28" s="213" t="s">
        <v>359</v>
      </c>
      <c r="AC28" s="213">
        <v>657</v>
      </c>
      <c r="AD28" s="241">
        <v>24180.865079999996</v>
      </c>
    </row>
    <row r="29" spans="1:30" x14ac:dyDescent="0.25">
      <c r="A29" s="168" t="s">
        <v>893</v>
      </c>
      <c r="B29" s="62" t="s">
        <v>396</v>
      </c>
      <c r="C29" s="62" t="s">
        <v>591</v>
      </c>
      <c r="D29" s="62" t="s">
        <v>592</v>
      </c>
      <c r="E29" s="49" t="s">
        <v>766</v>
      </c>
      <c r="F29" s="62" t="str">
        <f t="shared" si="1"/>
        <v>20102</v>
      </c>
      <c r="G29" s="62">
        <v>10620102</v>
      </c>
      <c r="H29" s="49" t="s">
        <v>387</v>
      </c>
      <c r="I29" s="69">
        <v>16</v>
      </c>
      <c r="J29" s="69">
        <v>8</v>
      </c>
      <c r="K29" s="69">
        <v>8.8000000000000007</v>
      </c>
      <c r="L29" s="69">
        <f t="shared" si="2"/>
        <v>1.28</v>
      </c>
      <c r="M29" s="69">
        <f t="shared" si="3"/>
        <v>1.4080000000000001</v>
      </c>
      <c r="N29" s="56">
        <f>INDEX(Rate_Chart!$A$1:$AK$127,MATCH(Data!J29,Rate_Chart!$A$1:$A$127,0),MATCH(Data!K29,Rate_Chart!$A$1:$AK$1,0))</f>
        <v>66.131999999999991</v>
      </c>
      <c r="O29" s="57">
        <f t="shared" si="4"/>
        <v>1058.1119999999999</v>
      </c>
      <c r="P29" s="58">
        <f t="shared" si="5"/>
        <v>476.91346153846149</v>
      </c>
      <c r="Q29" s="58">
        <f t="shared" si="6"/>
        <v>317.94230769230768</v>
      </c>
      <c r="R29" s="66">
        <f t="shared" si="15"/>
        <v>18.516959999999997</v>
      </c>
      <c r="S29" s="64">
        <f t="shared" si="7"/>
        <v>60</v>
      </c>
      <c r="T29" s="66">
        <f t="shared" si="8"/>
        <v>1136.6289599999998</v>
      </c>
      <c r="U29" s="68">
        <f t="shared" si="9"/>
        <v>71.039309999999986</v>
      </c>
      <c r="V29" s="68">
        <f t="shared" si="10"/>
        <v>512.30271634615372</v>
      </c>
      <c r="W29" s="68">
        <f t="shared" si="11"/>
        <v>341.53514423076916</v>
      </c>
      <c r="Z29" s="213">
        <v>10620037</v>
      </c>
      <c r="AA29" s="213" t="s">
        <v>727</v>
      </c>
      <c r="AB29" s="213" t="s">
        <v>358</v>
      </c>
      <c r="AC29" s="213">
        <v>1634</v>
      </c>
      <c r="AD29" s="241">
        <v>71450.761224899994</v>
      </c>
    </row>
    <row r="30" spans="1:30" x14ac:dyDescent="0.25">
      <c r="A30" s="168" t="s">
        <v>893</v>
      </c>
      <c r="B30" s="62" t="s">
        <v>397</v>
      </c>
      <c r="C30" s="62" t="s">
        <v>591</v>
      </c>
      <c r="D30" s="62" t="s">
        <v>592</v>
      </c>
      <c r="E30" s="49" t="s">
        <v>766</v>
      </c>
      <c r="F30" s="62" t="str">
        <f t="shared" si="1"/>
        <v>20102</v>
      </c>
      <c r="G30" s="62">
        <v>10620102</v>
      </c>
      <c r="H30" s="49" t="s">
        <v>387</v>
      </c>
      <c r="I30" s="69">
        <v>20</v>
      </c>
      <c r="J30" s="69">
        <v>6.4</v>
      </c>
      <c r="K30" s="69">
        <v>8.8000000000000007</v>
      </c>
      <c r="L30" s="69">
        <f t="shared" si="2"/>
        <v>1.28</v>
      </c>
      <c r="M30" s="69">
        <f t="shared" si="3"/>
        <v>1.76</v>
      </c>
      <c r="N30" s="56">
        <f>INDEX(Rate_Chart!$A$1:$AK$127,MATCH(Data!J30,Rate_Chart!$A$1:$A$127,0),MATCH(Data!K30,Rate_Chart!$A$1:$AK$1,0))</f>
        <v>52.9056</v>
      </c>
      <c r="O30" s="57">
        <f t="shared" si="4"/>
        <v>1058.1120000000001</v>
      </c>
      <c r="P30" s="58">
        <f t="shared" si="5"/>
        <v>431.29565217391303</v>
      </c>
      <c r="Q30" s="58">
        <f t="shared" si="6"/>
        <v>287.53043478260867</v>
      </c>
      <c r="R30" s="66">
        <f t="shared" si="15"/>
        <v>18.516960000000005</v>
      </c>
      <c r="S30" s="64">
        <f t="shared" si="7"/>
        <v>75</v>
      </c>
      <c r="T30" s="66">
        <f t="shared" si="8"/>
        <v>1151.62896</v>
      </c>
      <c r="U30" s="68">
        <f t="shared" si="9"/>
        <v>57.581448000000002</v>
      </c>
      <c r="V30" s="68">
        <f t="shared" si="10"/>
        <v>469.41397826086956</v>
      </c>
      <c r="W30" s="68">
        <f t="shared" si="11"/>
        <v>312.94265217391302</v>
      </c>
      <c r="Z30" s="213">
        <v>10620038</v>
      </c>
      <c r="AA30" s="213" t="s">
        <v>728</v>
      </c>
      <c r="AB30" s="213" t="s">
        <v>370</v>
      </c>
      <c r="AC30" s="213">
        <v>464</v>
      </c>
      <c r="AD30" s="241">
        <v>20440.465178499999</v>
      </c>
    </row>
    <row r="31" spans="1:30" x14ac:dyDescent="0.25">
      <c r="A31" s="168" t="s">
        <v>894</v>
      </c>
      <c r="B31" s="62" t="s">
        <v>396</v>
      </c>
      <c r="C31" s="62" t="s">
        <v>591</v>
      </c>
      <c r="D31" s="62" t="s">
        <v>592</v>
      </c>
      <c r="E31" s="49" t="s">
        <v>766</v>
      </c>
      <c r="F31" s="62" t="str">
        <f t="shared" si="1"/>
        <v>20102</v>
      </c>
      <c r="G31" s="62">
        <v>10620102</v>
      </c>
      <c r="H31" s="49" t="s">
        <v>387</v>
      </c>
      <c r="I31" s="69">
        <v>28</v>
      </c>
      <c r="J31" s="69">
        <v>6.4</v>
      </c>
      <c r="K31" s="69">
        <v>8.8000000000000007</v>
      </c>
      <c r="L31" s="69">
        <f t="shared" si="2"/>
        <v>1.7920000000000003</v>
      </c>
      <c r="M31" s="69">
        <f t="shared" si="3"/>
        <v>2.4640000000000004</v>
      </c>
      <c r="N31" s="56">
        <f>INDEX(Rate_Chart!$A$1:$AK$127,MATCH(Data!J31,Rate_Chart!$A$1:$A$127,0),MATCH(Data!K31,Rate_Chart!$A$1:$AK$1,0))</f>
        <v>52.9056</v>
      </c>
      <c r="O31" s="57">
        <f t="shared" si="4"/>
        <v>1481.3568</v>
      </c>
      <c r="P31" s="58">
        <f t="shared" si="5"/>
        <v>431.29565217391303</v>
      </c>
      <c r="Q31" s="58">
        <f t="shared" si="6"/>
        <v>287.53043478260867</v>
      </c>
      <c r="R31" s="66">
        <f t="shared" si="15"/>
        <v>25.923744000000003</v>
      </c>
      <c r="S31" s="64">
        <f t="shared" si="7"/>
        <v>105</v>
      </c>
      <c r="T31" s="66">
        <f t="shared" si="8"/>
        <v>1612.280544</v>
      </c>
      <c r="U31" s="68">
        <f t="shared" si="9"/>
        <v>57.581448000000002</v>
      </c>
      <c r="V31" s="68">
        <f t="shared" si="10"/>
        <v>469.41397826086956</v>
      </c>
      <c r="W31" s="68">
        <f t="shared" si="11"/>
        <v>312.94265217391302</v>
      </c>
      <c r="Z31" s="213">
        <v>10620042</v>
      </c>
      <c r="AA31" s="213" t="s">
        <v>729</v>
      </c>
      <c r="AB31" s="213" t="s">
        <v>379</v>
      </c>
      <c r="AC31" s="213">
        <v>1041</v>
      </c>
      <c r="AD31" s="241">
        <v>45303.967344000004</v>
      </c>
    </row>
    <row r="32" spans="1:30" x14ac:dyDescent="0.25">
      <c r="A32" s="168" t="s">
        <v>894</v>
      </c>
      <c r="B32" s="62" t="s">
        <v>396</v>
      </c>
      <c r="C32" s="62" t="s">
        <v>591</v>
      </c>
      <c r="D32" s="62" t="s">
        <v>592</v>
      </c>
      <c r="E32" s="49" t="s">
        <v>766</v>
      </c>
      <c r="F32" s="62" t="str">
        <f t="shared" si="1"/>
        <v>20102</v>
      </c>
      <c r="G32" s="62">
        <v>10620102</v>
      </c>
      <c r="H32" s="49" t="s">
        <v>388</v>
      </c>
      <c r="I32" s="69">
        <v>18</v>
      </c>
      <c r="J32" s="69">
        <v>3</v>
      </c>
      <c r="K32" s="69">
        <v>8</v>
      </c>
      <c r="L32" s="69">
        <f t="shared" si="2"/>
        <v>0.54</v>
      </c>
      <c r="M32" s="69">
        <f t="shared" si="3"/>
        <v>1.44</v>
      </c>
      <c r="N32" s="56">
        <f>INDEX(Rate_Chart!$A$1:$AK$127,MATCH(Data!J32,Rate_Chart!$A$1:$A$127,0),MATCH(Data!K32,Rate_Chart!$A$1:$AK$1,0))</f>
        <v>34.751112000000006</v>
      </c>
      <c r="O32" s="57">
        <f t="shared" si="4"/>
        <v>625.52001600000017</v>
      </c>
      <c r="P32" s="58">
        <f t="shared" si="5"/>
        <v>417.01334400000002</v>
      </c>
      <c r="Q32" s="58">
        <f t="shared" si="6"/>
        <v>278.00889599999999</v>
      </c>
      <c r="R32" s="66">
        <f t="shared" si="15"/>
        <v>10.946600280000004</v>
      </c>
      <c r="S32" s="64">
        <f t="shared" si="7"/>
        <v>67.5</v>
      </c>
      <c r="T32" s="66">
        <f t="shared" si="8"/>
        <v>703.96661628000015</v>
      </c>
      <c r="U32" s="68">
        <f t="shared" si="9"/>
        <v>39.109256460000012</v>
      </c>
      <c r="V32" s="68">
        <f t="shared" si="10"/>
        <v>469.31107752000008</v>
      </c>
      <c r="W32" s="68">
        <f t="shared" si="11"/>
        <v>312.87405168000004</v>
      </c>
      <c r="Z32" s="213">
        <v>10620043</v>
      </c>
      <c r="AA32" s="213" t="s">
        <v>730</v>
      </c>
      <c r="AB32" s="213" t="s">
        <v>360</v>
      </c>
      <c r="AC32" s="213">
        <v>762</v>
      </c>
      <c r="AD32" s="241">
        <v>30915.389460300004</v>
      </c>
    </row>
    <row r="33" spans="1:30" x14ac:dyDescent="0.25">
      <c r="A33" s="168" t="s">
        <v>894</v>
      </c>
      <c r="B33" s="62" t="s">
        <v>397</v>
      </c>
      <c r="C33" s="62" t="s">
        <v>591</v>
      </c>
      <c r="D33" s="62" t="s">
        <v>592</v>
      </c>
      <c r="E33" s="49" t="s">
        <v>766</v>
      </c>
      <c r="F33" s="62" t="str">
        <f t="shared" si="1"/>
        <v>20102</v>
      </c>
      <c r="G33" s="62">
        <v>10620102</v>
      </c>
      <c r="H33" s="49" t="s">
        <v>387</v>
      </c>
      <c r="I33" s="69">
        <v>23</v>
      </c>
      <c r="J33" s="69">
        <v>6</v>
      </c>
      <c r="K33" s="69">
        <v>8.6</v>
      </c>
      <c r="L33" s="69">
        <f t="shared" si="2"/>
        <v>1.38</v>
      </c>
      <c r="M33" s="69">
        <f t="shared" si="3"/>
        <v>1.9779999999999998</v>
      </c>
      <c r="N33" s="56">
        <f>INDEX(Rate_Chart!$A$1:$AK$127,MATCH(Data!J33,Rate_Chart!$A$1:$A$127,0),MATCH(Data!K33,Rate_Chart!$A$1:$AK$1,0))</f>
        <v>49.097999999999999</v>
      </c>
      <c r="O33" s="57">
        <f t="shared" si="4"/>
        <v>1129.2539999999999</v>
      </c>
      <c r="P33" s="58">
        <f t="shared" si="5"/>
        <v>418.44886363636368</v>
      </c>
      <c r="Q33" s="58">
        <f t="shared" si="6"/>
        <v>278.96590909090912</v>
      </c>
      <c r="R33" s="66">
        <f t="shared" si="15"/>
        <v>19.761945000000001</v>
      </c>
      <c r="S33" s="64">
        <f t="shared" si="7"/>
        <v>86.25</v>
      </c>
      <c r="T33" s="66">
        <f t="shared" si="8"/>
        <v>1235.2659449999999</v>
      </c>
      <c r="U33" s="68">
        <f t="shared" si="9"/>
        <v>53.707214999999998</v>
      </c>
      <c r="V33" s="68">
        <f t="shared" si="10"/>
        <v>457.7319460227273</v>
      </c>
      <c r="W33" s="68">
        <f t="shared" si="11"/>
        <v>305.15463068181822</v>
      </c>
      <c r="Z33" s="213">
        <v>10620044</v>
      </c>
      <c r="AA33" s="213" t="s">
        <v>731</v>
      </c>
      <c r="AB33" s="213" t="s">
        <v>362</v>
      </c>
      <c r="AC33" s="213">
        <v>843</v>
      </c>
      <c r="AD33" s="241">
        <v>35418.494627600012</v>
      </c>
    </row>
    <row r="34" spans="1:30" x14ac:dyDescent="0.25">
      <c r="A34" s="168" t="s">
        <v>888</v>
      </c>
      <c r="B34" s="62" t="s">
        <v>396</v>
      </c>
      <c r="C34" s="62" t="s">
        <v>591</v>
      </c>
      <c r="D34" s="62" t="s">
        <v>593</v>
      </c>
      <c r="E34" s="49" t="s">
        <v>815</v>
      </c>
      <c r="F34" s="62" t="str">
        <f t="shared" si="1"/>
        <v>20104</v>
      </c>
      <c r="G34" s="62">
        <v>10620104</v>
      </c>
      <c r="H34" s="49" t="s">
        <v>388</v>
      </c>
      <c r="I34" s="69">
        <v>19</v>
      </c>
      <c r="J34" s="69">
        <v>3.1</v>
      </c>
      <c r="K34" s="69">
        <v>8</v>
      </c>
      <c r="L34" s="69">
        <f t="shared" si="2"/>
        <v>0.58899999999999997</v>
      </c>
      <c r="M34" s="69">
        <f t="shared" si="3"/>
        <v>1.52</v>
      </c>
      <c r="N34" s="56">
        <f>INDEX(Rate_Chart!$A$1:$AK$127,MATCH(Data!J34,Rate_Chart!$A$1:$A$127,0),MATCH(Data!K34,Rate_Chart!$A$1:$AK$1,0))</f>
        <v>35.168112000000008</v>
      </c>
      <c r="O34" s="57">
        <f t="shared" si="4"/>
        <v>668.19412800000009</v>
      </c>
      <c r="P34" s="58">
        <f t="shared" si="5"/>
        <v>417.01318577075102</v>
      </c>
      <c r="Q34" s="58">
        <f t="shared" si="6"/>
        <v>278.00879051383401</v>
      </c>
      <c r="R34" s="66">
        <f t="shared" si="15"/>
        <v>11.693397240000003</v>
      </c>
      <c r="S34" s="64">
        <f t="shared" si="7"/>
        <v>71.25</v>
      </c>
      <c r="T34" s="66">
        <f t="shared" si="8"/>
        <v>751.13752524000006</v>
      </c>
      <c r="U34" s="68">
        <f t="shared" si="9"/>
        <v>39.533553960000006</v>
      </c>
      <c r="V34" s="68">
        <f t="shared" si="10"/>
        <v>468.77731968379447</v>
      </c>
      <c r="W34" s="68">
        <f t="shared" si="11"/>
        <v>312.51821312252963</v>
      </c>
      <c r="Z34" s="213">
        <v>10620048</v>
      </c>
      <c r="AA34" s="213" t="s">
        <v>732</v>
      </c>
      <c r="AB34" s="213" t="s">
        <v>380</v>
      </c>
      <c r="AC34" s="213">
        <v>70</v>
      </c>
      <c r="AD34" s="241">
        <v>3156.9258032000002</v>
      </c>
    </row>
    <row r="35" spans="1:30" x14ac:dyDescent="0.25">
      <c r="A35" s="168" t="s">
        <v>888</v>
      </c>
      <c r="B35" s="62" t="s">
        <v>397</v>
      </c>
      <c r="C35" s="62" t="s">
        <v>591</v>
      </c>
      <c r="D35" s="62" t="s">
        <v>593</v>
      </c>
      <c r="E35" s="49" t="s">
        <v>815</v>
      </c>
      <c r="F35" s="62" t="str">
        <f t="shared" si="1"/>
        <v>20104</v>
      </c>
      <c r="G35" s="62">
        <v>10620104</v>
      </c>
      <c r="H35" s="49" t="s">
        <v>388</v>
      </c>
      <c r="I35" s="69">
        <v>19</v>
      </c>
      <c r="J35" s="69">
        <v>3</v>
      </c>
      <c r="K35" s="69">
        <v>8</v>
      </c>
      <c r="L35" s="69">
        <f t="shared" si="2"/>
        <v>0.56999999999999995</v>
      </c>
      <c r="M35" s="69">
        <f t="shared" si="3"/>
        <v>1.52</v>
      </c>
      <c r="N35" s="56">
        <f>INDEX(Rate_Chart!$A$1:$AK$127,MATCH(Data!J35,Rate_Chart!$A$1:$A$127,0),MATCH(Data!K35,Rate_Chart!$A$1:$AK$1,0))</f>
        <v>34.751112000000006</v>
      </c>
      <c r="O35" s="57">
        <f t="shared" si="4"/>
        <v>660.27112800000009</v>
      </c>
      <c r="P35" s="58">
        <f t="shared" si="5"/>
        <v>417.01334400000002</v>
      </c>
      <c r="Q35" s="58">
        <f t="shared" si="6"/>
        <v>278.00889599999999</v>
      </c>
      <c r="R35" s="66">
        <f t="shared" si="15"/>
        <v>11.554744740000002</v>
      </c>
      <c r="S35" s="64">
        <f t="shared" si="7"/>
        <v>71.25</v>
      </c>
      <c r="T35" s="66">
        <f t="shared" si="8"/>
        <v>743.07587274000014</v>
      </c>
      <c r="U35" s="68">
        <f t="shared" si="9"/>
        <v>39.109256460000005</v>
      </c>
      <c r="V35" s="68">
        <f t="shared" si="10"/>
        <v>469.31107752000003</v>
      </c>
      <c r="W35" s="68">
        <f t="shared" si="11"/>
        <v>312.87405168000004</v>
      </c>
      <c r="Z35" s="213">
        <v>10620049</v>
      </c>
      <c r="AA35" s="213" t="s">
        <v>733</v>
      </c>
      <c r="AB35" s="213" t="s">
        <v>365</v>
      </c>
      <c r="AC35" s="213">
        <v>568</v>
      </c>
      <c r="AD35" s="241">
        <v>23487.7319494</v>
      </c>
    </row>
    <row r="36" spans="1:30" x14ac:dyDescent="0.25">
      <c r="A36" s="168" t="s">
        <v>889</v>
      </c>
      <c r="B36" s="62" t="s">
        <v>396</v>
      </c>
      <c r="C36" s="62" t="s">
        <v>591</v>
      </c>
      <c r="D36" s="62" t="s">
        <v>593</v>
      </c>
      <c r="E36" s="49" t="s">
        <v>815</v>
      </c>
      <c r="F36" s="62" t="str">
        <f t="shared" si="1"/>
        <v>20104</v>
      </c>
      <c r="G36" s="62">
        <v>10620104</v>
      </c>
      <c r="H36" s="49" t="s">
        <v>388</v>
      </c>
      <c r="I36" s="69">
        <v>28</v>
      </c>
      <c r="J36" s="69">
        <v>3.4</v>
      </c>
      <c r="K36" s="69">
        <v>8</v>
      </c>
      <c r="L36" s="69">
        <f t="shared" si="2"/>
        <v>0.95200000000000007</v>
      </c>
      <c r="M36" s="69">
        <f t="shared" si="3"/>
        <v>2.2400000000000002</v>
      </c>
      <c r="N36" s="56">
        <f>INDEX(Rate_Chart!$A$1:$AK$127,MATCH(Data!J36,Rate_Chart!$A$1:$A$127,0),MATCH(Data!K36,Rate_Chart!$A$1:$AK$1,0))</f>
        <v>36.419112000000005</v>
      </c>
      <c r="O36" s="57">
        <f t="shared" si="4"/>
        <v>1019.7351360000001</v>
      </c>
      <c r="P36" s="58">
        <f t="shared" si="5"/>
        <v>417.01273282442747</v>
      </c>
      <c r="Q36" s="58">
        <f t="shared" si="6"/>
        <v>278.00848854961833</v>
      </c>
      <c r="R36" s="66">
        <f t="shared" si="15"/>
        <v>17.845364880000005</v>
      </c>
      <c r="S36" s="64">
        <f t="shared" si="7"/>
        <v>105</v>
      </c>
      <c r="T36" s="66">
        <f t="shared" si="8"/>
        <v>1142.58050088</v>
      </c>
      <c r="U36" s="68">
        <f t="shared" si="9"/>
        <v>40.806446460000004</v>
      </c>
      <c r="V36" s="68">
        <f t="shared" si="10"/>
        <v>467.24938694656487</v>
      </c>
      <c r="W36" s="68">
        <f t="shared" si="11"/>
        <v>311.49959129770991</v>
      </c>
      <c r="Z36" s="213">
        <v>10620050</v>
      </c>
      <c r="AA36" s="213" t="s">
        <v>734</v>
      </c>
      <c r="AB36" s="213" t="s">
        <v>343</v>
      </c>
      <c r="AC36" s="213">
        <v>31</v>
      </c>
      <c r="AD36" s="241">
        <v>1100.9144859</v>
      </c>
    </row>
    <row r="37" spans="1:30" x14ac:dyDescent="0.25">
      <c r="A37" s="168" t="s">
        <v>889</v>
      </c>
      <c r="B37" s="62" t="s">
        <v>397</v>
      </c>
      <c r="C37" s="62" t="s">
        <v>591</v>
      </c>
      <c r="D37" s="62" t="s">
        <v>593</v>
      </c>
      <c r="E37" s="49" t="s">
        <v>815</v>
      </c>
      <c r="F37" s="62" t="str">
        <f t="shared" si="1"/>
        <v>20104</v>
      </c>
      <c r="G37" s="62">
        <v>10620104</v>
      </c>
      <c r="H37" s="49" t="s">
        <v>388</v>
      </c>
      <c r="I37" s="69">
        <v>20</v>
      </c>
      <c r="J37" s="69">
        <v>3.1</v>
      </c>
      <c r="K37" s="69">
        <v>8</v>
      </c>
      <c r="L37" s="69">
        <f t="shared" si="2"/>
        <v>0.62</v>
      </c>
      <c r="M37" s="69">
        <f t="shared" si="3"/>
        <v>1.6</v>
      </c>
      <c r="N37" s="56">
        <f>INDEX(Rate_Chart!$A$1:$AK$127,MATCH(Data!J37,Rate_Chart!$A$1:$A$127,0),MATCH(Data!K37,Rate_Chart!$A$1:$AK$1,0))</f>
        <v>35.168112000000008</v>
      </c>
      <c r="O37" s="57">
        <f t="shared" si="4"/>
        <v>703.36224000000016</v>
      </c>
      <c r="P37" s="58">
        <f t="shared" si="5"/>
        <v>417.01318577075102</v>
      </c>
      <c r="Q37" s="58">
        <f t="shared" si="6"/>
        <v>278.00879051383401</v>
      </c>
      <c r="R37" s="66">
        <f t="shared" si="15"/>
        <v>12.308839200000003</v>
      </c>
      <c r="S37" s="64">
        <f t="shared" si="7"/>
        <v>75</v>
      </c>
      <c r="T37" s="66">
        <f t="shared" si="8"/>
        <v>790.67107920000012</v>
      </c>
      <c r="U37" s="68">
        <f t="shared" si="9"/>
        <v>39.533553960000006</v>
      </c>
      <c r="V37" s="68">
        <f t="shared" si="10"/>
        <v>468.77731968379447</v>
      </c>
      <c r="W37" s="68">
        <f t="shared" si="11"/>
        <v>312.51821312252963</v>
      </c>
      <c r="Z37" s="213">
        <v>10620051</v>
      </c>
      <c r="AA37" s="213" t="s">
        <v>735</v>
      </c>
      <c r="AB37" s="213" t="s">
        <v>374</v>
      </c>
      <c r="AC37" s="213">
        <v>941</v>
      </c>
      <c r="AD37" s="241">
        <v>53787.360000000008</v>
      </c>
    </row>
    <row r="38" spans="1:30" x14ac:dyDescent="0.25">
      <c r="A38" s="168" t="s">
        <v>890</v>
      </c>
      <c r="B38" s="62" t="s">
        <v>396</v>
      </c>
      <c r="C38" s="62" t="s">
        <v>591</v>
      </c>
      <c r="D38" s="62" t="s">
        <v>593</v>
      </c>
      <c r="E38" s="49" t="s">
        <v>815</v>
      </c>
      <c r="F38" s="62" t="str">
        <f t="shared" si="1"/>
        <v>20104</v>
      </c>
      <c r="G38" s="62">
        <v>10620104</v>
      </c>
      <c r="H38" s="49" t="s">
        <v>388</v>
      </c>
      <c r="I38" s="69">
        <v>29</v>
      </c>
      <c r="J38" s="69">
        <v>3.3</v>
      </c>
      <c r="K38" s="69">
        <v>8</v>
      </c>
      <c r="L38" s="69">
        <f t="shared" si="2"/>
        <v>0.95699999999999985</v>
      </c>
      <c r="M38" s="69">
        <f t="shared" si="3"/>
        <v>2.3199999999999998</v>
      </c>
      <c r="N38" s="56">
        <f>INDEX(Rate_Chart!$A$1:$AK$127,MATCH(Data!J38,Rate_Chart!$A$1:$A$127,0),MATCH(Data!K38,Rate_Chart!$A$1:$AK$1,0))</f>
        <v>36.002112000000004</v>
      </c>
      <c r="O38" s="57">
        <f t="shared" si="4"/>
        <v>1044.0612480000002</v>
      </c>
      <c r="P38" s="58">
        <f t="shared" si="5"/>
        <v>417.01288030888031</v>
      </c>
      <c r="Q38" s="58">
        <f t="shared" si="6"/>
        <v>278.00858687258687</v>
      </c>
      <c r="R38" s="66">
        <f t="shared" si="15"/>
        <v>18.271071840000005</v>
      </c>
      <c r="S38" s="64">
        <f t="shared" si="7"/>
        <v>108.75</v>
      </c>
      <c r="T38" s="66">
        <f t="shared" si="8"/>
        <v>1171.0823198400003</v>
      </c>
      <c r="U38" s="68">
        <f t="shared" si="9"/>
        <v>40.382148960000009</v>
      </c>
      <c r="V38" s="68">
        <f t="shared" si="10"/>
        <v>467.74689915057917</v>
      </c>
      <c r="W38" s="68">
        <f t="shared" si="11"/>
        <v>311.83126610038613</v>
      </c>
      <c r="Z38" s="213">
        <v>10620052</v>
      </c>
      <c r="AA38" s="213" t="s">
        <v>736</v>
      </c>
      <c r="AB38" s="213" t="s">
        <v>351</v>
      </c>
      <c r="AC38" s="213">
        <v>1206</v>
      </c>
      <c r="AD38" s="241">
        <v>53895.043319700002</v>
      </c>
    </row>
    <row r="39" spans="1:30" x14ac:dyDescent="0.25">
      <c r="A39" s="168" t="s">
        <v>890</v>
      </c>
      <c r="B39" s="62" t="s">
        <v>397</v>
      </c>
      <c r="C39" s="62" t="s">
        <v>591</v>
      </c>
      <c r="D39" s="62" t="s">
        <v>593</v>
      </c>
      <c r="E39" s="49" t="s">
        <v>815</v>
      </c>
      <c r="F39" s="62" t="str">
        <f t="shared" si="1"/>
        <v>20104</v>
      </c>
      <c r="G39" s="62">
        <v>10620104</v>
      </c>
      <c r="H39" s="49" t="s">
        <v>388</v>
      </c>
      <c r="I39" s="69">
        <v>20</v>
      </c>
      <c r="J39" s="69">
        <v>3</v>
      </c>
      <c r="K39" s="69">
        <v>8</v>
      </c>
      <c r="L39" s="69">
        <f t="shared" si="2"/>
        <v>0.6</v>
      </c>
      <c r="M39" s="69">
        <f t="shared" si="3"/>
        <v>1.6</v>
      </c>
      <c r="N39" s="56">
        <f>INDEX(Rate_Chart!$A$1:$AK$127,MATCH(Data!J39,Rate_Chart!$A$1:$A$127,0),MATCH(Data!K39,Rate_Chart!$A$1:$AK$1,0))</f>
        <v>34.751112000000006</v>
      </c>
      <c r="O39" s="57">
        <f t="shared" si="4"/>
        <v>695.02224000000012</v>
      </c>
      <c r="P39" s="58">
        <f t="shared" si="5"/>
        <v>417.01334400000002</v>
      </c>
      <c r="Q39" s="58">
        <f t="shared" si="6"/>
        <v>278.00889599999999</v>
      </c>
      <c r="R39" s="66">
        <f t="shared" si="15"/>
        <v>12.162889200000004</v>
      </c>
      <c r="S39" s="64">
        <f t="shared" si="7"/>
        <v>75</v>
      </c>
      <c r="T39" s="66">
        <f t="shared" si="8"/>
        <v>782.18512920000012</v>
      </c>
      <c r="U39" s="68">
        <f t="shared" si="9"/>
        <v>39.109256460000005</v>
      </c>
      <c r="V39" s="68">
        <f t="shared" si="10"/>
        <v>469.31107752000003</v>
      </c>
      <c r="W39" s="68">
        <f t="shared" si="11"/>
        <v>312.87405168000004</v>
      </c>
      <c r="Z39" s="213">
        <v>10620053</v>
      </c>
      <c r="AA39" s="213" t="s">
        <v>737</v>
      </c>
      <c r="AB39" s="213" t="s">
        <v>385</v>
      </c>
      <c r="AC39" s="213">
        <v>693</v>
      </c>
      <c r="AD39" s="241">
        <v>26920.4250493</v>
      </c>
    </row>
    <row r="40" spans="1:30" x14ac:dyDescent="0.25">
      <c r="A40" s="168" t="s">
        <v>891</v>
      </c>
      <c r="B40" s="62" t="s">
        <v>396</v>
      </c>
      <c r="C40" s="62" t="s">
        <v>591</v>
      </c>
      <c r="D40" s="62" t="s">
        <v>593</v>
      </c>
      <c r="E40" s="49" t="s">
        <v>815</v>
      </c>
      <c r="F40" s="62" t="str">
        <f t="shared" si="1"/>
        <v>20104</v>
      </c>
      <c r="G40" s="62">
        <v>10620104</v>
      </c>
      <c r="H40" s="49" t="s">
        <v>388</v>
      </c>
      <c r="I40" s="69">
        <v>26</v>
      </c>
      <c r="J40" s="69">
        <v>3.6</v>
      </c>
      <c r="K40" s="69">
        <v>8</v>
      </c>
      <c r="L40" s="69">
        <f t="shared" si="2"/>
        <v>0.93600000000000005</v>
      </c>
      <c r="M40" s="69">
        <f t="shared" si="3"/>
        <v>2.08</v>
      </c>
      <c r="N40" s="56">
        <f>INDEX(Rate_Chart!$A$1:$AK$127,MATCH(Data!J40,Rate_Chart!$A$1:$A$127,0),MATCH(Data!K40,Rate_Chart!$A$1:$AK$1,0))</f>
        <v>37.253112000000009</v>
      </c>
      <c r="O40" s="57">
        <f t="shared" si="4"/>
        <v>968.58091200000024</v>
      </c>
      <c r="P40" s="58">
        <f t="shared" si="5"/>
        <v>417.01244776119404</v>
      </c>
      <c r="Q40" s="58">
        <f t="shared" si="6"/>
        <v>278.00829850746271</v>
      </c>
      <c r="R40" s="66">
        <f t="shared" si="15"/>
        <v>16.950165960000007</v>
      </c>
      <c r="S40" s="64">
        <f t="shared" si="7"/>
        <v>97.5</v>
      </c>
      <c r="T40" s="66">
        <f t="shared" si="8"/>
        <v>1083.0310779600002</v>
      </c>
      <c r="U40" s="68">
        <f t="shared" si="9"/>
        <v>41.655041460000007</v>
      </c>
      <c r="V40" s="68">
        <f t="shared" si="10"/>
        <v>466.28777753731345</v>
      </c>
      <c r="W40" s="68">
        <f t="shared" si="11"/>
        <v>310.85851835820898</v>
      </c>
      <c r="Z40" s="213">
        <v>10620054</v>
      </c>
      <c r="AA40" s="213" t="s">
        <v>738</v>
      </c>
      <c r="AB40" s="213" t="s">
        <v>381</v>
      </c>
      <c r="AC40" s="213">
        <v>910</v>
      </c>
      <c r="AD40" s="241">
        <v>38784.64206749999</v>
      </c>
    </row>
    <row r="41" spans="1:30" x14ac:dyDescent="0.25">
      <c r="A41" s="168" t="s">
        <v>891</v>
      </c>
      <c r="B41" s="62" t="s">
        <v>397</v>
      </c>
      <c r="C41" s="62" t="s">
        <v>591</v>
      </c>
      <c r="D41" s="62" t="s">
        <v>593</v>
      </c>
      <c r="E41" s="49" t="s">
        <v>815</v>
      </c>
      <c r="F41" s="62" t="str">
        <f t="shared" si="1"/>
        <v>20104</v>
      </c>
      <c r="G41" s="62">
        <v>10620104</v>
      </c>
      <c r="H41" s="49" t="s">
        <v>388</v>
      </c>
      <c r="I41" s="69">
        <v>22</v>
      </c>
      <c r="J41" s="69">
        <v>3.1</v>
      </c>
      <c r="K41" s="69">
        <v>8</v>
      </c>
      <c r="L41" s="69">
        <f t="shared" si="2"/>
        <v>0.68200000000000005</v>
      </c>
      <c r="M41" s="69">
        <f t="shared" si="3"/>
        <v>1.76</v>
      </c>
      <c r="N41" s="56">
        <f>INDEX(Rate_Chart!$A$1:$AK$127,MATCH(Data!J41,Rate_Chart!$A$1:$A$127,0),MATCH(Data!K41,Rate_Chart!$A$1:$AK$1,0))</f>
        <v>35.168112000000008</v>
      </c>
      <c r="O41" s="57">
        <f t="shared" si="4"/>
        <v>773.69846400000017</v>
      </c>
      <c r="P41" s="58">
        <f t="shared" si="5"/>
        <v>417.01318577075102</v>
      </c>
      <c r="Q41" s="58">
        <f t="shared" si="6"/>
        <v>278.00879051383401</v>
      </c>
      <c r="R41" s="66">
        <f t="shared" si="15"/>
        <v>13.539723120000005</v>
      </c>
      <c r="S41" s="64">
        <f t="shared" si="7"/>
        <v>82.5</v>
      </c>
      <c r="T41" s="66">
        <f t="shared" si="8"/>
        <v>869.73818712000013</v>
      </c>
      <c r="U41" s="68">
        <f t="shared" si="9"/>
        <v>39.533553960000006</v>
      </c>
      <c r="V41" s="68">
        <f t="shared" si="10"/>
        <v>468.77731968379447</v>
      </c>
      <c r="W41" s="68">
        <f t="shared" si="11"/>
        <v>312.51821312252963</v>
      </c>
      <c r="Z41" s="213">
        <v>10620056</v>
      </c>
      <c r="AA41" s="213" t="s">
        <v>739</v>
      </c>
      <c r="AB41" s="213" t="s">
        <v>356</v>
      </c>
      <c r="AC41" s="213">
        <v>269</v>
      </c>
      <c r="AD41" s="241">
        <v>10657.850131200001</v>
      </c>
    </row>
    <row r="42" spans="1:30" x14ac:dyDescent="0.25">
      <c r="A42" s="168" t="s">
        <v>892</v>
      </c>
      <c r="B42" s="62" t="s">
        <v>396</v>
      </c>
      <c r="C42" s="62" t="s">
        <v>591</v>
      </c>
      <c r="D42" s="62" t="s">
        <v>593</v>
      </c>
      <c r="E42" s="49" t="s">
        <v>815</v>
      </c>
      <c r="F42" s="62" t="str">
        <f t="shared" si="1"/>
        <v>20104</v>
      </c>
      <c r="G42" s="62">
        <v>10620104</v>
      </c>
      <c r="H42" s="49" t="s">
        <v>388</v>
      </c>
      <c r="I42" s="69">
        <v>26</v>
      </c>
      <c r="J42" s="69">
        <v>3.6</v>
      </c>
      <c r="K42" s="69">
        <v>8</v>
      </c>
      <c r="L42" s="69">
        <f t="shared" si="2"/>
        <v>0.93600000000000005</v>
      </c>
      <c r="M42" s="69">
        <f t="shared" si="3"/>
        <v>2.08</v>
      </c>
      <c r="N42" s="56">
        <f>INDEX(Rate_Chart!$A$1:$AK$127,MATCH(Data!J42,Rate_Chart!$A$1:$A$127,0),MATCH(Data!K42,Rate_Chart!$A$1:$AK$1,0))</f>
        <v>37.253112000000009</v>
      </c>
      <c r="O42" s="57">
        <f t="shared" si="4"/>
        <v>968.58091200000024</v>
      </c>
      <c r="P42" s="58">
        <f t="shared" si="5"/>
        <v>417.01244776119404</v>
      </c>
      <c r="Q42" s="58">
        <f t="shared" si="6"/>
        <v>278.00829850746271</v>
      </c>
      <c r="R42" s="66">
        <f t="shared" si="15"/>
        <v>16.950165960000007</v>
      </c>
      <c r="S42" s="64">
        <f t="shared" si="7"/>
        <v>97.5</v>
      </c>
      <c r="T42" s="66">
        <f t="shared" si="8"/>
        <v>1083.0310779600002</v>
      </c>
      <c r="U42" s="68">
        <f t="shared" si="9"/>
        <v>41.655041460000007</v>
      </c>
      <c r="V42" s="68">
        <f t="shared" si="10"/>
        <v>466.28777753731345</v>
      </c>
      <c r="W42" s="68">
        <f t="shared" si="11"/>
        <v>310.85851835820898</v>
      </c>
      <c r="Z42" s="213">
        <v>10620057</v>
      </c>
      <c r="AA42" s="213" t="s">
        <v>740</v>
      </c>
      <c r="AB42" s="213" t="s">
        <v>361</v>
      </c>
      <c r="AC42" s="213">
        <v>587</v>
      </c>
      <c r="AD42" s="241">
        <v>29226.974336900003</v>
      </c>
    </row>
    <row r="43" spans="1:30" x14ac:dyDescent="0.25">
      <c r="A43" s="168" t="s">
        <v>892</v>
      </c>
      <c r="B43" s="62" t="s">
        <v>397</v>
      </c>
      <c r="C43" s="62" t="s">
        <v>591</v>
      </c>
      <c r="D43" s="62" t="s">
        <v>593</v>
      </c>
      <c r="E43" s="49" t="s">
        <v>815</v>
      </c>
      <c r="F43" s="62" t="str">
        <f t="shared" si="1"/>
        <v>20104</v>
      </c>
      <c r="G43" s="62">
        <v>10620104</v>
      </c>
      <c r="H43" s="49" t="s">
        <v>388</v>
      </c>
      <c r="I43" s="69">
        <v>17</v>
      </c>
      <c r="J43" s="69">
        <v>3.1</v>
      </c>
      <c r="K43" s="69">
        <v>8</v>
      </c>
      <c r="L43" s="69">
        <f t="shared" si="2"/>
        <v>0.52700000000000002</v>
      </c>
      <c r="M43" s="69">
        <f t="shared" si="3"/>
        <v>1.36</v>
      </c>
      <c r="N43" s="56">
        <f>INDEX(Rate_Chart!$A$1:$AK$127,MATCH(Data!J43,Rate_Chart!$A$1:$A$127,0),MATCH(Data!K43,Rate_Chart!$A$1:$AK$1,0))</f>
        <v>35.168112000000008</v>
      </c>
      <c r="O43" s="57">
        <f t="shared" si="4"/>
        <v>597.85790400000019</v>
      </c>
      <c r="P43" s="58">
        <f t="shared" si="5"/>
        <v>417.01318577075102</v>
      </c>
      <c r="Q43" s="58">
        <f t="shared" si="6"/>
        <v>278.00879051383401</v>
      </c>
      <c r="R43" s="66">
        <f t="shared" si="15"/>
        <v>10.462513320000005</v>
      </c>
      <c r="S43" s="64">
        <f t="shared" si="7"/>
        <v>63.75</v>
      </c>
      <c r="T43" s="66">
        <f t="shared" si="8"/>
        <v>672.07041732000016</v>
      </c>
      <c r="U43" s="68">
        <f t="shared" si="9"/>
        <v>39.533553960000006</v>
      </c>
      <c r="V43" s="68">
        <f t="shared" si="10"/>
        <v>468.77731968379447</v>
      </c>
      <c r="W43" s="68">
        <f t="shared" si="11"/>
        <v>312.51821312252963</v>
      </c>
      <c r="Z43" s="213">
        <v>10620058</v>
      </c>
      <c r="AA43" s="213" t="s">
        <v>741</v>
      </c>
      <c r="AB43" s="213" t="s">
        <v>373</v>
      </c>
      <c r="AC43" s="213">
        <v>209</v>
      </c>
      <c r="AD43" s="241">
        <v>8407.8138188000012</v>
      </c>
    </row>
    <row r="44" spans="1:30" x14ac:dyDescent="0.25">
      <c r="A44" s="168" t="s">
        <v>893</v>
      </c>
      <c r="B44" s="62" t="s">
        <v>396</v>
      </c>
      <c r="C44" s="62" t="s">
        <v>591</v>
      </c>
      <c r="D44" s="62" t="s">
        <v>593</v>
      </c>
      <c r="E44" s="49" t="s">
        <v>815</v>
      </c>
      <c r="F44" s="62" t="str">
        <f t="shared" si="1"/>
        <v>20104</v>
      </c>
      <c r="G44" s="62">
        <v>10620104</v>
      </c>
      <c r="H44" s="49" t="s">
        <v>388</v>
      </c>
      <c r="I44" s="69">
        <v>28</v>
      </c>
      <c r="J44" s="69">
        <v>3.6</v>
      </c>
      <c r="K44" s="69">
        <v>8</v>
      </c>
      <c r="L44" s="69">
        <f t="shared" si="2"/>
        <v>1.008</v>
      </c>
      <c r="M44" s="69">
        <f t="shared" si="3"/>
        <v>2.2400000000000002</v>
      </c>
      <c r="N44" s="56">
        <f>INDEX(Rate_Chart!$A$1:$AK$127,MATCH(Data!J44,Rate_Chart!$A$1:$A$127,0),MATCH(Data!K44,Rate_Chart!$A$1:$AK$1,0))</f>
        <v>37.253112000000009</v>
      </c>
      <c r="O44" s="57">
        <f t="shared" si="4"/>
        <v>1043.0871360000003</v>
      </c>
      <c r="P44" s="58">
        <f t="shared" si="5"/>
        <v>417.01244776119404</v>
      </c>
      <c r="Q44" s="58">
        <f t="shared" si="6"/>
        <v>278.00829850746271</v>
      </c>
      <c r="R44" s="66">
        <f t="shared" si="15"/>
        <v>18.254024880000006</v>
      </c>
      <c r="S44" s="64">
        <f t="shared" si="7"/>
        <v>105</v>
      </c>
      <c r="T44" s="66">
        <f t="shared" si="8"/>
        <v>1166.3411608800004</v>
      </c>
      <c r="U44" s="68">
        <f t="shared" si="9"/>
        <v>41.655041460000014</v>
      </c>
      <c r="V44" s="68">
        <f t="shared" si="10"/>
        <v>466.2877775373135</v>
      </c>
      <c r="W44" s="68">
        <f t="shared" si="11"/>
        <v>310.85851835820898</v>
      </c>
      <c r="Z44" s="213">
        <v>10620059</v>
      </c>
      <c r="AA44" s="213" t="s">
        <v>742</v>
      </c>
      <c r="AB44" s="213" t="s">
        <v>344</v>
      </c>
      <c r="AC44" s="213">
        <v>988</v>
      </c>
      <c r="AD44" s="241">
        <v>41850.9364432</v>
      </c>
    </row>
    <row r="45" spans="1:30" x14ac:dyDescent="0.25">
      <c r="A45" s="168" t="s">
        <v>893</v>
      </c>
      <c r="B45" s="62" t="s">
        <v>397</v>
      </c>
      <c r="C45" s="62" t="s">
        <v>591</v>
      </c>
      <c r="D45" s="62" t="s">
        <v>593</v>
      </c>
      <c r="E45" s="49" t="s">
        <v>815</v>
      </c>
      <c r="F45" s="62" t="str">
        <f t="shared" si="1"/>
        <v>20104</v>
      </c>
      <c r="G45" s="62">
        <v>10620104</v>
      </c>
      <c r="H45" s="49" t="s">
        <v>388</v>
      </c>
      <c r="I45" s="69">
        <v>18</v>
      </c>
      <c r="J45" s="69">
        <v>3</v>
      </c>
      <c r="K45" s="69">
        <v>8</v>
      </c>
      <c r="L45" s="69">
        <f t="shared" si="2"/>
        <v>0.54</v>
      </c>
      <c r="M45" s="69">
        <f t="shared" si="3"/>
        <v>1.44</v>
      </c>
      <c r="N45" s="56">
        <f>INDEX(Rate_Chart!$A$1:$AK$127,MATCH(Data!J45,Rate_Chart!$A$1:$A$127,0),MATCH(Data!K45,Rate_Chart!$A$1:$AK$1,0))</f>
        <v>34.751112000000006</v>
      </c>
      <c r="O45" s="57">
        <f t="shared" si="4"/>
        <v>625.52001600000017</v>
      </c>
      <c r="P45" s="58">
        <f t="shared" si="5"/>
        <v>417.01334400000002</v>
      </c>
      <c r="Q45" s="58">
        <f t="shared" si="6"/>
        <v>278.00889599999999</v>
      </c>
      <c r="R45" s="66">
        <f t="shared" si="15"/>
        <v>10.946600280000004</v>
      </c>
      <c r="S45" s="64">
        <f t="shared" si="7"/>
        <v>67.5</v>
      </c>
      <c r="T45" s="66">
        <f t="shared" si="8"/>
        <v>703.96661628000015</v>
      </c>
      <c r="U45" s="68">
        <f t="shared" si="9"/>
        <v>39.109256460000012</v>
      </c>
      <c r="V45" s="68">
        <f t="shared" si="10"/>
        <v>469.31107752000008</v>
      </c>
      <c r="W45" s="68">
        <f t="shared" si="11"/>
        <v>312.87405168000004</v>
      </c>
      <c r="Z45" s="213">
        <v>10620061</v>
      </c>
      <c r="AA45" s="213" t="s">
        <v>743</v>
      </c>
      <c r="AB45" s="213" t="s">
        <v>347</v>
      </c>
      <c r="AC45" s="213">
        <v>1040</v>
      </c>
      <c r="AD45" s="241">
        <v>44571.687876599994</v>
      </c>
    </row>
    <row r="46" spans="1:30" x14ac:dyDescent="0.25">
      <c r="A46" s="168" t="s">
        <v>894</v>
      </c>
      <c r="B46" s="62" t="s">
        <v>396</v>
      </c>
      <c r="C46" s="62" t="s">
        <v>591</v>
      </c>
      <c r="D46" s="62" t="s">
        <v>593</v>
      </c>
      <c r="E46" s="49" t="s">
        <v>815</v>
      </c>
      <c r="F46" s="62" t="str">
        <f t="shared" si="1"/>
        <v>20104</v>
      </c>
      <c r="G46" s="62">
        <v>10620104</v>
      </c>
      <c r="H46" s="49" t="s">
        <v>388</v>
      </c>
      <c r="I46" s="69">
        <v>26</v>
      </c>
      <c r="J46" s="69">
        <v>3.6</v>
      </c>
      <c r="K46" s="69">
        <v>8</v>
      </c>
      <c r="L46" s="69">
        <f t="shared" si="2"/>
        <v>0.93600000000000005</v>
      </c>
      <c r="M46" s="69">
        <f t="shared" si="3"/>
        <v>2.08</v>
      </c>
      <c r="N46" s="56">
        <f>INDEX(Rate_Chart!$A$1:$AK$127,MATCH(Data!J46,Rate_Chart!$A$1:$A$127,0),MATCH(Data!K46,Rate_Chart!$A$1:$AK$1,0))</f>
        <v>37.253112000000009</v>
      </c>
      <c r="O46" s="57">
        <f t="shared" si="4"/>
        <v>968.58091200000024</v>
      </c>
      <c r="P46" s="58">
        <f t="shared" si="5"/>
        <v>417.01244776119404</v>
      </c>
      <c r="Q46" s="58">
        <f t="shared" si="6"/>
        <v>278.00829850746271</v>
      </c>
      <c r="R46" s="66">
        <f t="shared" si="15"/>
        <v>16.950165960000007</v>
      </c>
      <c r="S46" s="64">
        <f t="shared" si="7"/>
        <v>97.5</v>
      </c>
      <c r="T46" s="66">
        <f t="shared" si="8"/>
        <v>1083.0310779600002</v>
      </c>
      <c r="U46" s="68">
        <f t="shared" si="9"/>
        <v>41.655041460000007</v>
      </c>
      <c r="V46" s="68">
        <f t="shared" si="10"/>
        <v>466.28777753731345</v>
      </c>
      <c r="W46" s="68">
        <f t="shared" si="11"/>
        <v>310.85851835820898</v>
      </c>
      <c r="Z46" s="213">
        <v>10620062</v>
      </c>
      <c r="AA46" s="213" t="s">
        <v>744</v>
      </c>
      <c r="AB46" s="213" t="s">
        <v>598</v>
      </c>
      <c r="AC46" s="213">
        <v>260</v>
      </c>
      <c r="AD46" s="241">
        <v>13468.7601663</v>
      </c>
    </row>
    <row r="47" spans="1:30" x14ac:dyDescent="0.25">
      <c r="A47" s="168" t="s">
        <v>894</v>
      </c>
      <c r="B47" s="62" t="s">
        <v>397</v>
      </c>
      <c r="C47" s="62" t="s">
        <v>591</v>
      </c>
      <c r="D47" s="62" t="s">
        <v>593</v>
      </c>
      <c r="E47" s="49" t="s">
        <v>815</v>
      </c>
      <c r="F47" s="62" t="str">
        <f t="shared" si="1"/>
        <v>20104</v>
      </c>
      <c r="G47" s="62">
        <v>10620104</v>
      </c>
      <c r="H47" s="49" t="s">
        <v>388</v>
      </c>
      <c r="I47" s="69">
        <v>22</v>
      </c>
      <c r="J47" s="69">
        <v>3</v>
      </c>
      <c r="K47" s="69">
        <v>8</v>
      </c>
      <c r="L47" s="69">
        <f t="shared" si="2"/>
        <v>0.66</v>
      </c>
      <c r="M47" s="69">
        <f t="shared" si="3"/>
        <v>1.76</v>
      </c>
      <c r="N47" s="56">
        <f>INDEX(Rate_Chart!$A$1:$AK$127,MATCH(Data!J47,Rate_Chart!$A$1:$A$127,0),MATCH(Data!K47,Rate_Chart!$A$1:$AK$1,0))</f>
        <v>34.751112000000006</v>
      </c>
      <c r="O47" s="57">
        <f t="shared" si="4"/>
        <v>764.52446400000008</v>
      </c>
      <c r="P47" s="58">
        <f t="shared" si="5"/>
        <v>417.01334400000002</v>
      </c>
      <c r="Q47" s="58">
        <f t="shared" si="6"/>
        <v>278.00889599999999</v>
      </c>
      <c r="R47" s="66">
        <f t="shared" si="15"/>
        <v>13.379178120000002</v>
      </c>
      <c r="S47" s="64">
        <f t="shared" si="7"/>
        <v>82.5</v>
      </c>
      <c r="T47" s="66">
        <f t="shared" si="8"/>
        <v>860.40364212000009</v>
      </c>
      <c r="U47" s="68">
        <f t="shared" si="9"/>
        <v>39.109256460000005</v>
      </c>
      <c r="V47" s="68">
        <f t="shared" si="10"/>
        <v>469.31107752000003</v>
      </c>
      <c r="W47" s="68">
        <f t="shared" si="11"/>
        <v>312.87405168000004</v>
      </c>
      <c r="Z47" s="213">
        <v>10620063</v>
      </c>
      <c r="AA47" s="213" t="s">
        <v>745</v>
      </c>
      <c r="AB47" s="213" t="s">
        <v>369</v>
      </c>
      <c r="AC47" s="213">
        <v>401</v>
      </c>
      <c r="AD47" s="241">
        <v>15216.339014900001</v>
      </c>
    </row>
    <row r="48" spans="1:30" x14ac:dyDescent="0.25">
      <c r="A48" s="168" t="s">
        <v>888</v>
      </c>
      <c r="B48" s="62" t="s">
        <v>396</v>
      </c>
      <c r="C48" s="62" t="s">
        <v>591</v>
      </c>
      <c r="D48" s="62" t="s">
        <v>593</v>
      </c>
      <c r="E48" s="49" t="s">
        <v>816</v>
      </c>
      <c r="F48" s="62" t="str">
        <f t="shared" si="1"/>
        <v>20106</v>
      </c>
      <c r="G48" s="62">
        <v>10620106</v>
      </c>
      <c r="H48" s="49" t="s">
        <v>387</v>
      </c>
      <c r="I48" s="69">
        <v>7</v>
      </c>
      <c r="J48" s="69">
        <v>7.3</v>
      </c>
      <c r="K48" s="69">
        <v>8.8000000000000007</v>
      </c>
      <c r="L48" s="69">
        <f t="shared" si="2"/>
        <v>0.51100000000000001</v>
      </c>
      <c r="M48" s="69">
        <f t="shared" si="3"/>
        <v>0.6160000000000001</v>
      </c>
      <c r="N48" s="56">
        <f>INDEX(Rate_Chart!$A$1:$AK$127,MATCH(Data!J48,Rate_Chart!$A$1:$A$127,0),MATCH(Data!K48,Rate_Chart!$A$1:$AK$1,0))</f>
        <v>60.34545</v>
      </c>
      <c r="O48" s="57">
        <f t="shared" si="4"/>
        <v>422.41814999999997</v>
      </c>
      <c r="P48" s="58">
        <f t="shared" si="5"/>
        <v>458.31987341772157</v>
      </c>
      <c r="Q48" s="58">
        <f t="shared" si="6"/>
        <v>305.54658227848103</v>
      </c>
      <c r="R48" s="66">
        <f t="shared" si="15"/>
        <v>7.3923176250000004</v>
      </c>
      <c r="S48" s="64">
        <f t="shared" si="7"/>
        <v>26.25</v>
      </c>
      <c r="T48" s="66">
        <f t="shared" si="8"/>
        <v>456.060467625</v>
      </c>
      <c r="U48" s="68">
        <f t="shared" si="9"/>
        <v>65.151495374999996</v>
      </c>
      <c r="V48" s="68">
        <f t="shared" si="10"/>
        <v>494.82148386075949</v>
      </c>
      <c r="W48" s="68">
        <f t="shared" si="11"/>
        <v>329.88098924050632</v>
      </c>
      <c r="Z48" s="213">
        <v>10620064</v>
      </c>
      <c r="AA48" s="213" t="s">
        <v>746</v>
      </c>
      <c r="AB48" s="213" t="s">
        <v>353</v>
      </c>
      <c r="AC48" s="213">
        <v>929</v>
      </c>
      <c r="AD48" s="241">
        <v>43951.062216900005</v>
      </c>
    </row>
    <row r="49" spans="1:30" x14ac:dyDescent="0.25">
      <c r="A49" s="168" t="s">
        <v>888</v>
      </c>
      <c r="B49" s="62" t="s">
        <v>396</v>
      </c>
      <c r="C49" s="62" t="s">
        <v>591</v>
      </c>
      <c r="D49" s="62" t="s">
        <v>593</v>
      </c>
      <c r="E49" s="49" t="s">
        <v>816</v>
      </c>
      <c r="F49" s="62" t="str">
        <f t="shared" si="1"/>
        <v>20106</v>
      </c>
      <c r="G49" s="62">
        <v>10620106</v>
      </c>
      <c r="H49" s="49" t="s">
        <v>388</v>
      </c>
      <c r="I49" s="69">
        <v>14</v>
      </c>
      <c r="J49" s="69">
        <v>3.2</v>
      </c>
      <c r="K49" s="69">
        <v>8.1</v>
      </c>
      <c r="L49" s="69">
        <f t="shared" si="2"/>
        <v>0.44800000000000006</v>
      </c>
      <c r="M49" s="69">
        <f t="shared" si="3"/>
        <v>1.1339999999999999</v>
      </c>
      <c r="N49" s="56">
        <f>INDEX(Rate_Chart!$A$1:$AK$127,MATCH(Data!J49,Rate_Chart!$A$1:$A$127,0),MATCH(Data!K49,Rate_Chart!$A$1:$AK$1,0))</f>
        <v>35.8631259</v>
      </c>
      <c r="O49" s="57">
        <f t="shared" si="4"/>
        <v>502.0837626</v>
      </c>
      <c r="P49" s="58">
        <f t="shared" si="5"/>
        <v>417.01309186046512</v>
      </c>
      <c r="Q49" s="58">
        <f t="shared" si="6"/>
        <v>278.00872790697673</v>
      </c>
      <c r="R49" s="66">
        <f t="shared" si="15"/>
        <v>8.7864658455000004</v>
      </c>
      <c r="S49" s="64">
        <f t="shared" si="7"/>
        <v>52.5</v>
      </c>
      <c r="T49" s="66">
        <f t="shared" si="8"/>
        <v>563.37022844550006</v>
      </c>
      <c r="U49" s="68">
        <f t="shared" si="9"/>
        <v>40.240730603250007</v>
      </c>
      <c r="V49" s="68">
        <f t="shared" si="10"/>
        <v>467.91547213081407</v>
      </c>
      <c r="W49" s="68">
        <f t="shared" si="11"/>
        <v>311.9436480872094</v>
      </c>
      <c r="Z49" s="213">
        <v>10620067</v>
      </c>
      <c r="AA49" s="213" t="s">
        <v>747</v>
      </c>
      <c r="AB49" s="213" t="s">
        <v>345</v>
      </c>
      <c r="AC49" s="213">
        <v>1445</v>
      </c>
      <c r="AD49" s="241">
        <v>70591.045725900025</v>
      </c>
    </row>
    <row r="50" spans="1:30" x14ac:dyDescent="0.25">
      <c r="A50" s="168" t="s">
        <v>888</v>
      </c>
      <c r="B50" s="62" t="s">
        <v>397</v>
      </c>
      <c r="C50" s="62" t="s">
        <v>591</v>
      </c>
      <c r="D50" s="62" t="s">
        <v>593</v>
      </c>
      <c r="E50" s="49" t="s">
        <v>816</v>
      </c>
      <c r="F50" s="62" t="str">
        <f t="shared" si="1"/>
        <v>20106</v>
      </c>
      <c r="G50" s="62">
        <v>10620106</v>
      </c>
      <c r="H50" s="49" t="s">
        <v>388</v>
      </c>
      <c r="I50" s="69">
        <v>27</v>
      </c>
      <c r="J50" s="69">
        <v>3.3</v>
      </c>
      <c r="K50" s="69">
        <v>8.1</v>
      </c>
      <c r="L50" s="69">
        <f t="shared" si="2"/>
        <v>0.8909999999999999</v>
      </c>
      <c r="M50" s="69">
        <f t="shared" si="3"/>
        <v>2.1869999999999998</v>
      </c>
      <c r="N50" s="56">
        <f>INDEX(Rate_Chart!$A$1:$AK$127,MATCH(Data!J50,Rate_Chart!$A$1:$A$127,0),MATCH(Data!K50,Rate_Chart!$A$1:$AK$1,0))</f>
        <v>36.280125900000002</v>
      </c>
      <c r="O50" s="57">
        <f t="shared" si="4"/>
        <v>979.56339930000001</v>
      </c>
      <c r="P50" s="58">
        <f t="shared" si="5"/>
        <v>417.0129413793104</v>
      </c>
      <c r="Q50" s="58">
        <f t="shared" si="6"/>
        <v>278.00862758620696</v>
      </c>
      <c r="R50" s="66">
        <f t="shared" si="15"/>
        <v>17.142359487750003</v>
      </c>
      <c r="S50" s="64">
        <f t="shared" si="7"/>
        <v>101.25</v>
      </c>
      <c r="T50" s="66">
        <f t="shared" si="8"/>
        <v>1097.95575878775</v>
      </c>
      <c r="U50" s="68">
        <f t="shared" si="9"/>
        <v>40.665028103250002</v>
      </c>
      <c r="V50" s="68">
        <f t="shared" si="10"/>
        <v>467.4141161293104</v>
      </c>
      <c r="W50" s="68">
        <f t="shared" si="11"/>
        <v>311.6094107528736</v>
      </c>
      <c r="Z50" s="213">
        <v>10620068</v>
      </c>
      <c r="AA50" s="213" t="s">
        <v>748</v>
      </c>
      <c r="AB50" s="213" t="s">
        <v>372</v>
      </c>
      <c r="AC50" s="213">
        <v>781</v>
      </c>
      <c r="AD50" s="241">
        <v>35178.674741700001</v>
      </c>
    </row>
    <row r="51" spans="1:30" x14ac:dyDescent="0.25">
      <c r="A51" s="168" t="s">
        <v>889</v>
      </c>
      <c r="B51" s="62" t="s">
        <v>396</v>
      </c>
      <c r="C51" s="62" t="s">
        <v>591</v>
      </c>
      <c r="D51" s="62" t="s">
        <v>593</v>
      </c>
      <c r="E51" s="49" t="s">
        <v>816</v>
      </c>
      <c r="F51" s="62" t="str">
        <f t="shared" si="1"/>
        <v>20106</v>
      </c>
      <c r="G51" s="62">
        <v>10620106</v>
      </c>
      <c r="H51" s="49" t="s">
        <v>387</v>
      </c>
      <c r="I51" s="69">
        <v>8</v>
      </c>
      <c r="J51" s="69">
        <v>7.6</v>
      </c>
      <c r="K51" s="69">
        <v>8.8000000000000007</v>
      </c>
      <c r="L51" s="69">
        <f t="shared" si="2"/>
        <v>0.60799999999999998</v>
      </c>
      <c r="M51" s="69">
        <f t="shared" si="3"/>
        <v>0.70400000000000007</v>
      </c>
      <c r="N51" s="56">
        <f>INDEX(Rate_Chart!$A$1:$AK$127,MATCH(Data!J51,Rate_Chart!$A$1:$A$127,0),MATCH(Data!K51,Rate_Chart!$A$1:$AK$1,0))</f>
        <v>62.825400000000002</v>
      </c>
      <c r="O51" s="57">
        <f t="shared" si="4"/>
        <v>502.60320000000002</v>
      </c>
      <c r="P51" s="58">
        <f t="shared" si="5"/>
        <v>466.5252475247525</v>
      </c>
      <c r="Q51" s="58">
        <f t="shared" si="6"/>
        <v>311.01683168316833</v>
      </c>
      <c r="R51" s="66">
        <f t="shared" si="15"/>
        <v>8.7955560000000013</v>
      </c>
      <c r="S51" s="64">
        <f t="shared" si="7"/>
        <v>30</v>
      </c>
      <c r="T51" s="66">
        <f t="shared" si="8"/>
        <v>541.39875600000005</v>
      </c>
      <c r="U51" s="68">
        <f t="shared" si="9"/>
        <v>67.674844500000006</v>
      </c>
      <c r="V51" s="68">
        <f t="shared" si="10"/>
        <v>502.53597400990105</v>
      </c>
      <c r="W51" s="68">
        <f t="shared" si="11"/>
        <v>335.02398267326737</v>
      </c>
      <c r="Z51" s="213">
        <v>10620069</v>
      </c>
      <c r="AA51" s="213" t="s">
        <v>749</v>
      </c>
      <c r="AB51" s="213" t="s">
        <v>382</v>
      </c>
      <c r="AC51" s="213">
        <v>790</v>
      </c>
      <c r="AD51" s="241">
        <v>35009.718528100006</v>
      </c>
    </row>
    <row r="52" spans="1:30" x14ac:dyDescent="0.25">
      <c r="A52" s="168" t="s">
        <v>889</v>
      </c>
      <c r="B52" s="62" t="s">
        <v>396</v>
      </c>
      <c r="C52" s="62" t="s">
        <v>591</v>
      </c>
      <c r="D52" s="62" t="s">
        <v>593</v>
      </c>
      <c r="E52" s="49" t="s">
        <v>816</v>
      </c>
      <c r="F52" s="62" t="str">
        <f t="shared" si="1"/>
        <v>20106</v>
      </c>
      <c r="G52" s="62">
        <v>10620106</v>
      </c>
      <c r="H52" s="49" t="s">
        <v>388</v>
      </c>
      <c r="I52" s="69">
        <v>16</v>
      </c>
      <c r="J52" s="69">
        <v>3.3</v>
      </c>
      <c r="K52" s="69">
        <v>8.1</v>
      </c>
      <c r="L52" s="69">
        <f t="shared" si="2"/>
        <v>0.52800000000000002</v>
      </c>
      <c r="M52" s="69">
        <f t="shared" si="3"/>
        <v>1.296</v>
      </c>
      <c r="N52" s="56">
        <f>INDEX(Rate_Chart!$A$1:$AK$127,MATCH(Data!J52,Rate_Chart!$A$1:$A$127,0),MATCH(Data!K52,Rate_Chart!$A$1:$AK$1,0))</f>
        <v>36.280125900000002</v>
      </c>
      <c r="O52" s="57">
        <f t="shared" si="4"/>
        <v>580.48201440000003</v>
      </c>
      <c r="P52" s="58">
        <f t="shared" si="5"/>
        <v>417.0129413793104</v>
      </c>
      <c r="Q52" s="58">
        <f t="shared" si="6"/>
        <v>278.00862758620696</v>
      </c>
      <c r="R52" s="66">
        <f t="shared" si="15"/>
        <v>10.158435252000002</v>
      </c>
      <c r="S52" s="64">
        <f t="shared" si="7"/>
        <v>60</v>
      </c>
      <c r="T52" s="66">
        <f t="shared" si="8"/>
        <v>650.64044965200003</v>
      </c>
      <c r="U52" s="68">
        <f t="shared" si="9"/>
        <v>40.665028103250002</v>
      </c>
      <c r="V52" s="68">
        <f t="shared" si="10"/>
        <v>467.4141161293104</v>
      </c>
      <c r="W52" s="68">
        <f t="shared" si="11"/>
        <v>311.6094107528736</v>
      </c>
      <c r="Z52" s="213">
        <v>10620070</v>
      </c>
      <c r="AA52" s="213" t="s">
        <v>750</v>
      </c>
      <c r="AB52" s="213" t="s">
        <v>352</v>
      </c>
      <c r="AC52" s="213">
        <v>1128</v>
      </c>
      <c r="AD52" s="241">
        <v>46197.169636700004</v>
      </c>
    </row>
    <row r="53" spans="1:30" x14ac:dyDescent="0.25">
      <c r="A53" s="168" t="s">
        <v>889</v>
      </c>
      <c r="B53" s="62" t="s">
        <v>397</v>
      </c>
      <c r="C53" s="62" t="s">
        <v>591</v>
      </c>
      <c r="D53" s="62" t="s">
        <v>593</v>
      </c>
      <c r="E53" s="49" t="s">
        <v>816</v>
      </c>
      <c r="F53" s="62" t="str">
        <f t="shared" si="1"/>
        <v>20106</v>
      </c>
      <c r="G53" s="62">
        <v>10620106</v>
      </c>
      <c r="H53" s="49" t="s">
        <v>388</v>
      </c>
      <c r="I53" s="69">
        <v>30</v>
      </c>
      <c r="J53" s="69">
        <v>3.4</v>
      </c>
      <c r="K53" s="69">
        <v>8.1</v>
      </c>
      <c r="L53" s="69">
        <f t="shared" si="2"/>
        <v>1.02</v>
      </c>
      <c r="M53" s="69">
        <f t="shared" si="3"/>
        <v>2.4300000000000002</v>
      </c>
      <c r="N53" s="56">
        <f>INDEX(Rate_Chart!$A$1:$AK$127,MATCH(Data!J53,Rate_Chart!$A$1:$A$127,0),MATCH(Data!K53,Rate_Chart!$A$1:$AK$1,0))</f>
        <v>36.697125900000003</v>
      </c>
      <c r="O53" s="57">
        <f t="shared" si="4"/>
        <v>1100.9137770000002</v>
      </c>
      <c r="P53" s="58">
        <f t="shared" si="5"/>
        <v>417.01279431818188</v>
      </c>
      <c r="Q53" s="58">
        <f t="shared" si="6"/>
        <v>278.00852954545456</v>
      </c>
      <c r="R53" s="66">
        <f t="shared" si="15"/>
        <v>19.265991097500006</v>
      </c>
      <c r="S53" s="64">
        <f t="shared" si="7"/>
        <v>112.5</v>
      </c>
      <c r="T53" s="66">
        <f t="shared" si="8"/>
        <v>1232.6797680975003</v>
      </c>
      <c r="U53" s="68">
        <f t="shared" si="9"/>
        <v>41.08932560325001</v>
      </c>
      <c r="V53" s="68">
        <f t="shared" si="10"/>
        <v>466.92415458238651</v>
      </c>
      <c r="W53" s="68">
        <f t="shared" si="11"/>
        <v>311.28276972159102</v>
      </c>
      <c r="Z53" s="213">
        <v>10620071</v>
      </c>
      <c r="AA53" s="213" t="s">
        <v>751</v>
      </c>
      <c r="AB53" s="213" t="s">
        <v>597</v>
      </c>
      <c r="AC53" s="213">
        <v>615</v>
      </c>
      <c r="AD53" s="241">
        <v>25437.826661100004</v>
      </c>
    </row>
    <row r="54" spans="1:30" x14ac:dyDescent="0.25">
      <c r="A54" s="168" t="s">
        <v>890</v>
      </c>
      <c r="B54" s="62" t="s">
        <v>396</v>
      </c>
      <c r="C54" s="62" t="s">
        <v>591</v>
      </c>
      <c r="D54" s="62" t="s">
        <v>593</v>
      </c>
      <c r="E54" s="49" t="s">
        <v>816</v>
      </c>
      <c r="F54" s="62" t="str">
        <f t="shared" si="1"/>
        <v>20106</v>
      </c>
      <c r="G54" s="62">
        <v>10620106</v>
      </c>
      <c r="H54" s="49" t="s">
        <v>387</v>
      </c>
      <c r="I54" s="69">
        <v>7</v>
      </c>
      <c r="J54" s="69">
        <v>7.7</v>
      </c>
      <c r="K54" s="69">
        <v>8.8000000000000007</v>
      </c>
      <c r="L54" s="69">
        <f t="shared" si="2"/>
        <v>0.53900000000000003</v>
      </c>
      <c r="M54" s="69">
        <f t="shared" si="3"/>
        <v>0.6160000000000001</v>
      </c>
      <c r="N54" s="56">
        <f>INDEX(Rate_Chart!$A$1:$AK$127,MATCH(Data!J54,Rate_Chart!$A$1:$A$127,0),MATCH(Data!K54,Rate_Chart!$A$1:$AK$1,0))</f>
        <v>63.652050000000003</v>
      </c>
      <c r="O54" s="57">
        <f t="shared" si="4"/>
        <v>445.56434999999999</v>
      </c>
      <c r="P54" s="58">
        <f t="shared" si="5"/>
        <v>469.17972972972979</v>
      </c>
      <c r="Q54" s="58">
        <f t="shared" si="6"/>
        <v>312.78648648648652</v>
      </c>
      <c r="R54" s="66">
        <f t="shared" si="15"/>
        <v>7.7973761250000004</v>
      </c>
      <c r="S54" s="64">
        <f t="shared" si="7"/>
        <v>26.25</v>
      </c>
      <c r="T54" s="66">
        <f t="shared" si="8"/>
        <v>479.61172612500002</v>
      </c>
      <c r="U54" s="68">
        <f t="shared" si="9"/>
        <v>68.515960875000005</v>
      </c>
      <c r="V54" s="68">
        <f t="shared" si="10"/>
        <v>505.03165264127773</v>
      </c>
      <c r="W54" s="68">
        <f t="shared" si="11"/>
        <v>336.68776842751851</v>
      </c>
      <c r="Z54" s="213">
        <v>10620072</v>
      </c>
      <c r="AA54" s="213" t="s">
        <v>752</v>
      </c>
      <c r="AB54" s="213" t="s">
        <v>342</v>
      </c>
      <c r="AC54" s="213">
        <v>63</v>
      </c>
      <c r="AD54" s="241">
        <v>2941.1129860000001</v>
      </c>
    </row>
    <row r="55" spans="1:30" x14ac:dyDescent="0.25">
      <c r="A55" s="168" t="s">
        <v>890</v>
      </c>
      <c r="B55" s="62" t="s">
        <v>396</v>
      </c>
      <c r="C55" s="62" t="s">
        <v>591</v>
      </c>
      <c r="D55" s="62" t="s">
        <v>593</v>
      </c>
      <c r="E55" s="49" t="s">
        <v>816</v>
      </c>
      <c r="F55" s="62" t="str">
        <f t="shared" si="1"/>
        <v>20106</v>
      </c>
      <c r="G55" s="62">
        <v>10620106</v>
      </c>
      <c r="H55" s="49" t="s">
        <v>388</v>
      </c>
      <c r="I55" s="69">
        <v>17</v>
      </c>
      <c r="J55" s="69">
        <v>3.3</v>
      </c>
      <c r="K55" s="69">
        <v>8.1</v>
      </c>
      <c r="L55" s="69">
        <f t="shared" si="2"/>
        <v>0.56099999999999994</v>
      </c>
      <c r="M55" s="69">
        <f t="shared" si="3"/>
        <v>1.3769999999999998</v>
      </c>
      <c r="N55" s="56">
        <f>INDEX(Rate_Chart!$A$1:$AK$127,MATCH(Data!J55,Rate_Chart!$A$1:$A$127,0),MATCH(Data!K55,Rate_Chart!$A$1:$AK$1,0))</f>
        <v>36.280125900000002</v>
      </c>
      <c r="O55" s="57">
        <f t="shared" si="4"/>
        <v>616.76214030000006</v>
      </c>
      <c r="P55" s="58">
        <f t="shared" si="5"/>
        <v>417.0129413793104</v>
      </c>
      <c r="Q55" s="58">
        <f t="shared" si="6"/>
        <v>278.00862758620696</v>
      </c>
      <c r="R55" s="66">
        <f t="shared" si="15"/>
        <v>10.793337455250002</v>
      </c>
      <c r="S55" s="64">
        <f t="shared" si="7"/>
        <v>63.75</v>
      </c>
      <c r="T55" s="66">
        <f t="shared" si="8"/>
        <v>691.30547775525008</v>
      </c>
      <c r="U55" s="68">
        <f t="shared" si="9"/>
        <v>40.665028103250002</v>
      </c>
      <c r="V55" s="68">
        <f t="shared" si="10"/>
        <v>467.4141161293104</v>
      </c>
      <c r="W55" s="68">
        <f t="shared" si="11"/>
        <v>311.6094107528736</v>
      </c>
      <c r="Z55" s="213">
        <v>10620075</v>
      </c>
      <c r="AA55" s="213" t="s">
        <v>880</v>
      </c>
      <c r="AB55" s="213" t="s">
        <v>879</v>
      </c>
      <c r="AC55" s="213">
        <v>687</v>
      </c>
      <c r="AD55" s="241">
        <v>35849.911605900008</v>
      </c>
    </row>
    <row r="56" spans="1:30" x14ac:dyDescent="0.25">
      <c r="A56" s="168" t="s">
        <v>890</v>
      </c>
      <c r="B56" s="62" t="s">
        <v>397</v>
      </c>
      <c r="C56" s="62" t="s">
        <v>591</v>
      </c>
      <c r="D56" s="62" t="s">
        <v>593</v>
      </c>
      <c r="E56" s="49" t="s">
        <v>816</v>
      </c>
      <c r="F56" s="62" t="str">
        <f t="shared" si="1"/>
        <v>20106</v>
      </c>
      <c r="G56" s="62">
        <v>10620106</v>
      </c>
      <c r="H56" s="49" t="s">
        <v>388</v>
      </c>
      <c r="I56" s="69">
        <v>36</v>
      </c>
      <c r="J56" s="69">
        <v>3.2</v>
      </c>
      <c r="K56" s="69">
        <v>8.1</v>
      </c>
      <c r="L56" s="69">
        <f t="shared" si="2"/>
        <v>1.1520000000000001</v>
      </c>
      <c r="M56" s="69">
        <f t="shared" si="3"/>
        <v>2.9159999999999995</v>
      </c>
      <c r="N56" s="56">
        <f>INDEX(Rate_Chart!$A$1:$AK$127,MATCH(Data!J56,Rate_Chart!$A$1:$A$127,0),MATCH(Data!K56,Rate_Chart!$A$1:$AK$1,0))</f>
        <v>35.8631259</v>
      </c>
      <c r="O56" s="57">
        <f t="shared" si="4"/>
        <v>1291.0725324</v>
      </c>
      <c r="P56" s="58">
        <f t="shared" si="5"/>
        <v>417.01309186046512</v>
      </c>
      <c r="Q56" s="58">
        <f t="shared" si="6"/>
        <v>278.00872790697673</v>
      </c>
      <c r="R56" s="66">
        <f t="shared" si="15"/>
        <v>22.593769317000003</v>
      </c>
      <c r="S56" s="64">
        <f t="shared" si="7"/>
        <v>135</v>
      </c>
      <c r="T56" s="66">
        <f t="shared" si="8"/>
        <v>1448.6663017169999</v>
      </c>
      <c r="U56" s="68">
        <f t="shared" si="9"/>
        <v>40.24073060325</v>
      </c>
      <c r="V56" s="68">
        <f t="shared" si="10"/>
        <v>467.91547213081401</v>
      </c>
      <c r="W56" s="68">
        <f t="shared" si="11"/>
        <v>311.94364808720934</v>
      </c>
      <c r="Z56" s="213">
        <v>10620076</v>
      </c>
      <c r="AA56" s="213" t="s">
        <v>753</v>
      </c>
      <c r="AB56" s="213" t="s">
        <v>346</v>
      </c>
      <c r="AC56" s="213">
        <v>320</v>
      </c>
      <c r="AD56" s="241">
        <v>12692.890873800003</v>
      </c>
    </row>
    <row r="57" spans="1:30" x14ac:dyDescent="0.25">
      <c r="A57" s="168" t="s">
        <v>891</v>
      </c>
      <c r="B57" s="62" t="s">
        <v>396</v>
      </c>
      <c r="C57" s="62" t="s">
        <v>591</v>
      </c>
      <c r="D57" s="62" t="s">
        <v>593</v>
      </c>
      <c r="E57" s="49" t="s">
        <v>816</v>
      </c>
      <c r="F57" s="62" t="str">
        <f t="shared" si="1"/>
        <v>20106</v>
      </c>
      <c r="G57" s="62">
        <v>10620106</v>
      </c>
      <c r="H57" s="49" t="s">
        <v>387</v>
      </c>
      <c r="I57" s="69">
        <v>6</v>
      </c>
      <c r="J57" s="69">
        <v>7</v>
      </c>
      <c r="K57" s="69">
        <v>8.8000000000000007</v>
      </c>
      <c r="L57" s="69">
        <f t="shared" si="2"/>
        <v>0.42</v>
      </c>
      <c r="M57" s="69">
        <f t="shared" si="3"/>
        <v>0.52800000000000002</v>
      </c>
      <c r="N57" s="56">
        <f>INDEX(Rate_Chart!$A$1:$AK$127,MATCH(Data!J57,Rate_Chart!$A$1:$A$127,0),MATCH(Data!K57,Rate_Chart!$A$1:$AK$1,0))</f>
        <v>57.865500000000004</v>
      </c>
      <c r="O57" s="57">
        <f t="shared" si="4"/>
        <v>347.19300000000004</v>
      </c>
      <c r="P57" s="58">
        <f t="shared" si="5"/>
        <v>449.73186528497411</v>
      </c>
      <c r="Q57" s="58">
        <f t="shared" si="6"/>
        <v>299.82124352331607</v>
      </c>
      <c r="R57" s="66">
        <f t="shared" si="15"/>
        <v>6.0758775000000016</v>
      </c>
      <c r="S57" s="64">
        <f t="shared" si="7"/>
        <v>22.5</v>
      </c>
      <c r="T57" s="66">
        <f t="shared" si="8"/>
        <v>375.76887750000003</v>
      </c>
      <c r="U57" s="68">
        <f t="shared" si="9"/>
        <v>62.628146250000007</v>
      </c>
      <c r="V57" s="68">
        <f t="shared" si="10"/>
        <v>486.74725064766841</v>
      </c>
      <c r="W57" s="68">
        <f t="shared" si="11"/>
        <v>324.49816709844561</v>
      </c>
      <c r="Z57" s="213">
        <v>10620077</v>
      </c>
      <c r="AA57" s="213" t="s">
        <v>754</v>
      </c>
      <c r="AB57" s="213" t="s">
        <v>354</v>
      </c>
      <c r="AC57" s="213">
        <v>223</v>
      </c>
      <c r="AD57" s="241">
        <v>9415.4797362000027</v>
      </c>
    </row>
    <row r="58" spans="1:30" x14ac:dyDescent="0.25">
      <c r="A58" s="168" t="s">
        <v>891</v>
      </c>
      <c r="B58" s="62" t="s">
        <v>396</v>
      </c>
      <c r="C58" s="62" t="s">
        <v>591</v>
      </c>
      <c r="D58" s="62" t="s">
        <v>593</v>
      </c>
      <c r="E58" s="49" t="s">
        <v>816</v>
      </c>
      <c r="F58" s="62" t="str">
        <f t="shared" si="1"/>
        <v>20106</v>
      </c>
      <c r="G58" s="62">
        <v>10620106</v>
      </c>
      <c r="H58" s="49" t="s">
        <v>388</v>
      </c>
      <c r="I58" s="69">
        <v>17</v>
      </c>
      <c r="J58" s="69">
        <v>3.4</v>
      </c>
      <c r="K58" s="69">
        <v>8.1</v>
      </c>
      <c r="L58" s="69">
        <f t="shared" si="2"/>
        <v>0.57799999999999996</v>
      </c>
      <c r="M58" s="69">
        <f t="shared" si="3"/>
        <v>1.3769999999999998</v>
      </c>
      <c r="N58" s="56">
        <f>INDEX(Rate_Chart!$A$1:$AK$127,MATCH(Data!J58,Rate_Chart!$A$1:$A$127,0),MATCH(Data!K58,Rate_Chart!$A$1:$AK$1,0))</f>
        <v>36.697125900000003</v>
      </c>
      <c r="O58" s="57">
        <f t="shared" si="4"/>
        <v>623.8511403</v>
      </c>
      <c r="P58" s="58">
        <f t="shared" si="5"/>
        <v>417.01279431818188</v>
      </c>
      <c r="Q58" s="58">
        <f t="shared" si="6"/>
        <v>278.00852954545456</v>
      </c>
      <c r="R58" s="66">
        <f t="shared" si="15"/>
        <v>10.917394955250002</v>
      </c>
      <c r="S58" s="64">
        <f t="shared" si="7"/>
        <v>63.75</v>
      </c>
      <c r="T58" s="66">
        <f t="shared" si="8"/>
        <v>698.51853525524996</v>
      </c>
      <c r="U58" s="68">
        <f t="shared" si="9"/>
        <v>41.089325603249996</v>
      </c>
      <c r="V58" s="68">
        <f t="shared" si="10"/>
        <v>466.92415458238634</v>
      </c>
      <c r="W58" s="68">
        <f t="shared" si="11"/>
        <v>311.28276972159091</v>
      </c>
      <c r="Z58" s="213">
        <v>10620099</v>
      </c>
      <c r="AA58" s="213" t="s">
        <v>810</v>
      </c>
      <c r="AB58" s="213" t="s">
        <v>809</v>
      </c>
      <c r="AC58" s="213">
        <v>369</v>
      </c>
      <c r="AD58" s="241">
        <v>13229.736620700001</v>
      </c>
    </row>
    <row r="59" spans="1:30" x14ac:dyDescent="0.25">
      <c r="A59" s="168" t="s">
        <v>891</v>
      </c>
      <c r="B59" s="62" t="s">
        <v>397</v>
      </c>
      <c r="C59" s="62" t="s">
        <v>591</v>
      </c>
      <c r="D59" s="62" t="s">
        <v>593</v>
      </c>
      <c r="E59" s="49" t="s">
        <v>816</v>
      </c>
      <c r="F59" s="62" t="str">
        <f t="shared" si="1"/>
        <v>20106</v>
      </c>
      <c r="G59" s="62">
        <v>10620106</v>
      </c>
      <c r="H59" s="49" t="s">
        <v>388</v>
      </c>
      <c r="I59" s="69">
        <v>35</v>
      </c>
      <c r="J59" s="69">
        <v>3.2</v>
      </c>
      <c r="K59" s="69">
        <v>8.1</v>
      </c>
      <c r="L59" s="69">
        <f t="shared" si="2"/>
        <v>1.1200000000000001</v>
      </c>
      <c r="M59" s="69">
        <f t="shared" si="3"/>
        <v>2.835</v>
      </c>
      <c r="N59" s="56">
        <f>INDEX(Rate_Chart!$A$1:$AK$127,MATCH(Data!J59,Rate_Chart!$A$1:$A$127,0),MATCH(Data!K59,Rate_Chart!$A$1:$AK$1,0))</f>
        <v>35.8631259</v>
      </c>
      <c r="O59" s="57">
        <f t="shared" si="4"/>
        <v>1255.2094065000001</v>
      </c>
      <c r="P59" s="58">
        <f t="shared" si="5"/>
        <v>417.01309186046512</v>
      </c>
      <c r="Q59" s="58">
        <f t="shared" si="6"/>
        <v>278.00872790697673</v>
      </c>
      <c r="R59" s="66">
        <f t="shared" si="15"/>
        <v>21.966164613750003</v>
      </c>
      <c r="S59" s="64">
        <f t="shared" si="7"/>
        <v>131.25</v>
      </c>
      <c r="T59" s="66">
        <f t="shared" si="8"/>
        <v>1408.42557111375</v>
      </c>
      <c r="U59" s="68">
        <f t="shared" si="9"/>
        <v>40.24073060325</v>
      </c>
      <c r="V59" s="68">
        <f t="shared" si="10"/>
        <v>467.91547213081401</v>
      </c>
      <c r="W59" s="68">
        <f t="shared" si="11"/>
        <v>311.94364808720934</v>
      </c>
      <c r="Z59" s="213">
        <v>10620100</v>
      </c>
      <c r="AA59" s="213" t="s">
        <v>755</v>
      </c>
      <c r="AB59" s="213" t="s">
        <v>705</v>
      </c>
      <c r="AC59" s="213">
        <v>910</v>
      </c>
      <c r="AD59" s="241">
        <v>50809.624750000003</v>
      </c>
    </row>
    <row r="60" spans="1:30" x14ac:dyDescent="0.25">
      <c r="A60" s="168" t="s">
        <v>892</v>
      </c>
      <c r="B60" s="62" t="s">
        <v>396</v>
      </c>
      <c r="C60" s="62" t="s">
        <v>591</v>
      </c>
      <c r="D60" s="62" t="s">
        <v>593</v>
      </c>
      <c r="E60" s="49" t="s">
        <v>816</v>
      </c>
      <c r="F60" s="62" t="str">
        <f t="shared" si="1"/>
        <v>20106</v>
      </c>
      <c r="G60" s="62">
        <v>10620106</v>
      </c>
      <c r="H60" s="49" t="s">
        <v>387</v>
      </c>
      <c r="I60" s="69">
        <v>7</v>
      </c>
      <c r="J60" s="69">
        <v>7.6</v>
      </c>
      <c r="K60" s="69">
        <v>8.8000000000000007</v>
      </c>
      <c r="L60" s="69">
        <f t="shared" si="2"/>
        <v>0.53199999999999992</v>
      </c>
      <c r="M60" s="69">
        <f t="shared" si="3"/>
        <v>0.6160000000000001</v>
      </c>
      <c r="N60" s="56">
        <f>INDEX(Rate_Chart!$A$1:$AK$127,MATCH(Data!J60,Rate_Chart!$A$1:$A$127,0),MATCH(Data!K60,Rate_Chart!$A$1:$AK$1,0))</f>
        <v>62.825400000000002</v>
      </c>
      <c r="O60" s="57">
        <f t="shared" si="4"/>
        <v>439.77780000000001</v>
      </c>
      <c r="P60" s="58">
        <f t="shared" si="5"/>
        <v>466.5252475247525</v>
      </c>
      <c r="Q60" s="58">
        <f t="shared" si="6"/>
        <v>311.01683168316833</v>
      </c>
      <c r="R60" s="66">
        <f t="shared" si="15"/>
        <v>7.6961115000000007</v>
      </c>
      <c r="S60" s="64">
        <f t="shared" si="7"/>
        <v>26.25</v>
      </c>
      <c r="T60" s="66">
        <f t="shared" si="8"/>
        <v>473.72391149999999</v>
      </c>
      <c r="U60" s="68">
        <f t="shared" si="9"/>
        <v>67.674844499999992</v>
      </c>
      <c r="V60" s="68">
        <f t="shared" si="10"/>
        <v>502.53597400990094</v>
      </c>
      <c r="W60" s="68">
        <f t="shared" si="11"/>
        <v>335.02398267326731</v>
      </c>
      <c r="Z60" s="213">
        <v>10620101</v>
      </c>
      <c r="AA60" s="213" t="s">
        <v>767</v>
      </c>
      <c r="AB60" s="213" t="s">
        <v>765</v>
      </c>
      <c r="AC60" s="213">
        <v>183</v>
      </c>
      <c r="AD60" s="241">
        <v>8680.7026807999991</v>
      </c>
    </row>
    <row r="61" spans="1:30" x14ac:dyDescent="0.25">
      <c r="A61" s="168" t="s">
        <v>892</v>
      </c>
      <c r="B61" s="62" t="s">
        <v>396</v>
      </c>
      <c r="C61" s="62" t="s">
        <v>591</v>
      </c>
      <c r="D61" s="62" t="s">
        <v>593</v>
      </c>
      <c r="E61" s="49" t="s">
        <v>816</v>
      </c>
      <c r="F61" s="62" t="str">
        <f t="shared" si="1"/>
        <v>20106</v>
      </c>
      <c r="G61" s="62">
        <v>10620106</v>
      </c>
      <c r="H61" s="49" t="s">
        <v>388</v>
      </c>
      <c r="I61" s="69">
        <v>18</v>
      </c>
      <c r="J61" s="69">
        <v>3.4</v>
      </c>
      <c r="K61" s="69">
        <v>8.1</v>
      </c>
      <c r="L61" s="69">
        <f t="shared" si="2"/>
        <v>0.61199999999999999</v>
      </c>
      <c r="M61" s="69">
        <f t="shared" si="3"/>
        <v>1.4579999999999997</v>
      </c>
      <c r="N61" s="56">
        <f>INDEX(Rate_Chart!$A$1:$AK$127,MATCH(Data!J61,Rate_Chart!$A$1:$A$127,0),MATCH(Data!K61,Rate_Chart!$A$1:$AK$1,0))</f>
        <v>36.697125900000003</v>
      </c>
      <c r="O61" s="57">
        <f t="shared" si="4"/>
        <v>660.54826620000006</v>
      </c>
      <c r="P61" s="58">
        <f t="shared" si="5"/>
        <v>417.01279431818188</v>
      </c>
      <c r="Q61" s="58">
        <f t="shared" si="6"/>
        <v>278.00852954545456</v>
      </c>
      <c r="R61" s="66">
        <f t="shared" si="15"/>
        <v>11.559594658500002</v>
      </c>
      <c r="S61" s="64">
        <f t="shared" si="7"/>
        <v>67.5</v>
      </c>
      <c r="T61" s="66">
        <f t="shared" si="8"/>
        <v>739.60786085850009</v>
      </c>
      <c r="U61" s="68">
        <f t="shared" si="9"/>
        <v>41.089325603250003</v>
      </c>
      <c r="V61" s="68">
        <f t="shared" si="10"/>
        <v>466.92415458238645</v>
      </c>
      <c r="W61" s="68">
        <f t="shared" si="11"/>
        <v>311.28276972159097</v>
      </c>
      <c r="Z61" s="213">
        <v>10620102</v>
      </c>
      <c r="AA61" s="213" t="s">
        <v>768</v>
      </c>
      <c r="AB61" s="213" t="s">
        <v>766</v>
      </c>
      <c r="AC61" s="213">
        <v>403</v>
      </c>
      <c r="AD61" s="241">
        <v>18998.7335365</v>
      </c>
    </row>
    <row r="62" spans="1:30" x14ac:dyDescent="0.25">
      <c r="A62" s="168" t="s">
        <v>892</v>
      </c>
      <c r="B62" s="62" t="s">
        <v>397</v>
      </c>
      <c r="C62" s="62" t="s">
        <v>591</v>
      </c>
      <c r="D62" s="62" t="s">
        <v>593</v>
      </c>
      <c r="E62" s="49" t="s">
        <v>816</v>
      </c>
      <c r="F62" s="62" t="str">
        <f t="shared" si="1"/>
        <v>20106</v>
      </c>
      <c r="G62" s="62">
        <v>10620106</v>
      </c>
      <c r="H62" s="49" t="s">
        <v>388</v>
      </c>
      <c r="I62" s="69">
        <v>32</v>
      </c>
      <c r="J62" s="69">
        <v>3.1</v>
      </c>
      <c r="K62" s="69">
        <v>8.1</v>
      </c>
      <c r="L62" s="69">
        <f t="shared" si="2"/>
        <v>0.99199999999999999</v>
      </c>
      <c r="M62" s="69">
        <f t="shared" si="3"/>
        <v>2.5920000000000001</v>
      </c>
      <c r="N62" s="56">
        <f>INDEX(Rate_Chart!$A$1:$AK$127,MATCH(Data!J62,Rate_Chart!$A$1:$A$127,0),MATCH(Data!K62,Rate_Chart!$A$1:$AK$1,0))</f>
        <v>35.446125899999998</v>
      </c>
      <c r="O62" s="57">
        <f t="shared" si="4"/>
        <v>1134.2760287999999</v>
      </c>
      <c r="P62" s="58">
        <f t="shared" si="5"/>
        <v>417.01324588235298</v>
      </c>
      <c r="Q62" s="58">
        <f t="shared" si="6"/>
        <v>278.0088305882353</v>
      </c>
      <c r="R62" s="66">
        <f t="shared" si="15"/>
        <v>19.849830504</v>
      </c>
      <c r="S62" s="64">
        <f t="shared" si="7"/>
        <v>120</v>
      </c>
      <c r="T62" s="66">
        <f t="shared" si="8"/>
        <v>1274.125859304</v>
      </c>
      <c r="U62" s="68">
        <f t="shared" si="9"/>
        <v>39.816433103249999</v>
      </c>
      <c r="V62" s="68">
        <f t="shared" si="10"/>
        <v>468.42862474411766</v>
      </c>
      <c r="W62" s="68">
        <f t="shared" si="11"/>
        <v>312.28574982941177</v>
      </c>
      <c r="Z62" s="213">
        <v>10620104</v>
      </c>
      <c r="AA62" s="213" t="s">
        <v>818</v>
      </c>
      <c r="AB62" s="213" t="s">
        <v>815</v>
      </c>
      <c r="AC62" s="213">
        <v>320</v>
      </c>
      <c r="AD62" s="241">
        <v>11501.076840000002</v>
      </c>
    </row>
    <row r="63" spans="1:30" x14ac:dyDescent="0.25">
      <c r="A63" s="168" t="s">
        <v>893</v>
      </c>
      <c r="B63" s="62" t="s">
        <v>396</v>
      </c>
      <c r="C63" s="62" t="s">
        <v>591</v>
      </c>
      <c r="D63" s="62" t="s">
        <v>593</v>
      </c>
      <c r="E63" s="49" t="s">
        <v>816</v>
      </c>
      <c r="F63" s="62" t="str">
        <f t="shared" si="1"/>
        <v>20106</v>
      </c>
      <c r="G63" s="62">
        <v>10620106</v>
      </c>
      <c r="H63" s="49" t="s">
        <v>387</v>
      </c>
      <c r="I63" s="69">
        <v>8</v>
      </c>
      <c r="J63" s="69">
        <v>7.4</v>
      </c>
      <c r="K63" s="69">
        <v>8.8000000000000007</v>
      </c>
      <c r="L63" s="69">
        <f t="shared" si="2"/>
        <v>0.59200000000000008</v>
      </c>
      <c r="M63" s="69">
        <f t="shared" si="3"/>
        <v>0.70400000000000007</v>
      </c>
      <c r="N63" s="56">
        <f>INDEX(Rate_Chart!$A$1:$AK$127,MATCH(Data!J63,Rate_Chart!$A$1:$A$127,0),MATCH(Data!K63,Rate_Chart!$A$1:$AK$1,0))</f>
        <v>61.172100000000007</v>
      </c>
      <c r="O63" s="57">
        <f t="shared" si="4"/>
        <v>489.37680000000006</v>
      </c>
      <c r="P63" s="58">
        <f t="shared" si="5"/>
        <v>461.09623115577887</v>
      </c>
      <c r="Q63" s="58">
        <f t="shared" si="6"/>
        <v>307.39748743718593</v>
      </c>
      <c r="R63" s="66">
        <f t="shared" si="15"/>
        <v>8.5640940000000025</v>
      </c>
      <c r="S63" s="64">
        <f t="shared" si="7"/>
        <v>30</v>
      </c>
      <c r="T63" s="66">
        <f t="shared" si="8"/>
        <v>527.94089400000007</v>
      </c>
      <c r="U63" s="68">
        <f t="shared" si="9"/>
        <v>65.992611750000009</v>
      </c>
      <c r="V63" s="68">
        <f t="shared" si="10"/>
        <v>497.43174685929648</v>
      </c>
      <c r="W63" s="68">
        <f t="shared" si="11"/>
        <v>331.6211645728643</v>
      </c>
      <c r="Z63" s="213">
        <v>10620106</v>
      </c>
      <c r="AA63" s="213" t="s">
        <v>819</v>
      </c>
      <c r="AB63" s="213" t="s">
        <v>816</v>
      </c>
      <c r="AC63" s="213">
        <v>395</v>
      </c>
      <c r="AD63" s="241">
        <v>15523.429062900001</v>
      </c>
    </row>
    <row r="64" spans="1:30" x14ac:dyDescent="0.25">
      <c r="A64" s="168" t="s">
        <v>893</v>
      </c>
      <c r="B64" s="62" t="s">
        <v>396</v>
      </c>
      <c r="C64" s="62" t="s">
        <v>591</v>
      </c>
      <c r="D64" s="62" t="s">
        <v>593</v>
      </c>
      <c r="E64" s="49" t="s">
        <v>816</v>
      </c>
      <c r="F64" s="62" t="str">
        <f t="shared" si="1"/>
        <v>20106</v>
      </c>
      <c r="G64" s="62">
        <v>10620106</v>
      </c>
      <c r="H64" s="49" t="s">
        <v>388</v>
      </c>
      <c r="I64" s="69">
        <v>17</v>
      </c>
      <c r="J64" s="69">
        <v>3.4</v>
      </c>
      <c r="K64" s="69">
        <v>8.1</v>
      </c>
      <c r="L64" s="69">
        <f t="shared" si="2"/>
        <v>0.57799999999999996</v>
      </c>
      <c r="M64" s="69">
        <f t="shared" si="3"/>
        <v>1.3769999999999998</v>
      </c>
      <c r="N64" s="56">
        <f>INDEX(Rate_Chart!$A$1:$AK$127,MATCH(Data!J64,Rate_Chart!$A$1:$A$127,0),MATCH(Data!K64,Rate_Chart!$A$1:$AK$1,0))</f>
        <v>36.697125900000003</v>
      </c>
      <c r="O64" s="57">
        <f t="shared" si="4"/>
        <v>623.8511403</v>
      </c>
      <c r="P64" s="58">
        <f t="shared" si="5"/>
        <v>417.01279431818188</v>
      </c>
      <c r="Q64" s="58">
        <f t="shared" si="6"/>
        <v>278.00852954545456</v>
      </c>
      <c r="R64" s="66">
        <f t="shared" si="15"/>
        <v>10.917394955250002</v>
      </c>
      <c r="S64" s="64">
        <f t="shared" si="7"/>
        <v>63.75</v>
      </c>
      <c r="T64" s="66">
        <f t="shared" si="8"/>
        <v>698.51853525524996</v>
      </c>
      <c r="U64" s="68">
        <f t="shared" si="9"/>
        <v>41.089325603249996</v>
      </c>
      <c r="V64" s="68">
        <f t="shared" si="10"/>
        <v>466.92415458238634</v>
      </c>
      <c r="W64" s="68">
        <f t="shared" si="11"/>
        <v>311.28276972159091</v>
      </c>
      <c r="Z64" s="213">
        <v>10620107</v>
      </c>
      <c r="AA64" s="213" t="s">
        <v>852</v>
      </c>
      <c r="AB64" s="213" t="s">
        <v>851</v>
      </c>
      <c r="AC64" s="213">
        <v>142</v>
      </c>
      <c r="AD64" s="241">
        <v>6057.5067984000007</v>
      </c>
    </row>
    <row r="65" spans="1:30" x14ac:dyDescent="0.25">
      <c r="A65" s="168" t="s">
        <v>893</v>
      </c>
      <c r="B65" s="62" t="s">
        <v>397</v>
      </c>
      <c r="C65" s="62" t="s">
        <v>591</v>
      </c>
      <c r="D65" s="62" t="s">
        <v>593</v>
      </c>
      <c r="E65" s="49" t="s">
        <v>816</v>
      </c>
      <c r="F65" s="62" t="str">
        <f t="shared" si="1"/>
        <v>20106</v>
      </c>
      <c r="G65" s="62">
        <v>10620106</v>
      </c>
      <c r="H65" s="49" t="s">
        <v>388</v>
      </c>
      <c r="I65" s="69">
        <v>35</v>
      </c>
      <c r="J65" s="69">
        <v>3.3</v>
      </c>
      <c r="K65" s="69">
        <v>8.1</v>
      </c>
      <c r="L65" s="69">
        <f t="shared" si="2"/>
        <v>1.155</v>
      </c>
      <c r="M65" s="69">
        <f t="shared" si="3"/>
        <v>2.835</v>
      </c>
      <c r="N65" s="56">
        <f>INDEX(Rate_Chart!$A$1:$AK$127,MATCH(Data!J65,Rate_Chart!$A$1:$A$127,0),MATCH(Data!K65,Rate_Chart!$A$1:$AK$1,0))</f>
        <v>36.280125900000002</v>
      </c>
      <c r="O65" s="57">
        <f t="shared" si="4"/>
        <v>1269.8044065000001</v>
      </c>
      <c r="P65" s="58">
        <f t="shared" si="5"/>
        <v>417.0129413793104</v>
      </c>
      <c r="Q65" s="58">
        <f t="shared" si="6"/>
        <v>278.00862758620696</v>
      </c>
      <c r="R65" s="66">
        <f t="shared" si="15"/>
        <v>22.221577113750005</v>
      </c>
      <c r="S65" s="64">
        <f t="shared" si="7"/>
        <v>131.25</v>
      </c>
      <c r="T65" s="66">
        <f t="shared" si="8"/>
        <v>1423.2759836137502</v>
      </c>
      <c r="U65" s="68">
        <f t="shared" si="9"/>
        <v>40.665028103250009</v>
      </c>
      <c r="V65" s="68">
        <f t="shared" si="10"/>
        <v>467.41411612931046</v>
      </c>
      <c r="W65" s="68">
        <f t="shared" si="11"/>
        <v>311.60941075287366</v>
      </c>
      <c r="Z65" s="213">
        <v>10620109</v>
      </c>
      <c r="AA65" s="213" t="s">
        <v>784</v>
      </c>
      <c r="AB65" s="213" t="s">
        <v>782</v>
      </c>
      <c r="AC65" s="213">
        <v>11310</v>
      </c>
      <c r="AD65" s="241">
        <v>500948.58663499996</v>
      </c>
    </row>
    <row r="66" spans="1:30" x14ac:dyDescent="0.25">
      <c r="A66" s="168" t="s">
        <v>894</v>
      </c>
      <c r="B66" s="62" t="s">
        <v>396</v>
      </c>
      <c r="C66" s="62" t="s">
        <v>591</v>
      </c>
      <c r="D66" s="62" t="s">
        <v>593</v>
      </c>
      <c r="E66" s="49" t="s">
        <v>816</v>
      </c>
      <c r="F66" s="62" t="str">
        <f t="shared" si="1"/>
        <v>20106</v>
      </c>
      <c r="G66" s="62">
        <v>10620106</v>
      </c>
      <c r="H66" s="49" t="s">
        <v>387</v>
      </c>
      <c r="I66" s="69">
        <v>7</v>
      </c>
      <c r="J66" s="69">
        <v>7.6</v>
      </c>
      <c r="K66" s="69">
        <v>8.8000000000000007</v>
      </c>
      <c r="L66" s="69">
        <f t="shared" si="2"/>
        <v>0.53199999999999992</v>
      </c>
      <c r="M66" s="69">
        <f t="shared" si="3"/>
        <v>0.6160000000000001</v>
      </c>
      <c r="N66" s="56">
        <f>INDEX(Rate_Chart!$A$1:$AK$127,MATCH(Data!J66,Rate_Chart!$A$1:$A$127,0),MATCH(Data!K66,Rate_Chart!$A$1:$AK$1,0))</f>
        <v>62.825400000000002</v>
      </c>
      <c r="O66" s="57">
        <f t="shared" si="4"/>
        <v>439.77780000000001</v>
      </c>
      <c r="P66" s="58">
        <f t="shared" si="5"/>
        <v>466.5252475247525</v>
      </c>
      <c r="Q66" s="58">
        <f t="shared" si="6"/>
        <v>311.01683168316833</v>
      </c>
      <c r="R66" s="66">
        <f t="shared" si="15"/>
        <v>7.6961115000000007</v>
      </c>
      <c r="S66" s="64">
        <f t="shared" si="7"/>
        <v>26.25</v>
      </c>
      <c r="T66" s="66">
        <f t="shared" si="8"/>
        <v>473.72391149999999</v>
      </c>
      <c r="U66" s="68">
        <f t="shared" si="9"/>
        <v>67.674844499999992</v>
      </c>
      <c r="V66" s="68">
        <f t="shared" si="10"/>
        <v>502.53597400990094</v>
      </c>
      <c r="W66" s="68">
        <f t="shared" si="11"/>
        <v>335.02398267326731</v>
      </c>
      <c r="Z66" s="213">
        <v>10620111</v>
      </c>
      <c r="AA66" s="213" t="s">
        <v>887</v>
      </c>
      <c r="AB66" s="213" t="s">
        <v>886</v>
      </c>
      <c r="AC66" s="213">
        <v>200</v>
      </c>
      <c r="AD66" s="241">
        <v>8062.2363000000005</v>
      </c>
    </row>
    <row r="67" spans="1:30" x14ac:dyDescent="0.25">
      <c r="A67" s="168" t="s">
        <v>894</v>
      </c>
      <c r="B67" s="62" t="s">
        <v>396</v>
      </c>
      <c r="C67" s="62" t="s">
        <v>591</v>
      </c>
      <c r="D67" s="62" t="s">
        <v>593</v>
      </c>
      <c r="E67" s="49" t="s">
        <v>816</v>
      </c>
      <c r="F67" s="62" t="str">
        <f t="shared" si="1"/>
        <v>20106</v>
      </c>
      <c r="G67" s="62">
        <v>10620106</v>
      </c>
      <c r="H67" s="49" t="s">
        <v>388</v>
      </c>
      <c r="I67" s="69">
        <v>17</v>
      </c>
      <c r="J67" s="69">
        <v>3.3</v>
      </c>
      <c r="K67" s="69">
        <v>8.1</v>
      </c>
      <c r="L67" s="69">
        <f t="shared" si="2"/>
        <v>0.56099999999999994</v>
      </c>
      <c r="M67" s="69">
        <f t="shared" si="3"/>
        <v>1.3769999999999998</v>
      </c>
      <c r="N67" s="56">
        <f>INDEX(Rate_Chart!$A$1:$AK$127,MATCH(Data!J67,Rate_Chart!$A$1:$A$127,0),MATCH(Data!K67,Rate_Chart!$A$1:$AK$1,0))</f>
        <v>36.280125900000002</v>
      </c>
      <c r="O67" s="57">
        <f t="shared" si="4"/>
        <v>616.76214030000006</v>
      </c>
      <c r="P67" s="58">
        <f t="shared" si="5"/>
        <v>417.0129413793104</v>
      </c>
      <c r="Q67" s="58">
        <f t="shared" si="6"/>
        <v>278.00862758620696</v>
      </c>
      <c r="R67" s="66">
        <f t="shared" si="15"/>
        <v>10.793337455250002</v>
      </c>
      <c r="S67" s="64">
        <f t="shared" si="7"/>
        <v>63.75</v>
      </c>
      <c r="T67" s="66">
        <f t="shared" si="8"/>
        <v>691.30547775525008</v>
      </c>
      <c r="U67" s="68">
        <f t="shared" si="9"/>
        <v>40.665028103250002</v>
      </c>
      <c r="V67" s="68">
        <f t="shared" si="10"/>
        <v>467.4141161293104</v>
      </c>
      <c r="W67" s="68">
        <f t="shared" si="11"/>
        <v>311.6094107528736</v>
      </c>
      <c r="Z67" s="213">
        <v>10620112</v>
      </c>
      <c r="AA67" s="213" t="s">
        <v>811</v>
      </c>
      <c r="AB67" s="213" t="s">
        <v>808</v>
      </c>
      <c r="AC67" s="213">
        <v>167</v>
      </c>
      <c r="AD67" s="241">
        <v>6517.4867799000012</v>
      </c>
    </row>
    <row r="68" spans="1:30" x14ac:dyDescent="0.25">
      <c r="A68" s="168" t="s">
        <v>894</v>
      </c>
      <c r="B68" s="62" t="s">
        <v>397</v>
      </c>
      <c r="C68" s="62" t="s">
        <v>591</v>
      </c>
      <c r="D68" s="62" t="s">
        <v>593</v>
      </c>
      <c r="E68" s="49" t="s">
        <v>816</v>
      </c>
      <c r="F68" s="62" t="str">
        <f t="shared" si="1"/>
        <v>20106</v>
      </c>
      <c r="G68" s="62">
        <v>10620106</v>
      </c>
      <c r="H68" s="49" t="s">
        <v>388</v>
      </c>
      <c r="I68" s="69">
        <v>34</v>
      </c>
      <c r="J68" s="69">
        <v>3</v>
      </c>
      <c r="K68" s="69">
        <v>8</v>
      </c>
      <c r="L68" s="69">
        <f t="shared" si="2"/>
        <v>1.02</v>
      </c>
      <c r="M68" s="69">
        <f t="shared" si="3"/>
        <v>2.72</v>
      </c>
      <c r="N68" s="56">
        <f>INDEX(Rate_Chart!$A$1:$AK$127,MATCH(Data!J68,Rate_Chart!$A$1:$A$127,0),MATCH(Data!K68,Rate_Chart!$A$1:$AK$1,0))</f>
        <v>34.751112000000006</v>
      </c>
      <c r="O68" s="57">
        <f t="shared" si="4"/>
        <v>1181.5378080000003</v>
      </c>
      <c r="P68" s="58">
        <f t="shared" si="5"/>
        <v>417.01334400000002</v>
      </c>
      <c r="Q68" s="58">
        <f t="shared" si="6"/>
        <v>278.00889599999999</v>
      </c>
      <c r="R68" s="66">
        <f t="shared" si="15"/>
        <v>20.676911640000007</v>
      </c>
      <c r="S68" s="64">
        <f t="shared" si="7"/>
        <v>127.5</v>
      </c>
      <c r="T68" s="66">
        <f t="shared" si="8"/>
        <v>1329.7147196400003</v>
      </c>
      <c r="U68" s="68">
        <f t="shared" si="9"/>
        <v>39.109256460000012</v>
      </c>
      <c r="V68" s="68">
        <f t="shared" si="10"/>
        <v>469.31107752000008</v>
      </c>
      <c r="W68" s="68">
        <f t="shared" si="11"/>
        <v>312.87405168000004</v>
      </c>
      <c r="Z68" s="213">
        <v>10620115</v>
      </c>
      <c r="AA68" s="213" t="s">
        <v>785</v>
      </c>
      <c r="AB68" s="213" t="s">
        <v>783</v>
      </c>
      <c r="AC68" s="213">
        <v>654</v>
      </c>
      <c r="AD68" s="241">
        <v>25078.751958100002</v>
      </c>
    </row>
    <row r="69" spans="1:30" x14ac:dyDescent="0.25">
      <c r="A69" s="168" t="s">
        <v>888</v>
      </c>
      <c r="B69" s="62" t="s">
        <v>396</v>
      </c>
      <c r="C69" s="62" t="s">
        <v>591</v>
      </c>
      <c r="D69" s="62" t="s">
        <v>593</v>
      </c>
      <c r="E69" s="49" t="s">
        <v>851</v>
      </c>
      <c r="F69" s="62" t="str">
        <f t="shared" ref="F69:F132" si="16">MID(E69,2,5)</f>
        <v>20107</v>
      </c>
      <c r="G69" s="62">
        <v>10620107</v>
      </c>
      <c r="H69" s="49" t="s">
        <v>388</v>
      </c>
      <c r="I69" s="69">
        <v>8</v>
      </c>
      <c r="J69" s="69">
        <v>4.5999999999999996</v>
      </c>
      <c r="K69" s="69">
        <v>8.1</v>
      </c>
      <c r="L69" s="69">
        <f t="shared" ref="L69:L96" si="17">J69*I69/100</f>
        <v>0.36799999999999999</v>
      </c>
      <c r="M69" s="69">
        <f t="shared" ref="M69:M96" si="18">K69*I69/100</f>
        <v>0.64800000000000002</v>
      </c>
      <c r="N69" s="56">
        <f>INDEX(Rate_Chart!$A$1:$AK$127,MATCH(Data!J69,Rate_Chart!$A$1:$A$127,0),MATCH(Data!K69,Rate_Chart!$A$1:$AK$1,0))</f>
        <v>41.701125900000001</v>
      </c>
      <c r="O69" s="57">
        <f t="shared" ref="O69:O96" si="19">N69*I69</f>
        <v>333.60900720000001</v>
      </c>
      <c r="P69" s="58">
        <f t="shared" ref="P69:P96" si="20">N69/(J69%+K69%*2/3)</f>
        <v>417.011259</v>
      </c>
      <c r="Q69" s="58">
        <f t="shared" ref="Q69:Q96" si="21">P69*2/3</f>
        <v>278.00750599999998</v>
      </c>
      <c r="R69" s="66">
        <f t="shared" ref="R69:R132" si="22">O69*1.75%</f>
        <v>5.838157626000001</v>
      </c>
      <c r="S69" s="64">
        <f t="shared" ref="S69:S96" si="23">I69*3.75</f>
        <v>30</v>
      </c>
      <c r="T69" s="66">
        <f t="shared" ref="T69:T96" si="24">R69+S69+O69</f>
        <v>369.44716482600001</v>
      </c>
      <c r="U69" s="68">
        <f t="shared" ref="U69:U96" si="25">T69/I69</f>
        <v>46.180895603250001</v>
      </c>
      <c r="V69" s="68">
        <f>U69/(J69%+K69%*2/3)</f>
        <v>461.80895603249996</v>
      </c>
      <c r="W69" s="68">
        <f t="shared" ref="W69:W96" si="26">V69*2/3</f>
        <v>307.87263735499999</v>
      </c>
      <c r="Z69" s="213">
        <v>10620119</v>
      </c>
      <c r="AA69" s="213" t="s">
        <v>820</v>
      </c>
      <c r="AB69" s="213" t="s">
        <v>817</v>
      </c>
      <c r="AC69" s="213">
        <v>4670</v>
      </c>
      <c r="AD69" s="241">
        <v>197410.47922500002</v>
      </c>
    </row>
    <row r="70" spans="1:30" x14ac:dyDescent="0.25">
      <c r="A70" s="168" t="s">
        <v>888</v>
      </c>
      <c r="B70" s="62" t="s">
        <v>397</v>
      </c>
      <c r="C70" s="62" t="s">
        <v>591</v>
      </c>
      <c r="D70" s="62" t="s">
        <v>593</v>
      </c>
      <c r="E70" s="49" t="s">
        <v>851</v>
      </c>
      <c r="F70" s="62" t="str">
        <f t="shared" si="16"/>
        <v>20107</v>
      </c>
      <c r="G70" s="62">
        <v>10620107</v>
      </c>
      <c r="H70" s="49" t="s">
        <v>388</v>
      </c>
      <c r="I70" s="69">
        <v>8</v>
      </c>
      <c r="J70" s="69">
        <v>4.0999999999999996</v>
      </c>
      <c r="K70" s="69">
        <v>8.1</v>
      </c>
      <c r="L70" s="69">
        <f t="shared" si="17"/>
        <v>0.32799999999999996</v>
      </c>
      <c r="M70" s="69">
        <f t="shared" si="18"/>
        <v>0.64800000000000002</v>
      </c>
      <c r="N70" s="56">
        <f>INDEX(Rate_Chart!$A$1:$AK$127,MATCH(Data!J70,Rate_Chart!$A$1:$A$127,0),MATCH(Data!K70,Rate_Chart!$A$1:$AK$1,0))</f>
        <v>39.6161259</v>
      </c>
      <c r="O70" s="57">
        <f t="shared" si="19"/>
        <v>316.9290072</v>
      </c>
      <c r="P70" s="58">
        <f t="shared" si="20"/>
        <v>417.01185157894736</v>
      </c>
      <c r="Q70" s="58">
        <f t="shared" si="21"/>
        <v>278.00790105263155</v>
      </c>
      <c r="R70" s="66">
        <f t="shared" si="22"/>
        <v>5.5462576260000009</v>
      </c>
      <c r="S70" s="64">
        <f t="shared" si="23"/>
        <v>30</v>
      </c>
      <c r="T70" s="66">
        <f t="shared" si="24"/>
        <v>352.475264826</v>
      </c>
      <c r="U70" s="68">
        <f t="shared" si="25"/>
        <v>44.05940810325</v>
      </c>
      <c r="V70" s="68">
        <f t="shared" ref="V70:V96" si="27">U70/(J70%+K70%*2/3)</f>
        <v>463.78324319210526</v>
      </c>
      <c r="W70" s="68">
        <f t="shared" si="26"/>
        <v>309.18882879473682</v>
      </c>
      <c r="Z70" s="213">
        <v>10620120</v>
      </c>
      <c r="AA70" s="213" t="s">
        <v>844</v>
      </c>
      <c r="AB70" s="213" t="s">
        <v>843</v>
      </c>
      <c r="AC70" s="213">
        <v>180</v>
      </c>
      <c r="AD70" s="241">
        <v>8982.1025637000002</v>
      </c>
    </row>
    <row r="71" spans="1:30" x14ac:dyDescent="0.25">
      <c r="A71" s="168" t="s">
        <v>889</v>
      </c>
      <c r="B71" s="62" t="s">
        <v>396</v>
      </c>
      <c r="C71" s="62" t="s">
        <v>591</v>
      </c>
      <c r="D71" s="62" t="s">
        <v>593</v>
      </c>
      <c r="E71" s="49" t="s">
        <v>851</v>
      </c>
      <c r="F71" s="62" t="str">
        <f t="shared" si="16"/>
        <v>20107</v>
      </c>
      <c r="G71" s="62">
        <v>10620107</v>
      </c>
      <c r="H71" s="49" t="s">
        <v>388</v>
      </c>
      <c r="I71" s="69">
        <v>8</v>
      </c>
      <c r="J71" s="69">
        <v>5</v>
      </c>
      <c r="K71" s="69">
        <v>8.5</v>
      </c>
      <c r="L71" s="69">
        <f t="shared" si="17"/>
        <v>0.4</v>
      </c>
      <c r="M71" s="69">
        <f t="shared" si="18"/>
        <v>0.68</v>
      </c>
      <c r="N71" s="56">
        <f>INDEX(Rate_Chart!$A$1:$AK$127,MATCH(Data!J71,Rate_Chart!$A$1:$A$127,0),MATCH(Data!K71,Rate_Chart!$A$1:$AK$1,0))</f>
        <v>44.481181500000005</v>
      </c>
      <c r="O71" s="57">
        <f t="shared" si="19"/>
        <v>355.84945200000004</v>
      </c>
      <c r="P71" s="58">
        <f t="shared" si="20"/>
        <v>417.01107656250002</v>
      </c>
      <c r="Q71" s="58">
        <f t="shared" si="21"/>
        <v>278.00738437500002</v>
      </c>
      <c r="R71" s="66">
        <f t="shared" si="22"/>
        <v>6.2273654100000018</v>
      </c>
      <c r="S71" s="64">
        <f t="shared" si="23"/>
        <v>30</v>
      </c>
      <c r="T71" s="66">
        <f t="shared" si="24"/>
        <v>392.07681741000005</v>
      </c>
      <c r="U71" s="68">
        <f t="shared" si="25"/>
        <v>49.009602176250006</v>
      </c>
      <c r="V71" s="68">
        <f t="shared" si="27"/>
        <v>459.46502040234378</v>
      </c>
      <c r="W71" s="68">
        <f t="shared" si="26"/>
        <v>306.3100136015625</v>
      </c>
      <c r="Z71" s="213">
        <v>10620121</v>
      </c>
      <c r="AA71" s="213" t="s">
        <v>871</v>
      </c>
      <c r="AB71" s="213" t="s">
        <v>870</v>
      </c>
      <c r="AC71" s="213">
        <v>1098</v>
      </c>
      <c r="AD71" s="241">
        <v>44870.473382099997</v>
      </c>
    </row>
    <row r="72" spans="1:30" x14ac:dyDescent="0.25">
      <c r="A72" s="168" t="s">
        <v>889</v>
      </c>
      <c r="B72" s="62" t="s">
        <v>397</v>
      </c>
      <c r="C72" s="62" t="s">
        <v>591</v>
      </c>
      <c r="D72" s="62" t="s">
        <v>593</v>
      </c>
      <c r="E72" s="49" t="s">
        <v>851</v>
      </c>
      <c r="F72" s="62" t="str">
        <f t="shared" si="16"/>
        <v>20107</v>
      </c>
      <c r="G72" s="62">
        <v>10620107</v>
      </c>
      <c r="H72" s="49" t="s">
        <v>388</v>
      </c>
      <c r="I72" s="69">
        <v>9</v>
      </c>
      <c r="J72" s="69">
        <v>3.9</v>
      </c>
      <c r="K72" s="69">
        <v>8.1</v>
      </c>
      <c r="L72" s="69">
        <f t="shared" si="17"/>
        <v>0.35100000000000003</v>
      </c>
      <c r="M72" s="69">
        <f t="shared" si="18"/>
        <v>0.72899999999999987</v>
      </c>
      <c r="N72" s="56">
        <f>INDEX(Rate_Chart!$A$1:$AK$127,MATCH(Data!J72,Rate_Chart!$A$1:$A$127,0),MATCH(Data!K72,Rate_Chart!$A$1:$AK$1,0))</f>
        <v>38.782125900000004</v>
      </c>
      <c r="O72" s="57">
        <f t="shared" si="19"/>
        <v>349.03913310000002</v>
      </c>
      <c r="P72" s="58">
        <f t="shared" si="20"/>
        <v>417.01210645161296</v>
      </c>
      <c r="Q72" s="58">
        <f t="shared" si="21"/>
        <v>278.00807096774196</v>
      </c>
      <c r="R72" s="66">
        <f t="shared" si="22"/>
        <v>6.1081848292500007</v>
      </c>
      <c r="S72" s="64">
        <f t="shared" si="23"/>
        <v>33.75</v>
      </c>
      <c r="T72" s="66">
        <f t="shared" si="24"/>
        <v>388.89731792924999</v>
      </c>
      <c r="U72" s="68">
        <f t="shared" si="25"/>
        <v>43.210813103249997</v>
      </c>
      <c r="V72" s="68">
        <f t="shared" si="27"/>
        <v>464.6323989596774</v>
      </c>
      <c r="W72" s="68">
        <f t="shared" si="26"/>
        <v>309.75493263978495</v>
      </c>
      <c r="Z72" s="213">
        <v>10620122</v>
      </c>
      <c r="AA72" s="213" t="s">
        <v>860</v>
      </c>
      <c r="AB72" s="213" t="s">
        <v>859</v>
      </c>
      <c r="AC72" s="213">
        <v>105</v>
      </c>
      <c r="AD72" s="241">
        <v>3648.8667600000008</v>
      </c>
    </row>
    <row r="73" spans="1:30" x14ac:dyDescent="0.25">
      <c r="A73" s="168" t="s">
        <v>890</v>
      </c>
      <c r="B73" s="62" t="s">
        <v>396</v>
      </c>
      <c r="C73" s="62" t="s">
        <v>591</v>
      </c>
      <c r="D73" s="62" t="s">
        <v>593</v>
      </c>
      <c r="E73" s="49" t="s">
        <v>851</v>
      </c>
      <c r="F73" s="62" t="str">
        <f t="shared" si="16"/>
        <v>20107</v>
      </c>
      <c r="G73" s="62">
        <v>10620107</v>
      </c>
      <c r="H73" s="49" t="s">
        <v>388</v>
      </c>
      <c r="I73" s="69">
        <v>10</v>
      </c>
      <c r="J73" s="69">
        <v>5</v>
      </c>
      <c r="K73" s="69">
        <v>8.5</v>
      </c>
      <c r="L73" s="69">
        <f t="shared" si="17"/>
        <v>0.5</v>
      </c>
      <c r="M73" s="69">
        <f t="shared" si="18"/>
        <v>0.85</v>
      </c>
      <c r="N73" s="56">
        <f>INDEX(Rate_Chart!$A$1:$AK$127,MATCH(Data!J73,Rate_Chart!$A$1:$A$127,0),MATCH(Data!K73,Rate_Chart!$A$1:$AK$1,0))</f>
        <v>44.481181500000005</v>
      </c>
      <c r="O73" s="57">
        <f t="shared" si="19"/>
        <v>444.81181500000002</v>
      </c>
      <c r="P73" s="58">
        <f t="shared" si="20"/>
        <v>417.01107656250002</v>
      </c>
      <c r="Q73" s="58">
        <f t="shared" si="21"/>
        <v>278.00738437500002</v>
      </c>
      <c r="R73" s="66">
        <f t="shared" si="22"/>
        <v>7.7842067625000011</v>
      </c>
      <c r="S73" s="64">
        <f t="shared" si="23"/>
        <v>37.5</v>
      </c>
      <c r="T73" s="66">
        <f t="shared" si="24"/>
        <v>490.09602176250002</v>
      </c>
      <c r="U73" s="68">
        <f t="shared" si="25"/>
        <v>49.009602176249999</v>
      </c>
      <c r="V73" s="68">
        <f t="shared" si="27"/>
        <v>459.46502040234373</v>
      </c>
      <c r="W73" s="68">
        <f t="shared" si="26"/>
        <v>306.3100136015625</v>
      </c>
      <c r="Z73" s="213">
        <v>10620123</v>
      </c>
      <c r="AA73" s="213" t="s">
        <v>881</v>
      </c>
      <c r="AB73" s="213" t="s">
        <v>878</v>
      </c>
      <c r="AC73" s="213">
        <v>247</v>
      </c>
      <c r="AD73" s="241">
        <v>9404.4602625000025</v>
      </c>
    </row>
    <row r="74" spans="1:30" x14ac:dyDescent="0.25">
      <c r="A74" s="168" t="s">
        <v>890</v>
      </c>
      <c r="B74" s="62" t="s">
        <v>397</v>
      </c>
      <c r="C74" s="62" t="s">
        <v>591</v>
      </c>
      <c r="D74" s="62" t="s">
        <v>593</v>
      </c>
      <c r="E74" s="49" t="s">
        <v>851</v>
      </c>
      <c r="F74" s="62" t="str">
        <f t="shared" si="16"/>
        <v>20107</v>
      </c>
      <c r="G74" s="62">
        <v>10620107</v>
      </c>
      <c r="H74" s="49" t="s">
        <v>388</v>
      </c>
      <c r="I74" s="69">
        <v>8</v>
      </c>
      <c r="J74" s="69">
        <v>4.8</v>
      </c>
      <c r="K74" s="69">
        <v>8.3000000000000007</v>
      </c>
      <c r="L74" s="69">
        <f t="shared" si="17"/>
        <v>0.38400000000000001</v>
      </c>
      <c r="M74" s="69">
        <f t="shared" si="18"/>
        <v>0.66400000000000003</v>
      </c>
      <c r="N74" s="56">
        <f>INDEX(Rate_Chart!$A$1:$AK$127,MATCH(Data!J74,Rate_Chart!$A$1:$A$127,0),MATCH(Data!K74,Rate_Chart!$A$1:$AK$1,0))</f>
        <v>43.091153700000007</v>
      </c>
      <c r="O74" s="57">
        <f t="shared" si="19"/>
        <v>344.72922960000005</v>
      </c>
      <c r="P74" s="58">
        <f t="shared" si="20"/>
        <v>417.01116483870976</v>
      </c>
      <c r="Q74" s="58">
        <f t="shared" si="21"/>
        <v>278.00744322580653</v>
      </c>
      <c r="R74" s="66">
        <f t="shared" si="22"/>
        <v>6.0327615180000018</v>
      </c>
      <c r="S74" s="64">
        <f t="shared" si="23"/>
        <v>30</v>
      </c>
      <c r="T74" s="66">
        <f t="shared" si="24"/>
        <v>380.76199111800008</v>
      </c>
      <c r="U74" s="68">
        <f t="shared" si="25"/>
        <v>47.59524888975001</v>
      </c>
      <c r="V74" s="68">
        <f t="shared" si="27"/>
        <v>460.59918280403235</v>
      </c>
      <c r="W74" s="68">
        <f t="shared" si="26"/>
        <v>307.0661218693549</v>
      </c>
      <c r="Z74" s="238" t="s">
        <v>390</v>
      </c>
      <c r="AA74" s="217"/>
      <c r="AB74" s="217"/>
      <c r="AC74" s="238">
        <v>55078</v>
      </c>
      <c r="AD74" s="242">
        <v>2438728.6635561008</v>
      </c>
    </row>
    <row r="75" spans="1:30" x14ac:dyDescent="0.25">
      <c r="A75" s="168" t="s">
        <v>891</v>
      </c>
      <c r="B75" s="62" t="s">
        <v>396</v>
      </c>
      <c r="C75" s="62" t="s">
        <v>591</v>
      </c>
      <c r="D75" s="62" t="s">
        <v>593</v>
      </c>
      <c r="E75" s="49" t="s">
        <v>851</v>
      </c>
      <c r="F75" s="62" t="str">
        <f t="shared" si="16"/>
        <v>20107</v>
      </c>
      <c r="G75" s="62">
        <v>10620107</v>
      </c>
      <c r="H75" s="49" t="s">
        <v>388</v>
      </c>
      <c r="I75" s="69">
        <v>8</v>
      </c>
      <c r="J75" s="69">
        <v>5</v>
      </c>
      <c r="K75" s="69">
        <v>8.5</v>
      </c>
      <c r="L75" s="69">
        <f t="shared" si="17"/>
        <v>0.4</v>
      </c>
      <c r="M75" s="69">
        <f t="shared" si="18"/>
        <v>0.68</v>
      </c>
      <c r="N75" s="56">
        <f>INDEX(Rate_Chart!$A$1:$AK$127,MATCH(Data!J75,Rate_Chart!$A$1:$A$127,0),MATCH(Data!K75,Rate_Chart!$A$1:$AK$1,0))</f>
        <v>44.481181500000005</v>
      </c>
      <c r="O75" s="57">
        <f t="shared" si="19"/>
        <v>355.84945200000004</v>
      </c>
      <c r="P75" s="58">
        <f t="shared" si="20"/>
        <v>417.01107656250002</v>
      </c>
      <c r="Q75" s="58">
        <f t="shared" si="21"/>
        <v>278.00738437500002</v>
      </c>
      <c r="R75" s="66">
        <f t="shared" si="22"/>
        <v>6.2273654100000018</v>
      </c>
      <c r="S75" s="64">
        <f t="shared" si="23"/>
        <v>30</v>
      </c>
      <c r="T75" s="66">
        <f t="shared" si="24"/>
        <v>392.07681741000005</v>
      </c>
      <c r="U75" s="68">
        <f t="shared" si="25"/>
        <v>49.009602176250006</v>
      </c>
      <c r="V75" s="68">
        <f t="shared" si="27"/>
        <v>459.46502040234378</v>
      </c>
      <c r="W75" s="68">
        <f t="shared" si="26"/>
        <v>306.3100136015625</v>
      </c>
    </row>
    <row r="76" spans="1:30" x14ac:dyDescent="0.25">
      <c r="A76" s="168" t="s">
        <v>891</v>
      </c>
      <c r="B76" s="62" t="s">
        <v>397</v>
      </c>
      <c r="C76" s="62" t="s">
        <v>591</v>
      </c>
      <c r="D76" s="62" t="s">
        <v>593</v>
      </c>
      <c r="E76" s="49" t="s">
        <v>851</v>
      </c>
      <c r="F76" s="62" t="str">
        <f t="shared" si="16"/>
        <v>20107</v>
      </c>
      <c r="G76" s="62">
        <v>10620107</v>
      </c>
      <c r="H76" s="49" t="s">
        <v>388</v>
      </c>
      <c r="I76" s="69">
        <v>14</v>
      </c>
      <c r="J76" s="69">
        <v>4.0999999999999996</v>
      </c>
      <c r="K76" s="69">
        <v>8.1</v>
      </c>
      <c r="L76" s="69">
        <f t="shared" si="17"/>
        <v>0.57399999999999995</v>
      </c>
      <c r="M76" s="69">
        <f t="shared" si="18"/>
        <v>1.1339999999999999</v>
      </c>
      <c r="N76" s="56">
        <f>INDEX(Rate_Chart!$A$1:$AK$127,MATCH(Data!J76,Rate_Chart!$A$1:$A$127,0),MATCH(Data!K76,Rate_Chart!$A$1:$AK$1,0))</f>
        <v>39.6161259</v>
      </c>
      <c r="O76" s="57">
        <f t="shared" si="19"/>
        <v>554.62576260000003</v>
      </c>
      <c r="P76" s="58">
        <f t="shared" si="20"/>
        <v>417.01185157894736</v>
      </c>
      <c r="Q76" s="58">
        <f t="shared" si="21"/>
        <v>278.00790105263155</v>
      </c>
      <c r="R76" s="66">
        <f t="shared" si="22"/>
        <v>9.7059508455000021</v>
      </c>
      <c r="S76" s="64">
        <f t="shared" si="23"/>
        <v>52.5</v>
      </c>
      <c r="T76" s="66">
        <f t="shared" si="24"/>
        <v>616.83171344549999</v>
      </c>
      <c r="U76" s="68">
        <f t="shared" si="25"/>
        <v>44.05940810325</v>
      </c>
      <c r="V76" s="68">
        <f t="shared" si="27"/>
        <v>463.78324319210526</v>
      </c>
      <c r="W76" s="68">
        <f t="shared" si="26"/>
        <v>309.18882879473682</v>
      </c>
    </row>
    <row r="77" spans="1:30" x14ac:dyDescent="0.25">
      <c r="A77" s="168" t="s">
        <v>892</v>
      </c>
      <c r="B77" s="62" t="s">
        <v>396</v>
      </c>
      <c r="C77" s="62" t="s">
        <v>591</v>
      </c>
      <c r="D77" s="62" t="s">
        <v>593</v>
      </c>
      <c r="E77" s="49" t="s">
        <v>851</v>
      </c>
      <c r="F77" s="62" t="str">
        <f t="shared" si="16"/>
        <v>20107</v>
      </c>
      <c r="G77" s="62">
        <v>10620107</v>
      </c>
      <c r="H77" s="49" t="s">
        <v>388</v>
      </c>
      <c r="I77" s="69">
        <v>14</v>
      </c>
      <c r="J77" s="69">
        <v>4.7</v>
      </c>
      <c r="K77" s="69">
        <v>8.1999999999999993</v>
      </c>
      <c r="L77" s="69">
        <f t="shared" si="17"/>
        <v>0.65799999999999992</v>
      </c>
      <c r="M77" s="69">
        <f t="shared" si="18"/>
        <v>1.1479999999999999</v>
      </c>
      <c r="N77" s="56">
        <f>INDEX(Rate_Chart!$A$1:$AK$127,MATCH(Data!J77,Rate_Chart!$A$1:$A$127,0),MATCH(Data!K77,Rate_Chart!$A$1:$AK$1,0))</f>
        <v>42.3961398</v>
      </c>
      <c r="O77" s="57">
        <f t="shared" si="19"/>
        <v>593.54595719999998</v>
      </c>
      <c r="P77" s="58">
        <f t="shared" si="20"/>
        <v>417.01121114754102</v>
      </c>
      <c r="Q77" s="58">
        <f t="shared" si="21"/>
        <v>278.00747409836066</v>
      </c>
      <c r="R77" s="66">
        <f t="shared" si="22"/>
        <v>10.387054251</v>
      </c>
      <c r="S77" s="64">
        <f t="shared" si="23"/>
        <v>52.5</v>
      </c>
      <c r="T77" s="66">
        <f t="shared" si="24"/>
        <v>656.43301145099997</v>
      </c>
      <c r="U77" s="68">
        <f t="shared" si="25"/>
        <v>46.888072246499995</v>
      </c>
      <c r="V77" s="68">
        <f t="shared" si="27"/>
        <v>461.19415324426228</v>
      </c>
      <c r="W77" s="68">
        <f t="shared" si="26"/>
        <v>307.46276882950821</v>
      </c>
    </row>
    <row r="78" spans="1:30" x14ac:dyDescent="0.25">
      <c r="A78" s="168" t="s">
        <v>892</v>
      </c>
      <c r="B78" s="62" t="s">
        <v>397</v>
      </c>
      <c r="C78" s="62" t="s">
        <v>591</v>
      </c>
      <c r="D78" s="62" t="s">
        <v>593</v>
      </c>
      <c r="E78" s="49" t="s">
        <v>851</v>
      </c>
      <c r="F78" s="62" t="str">
        <f t="shared" si="16"/>
        <v>20107</v>
      </c>
      <c r="G78" s="62">
        <v>10620107</v>
      </c>
      <c r="H78" s="49" t="s">
        <v>388</v>
      </c>
      <c r="I78" s="69">
        <v>10</v>
      </c>
      <c r="J78" s="69">
        <v>5</v>
      </c>
      <c r="K78" s="69">
        <v>8.5</v>
      </c>
      <c r="L78" s="69">
        <f t="shared" si="17"/>
        <v>0.5</v>
      </c>
      <c r="M78" s="69">
        <f t="shared" si="18"/>
        <v>0.85</v>
      </c>
      <c r="N78" s="56">
        <f>INDEX(Rate_Chart!$A$1:$AK$127,MATCH(Data!J78,Rate_Chart!$A$1:$A$127,0),MATCH(Data!K78,Rate_Chart!$A$1:$AK$1,0))</f>
        <v>44.481181500000005</v>
      </c>
      <c r="O78" s="57">
        <f t="shared" si="19"/>
        <v>444.81181500000002</v>
      </c>
      <c r="P78" s="58">
        <f t="shared" si="20"/>
        <v>417.01107656250002</v>
      </c>
      <c r="Q78" s="58">
        <f t="shared" si="21"/>
        <v>278.00738437500002</v>
      </c>
      <c r="R78" s="66">
        <f t="shared" si="22"/>
        <v>7.7842067625000011</v>
      </c>
      <c r="S78" s="64">
        <f t="shared" si="23"/>
        <v>37.5</v>
      </c>
      <c r="T78" s="66">
        <f t="shared" si="24"/>
        <v>490.09602176250002</v>
      </c>
      <c r="U78" s="68">
        <f t="shared" si="25"/>
        <v>49.009602176249999</v>
      </c>
      <c r="V78" s="68">
        <f t="shared" si="27"/>
        <v>459.46502040234373</v>
      </c>
      <c r="W78" s="68">
        <f t="shared" si="26"/>
        <v>306.3100136015625</v>
      </c>
    </row>
    <row r="79" spans="1:30" x14ac:dyDescent="0.25">
      <c r="A79" s="168" t="s">
        <v>893</v>
      </c>
      <c r="B79" s="62" t="s">
        <v>396</v>
      </c>
      <c r="C79" s="62" t="s">
        <v>591</v>
      </c>
      <c r="D79" s="62" t="s">
        <v>593</v>
      </c>
      <c r="E79" s="49" t="s">
        <v>851</v>
      </c>
      <c r="F79" s="62" t="str">
        <f t="shared" si="16"/>
        <v>20107</v>
      </c>
      <c r="G79" s="62">
        <v>10620107</v>
      </c>
      <c r="H79" s="49" t="s">
        <v>388</v>
      </c>
      <c r="I79" s="69">
        <v>13</v>
      </c>
      <c r="J79" s="69">
        <v>4.8</v>
      </c>
      <c r="K79" s="69">
        <v>8.5</v>
      </c>
      <c r="L79" s="69">
        <f t="shared" si="17"/>
        <v>0.624</v>
      </c>
      <c r="M79" s="69">
        <f t="shared" si="18"/>
        <v>1.105</v>
      </c>
      <c r="N79" s="56">
        <f>INDEX(Rate_Chart!$A$1:$AK$127,MATCH(Data!J79,Rate_Chart!$A$1:$A$127,0),MATCH(Data!K79,Rate_Chart!$A$1:$AK$1,0))</f>
        <v>43.647181500000002</v>
      </c>
      <c r="O79" s="57">
        <f t="shared" si="19"/>
        <v>567.41335950000007</v>
      </c>
      <c r="P79" s="58">
        <f t="shared" si="20"/>
        <v>417.0112882165605</v>
      </c>
      <c r="Q79" s="58">
        <f t="shared" si="21"/>
        <v>278.00752547770702</v>
      </c>
      <c r="R79" s="66">
        <f t="shared" si="22"/>
        <v>9.929733791250003</v>
      </c>
      <c r="S79" s="64">
        <f t="shared" si="23"/>
        <v>48.75</v>
      </c>
      <c r="T79" s="66">
        <f t="shared" si="24"/>
        <v>626.09309329125006</v>
      </c>
      <c r="U79" s="68">
        <f t="shared" si="25"/>
        <v>48.161007176250003</v>
      </c>
      <c r="V79" s="68">
        <f t="shared" si="27"/>
        <v>460.13701123805731</v>
      </c>
      <c r="W79" s="68">
        <f t="shared" si="26"/>
        <v>306.75800749203819</v>
      </c>
    </row>
    <row r="80" spans="1:30" x14ac:dyDescent="0.25">
      <c r="A80" s="168" t="s">
        <v>893</v>
      </c>
      <c r="B80" s="62" t="s">
        <v>397</v>
      </c>
      <c r="C80" s="62" t="s">
        <v>591</v>
      </c>
      <c r="D80" s="62" t="s">
        <v>593</v>
      </c>
      <c r="E80" s="49" t="s">
        <v>851</v>
      </c>
      <c r="F80" s="62" t="str">
        <f t="shared" si="16"/>
        <v>20107</v>
      </c>
      <c r="G80" s="62">
        <v>10620107</v>
      </c>
      <c r="H80" s="49" t="s">
        <v>388</v>
      </c>
      <c r="I80" s="69">
        <v>10</v>
      </c>
      <c r="J80" s="69">
        <v>5</v>
      </c>
      <c r="K80" s="69">
        <v>8.5</v>
      </c>
      <c r="L80" s="69">
        <f t="shared" si="17"/>
        <v>0.5</v>
      </c>
      <c r="M80" s="69">
        <f t="shared" si="18"/>
        <v>0.85</v>
      </c>
      <c r="N80" s="56">
        <f>INDEX(Rate_Chart!$A$1:$AK$127,MATCH(Data!J80,Rate_Chart!$A$1:$A$127,0),MATCH(Data!K80,Rate_Chart!$A$1:$AK$1,0))</f>
        <v>44.481181500000005</v>
      </c>
      <c r="O80" s="57">
        <f t="shared" si="19"/>
        <v>444.81181500000002</v>
      </c>
      <c r="P80" s="58">
        <f t="shared" si="20"/>
        <v>417.01107656250002</v>
      </c>
      <c r="Q80" s="58">
        <f t="shared" si="21"/>
        <v>278.00738437500002</v>
      </c>
      <c r="R80" s="66">
        <f t="shared" si="22"/>
        <v>7.7842067625000011</v>
      </c>
      <c r="S80" s="64">
        <f t="shared" si="23"/>
        <v>37.5</v>
      </c>
      <c r="T80" s="66">
        <f t="shared" si="24"/>
        <v>490.09602176250002</v>
      </c>
      <c r="U80" s="68">
        <f t="shared" si="25"/>
        <v>49.009602176249999</v>
      </c>
      <c r="V80" s="68">
        <f t="shared" si="27"/>
        <v>459.46502040234373</v>
      </c>
      <c r="W80" s="68">
        <f t="shared" si="26"/>
        <v>306.3100136015625</v>
      </c>
    </row>
    <row r="81" spans="1:23" x14ac:dyDescent="0.25">
      <c r="A81" s="168" t="s">
        <v>894</v>
      </c>
      <c r="B81" s="62" t="s">
        <v>396</v>
      </c>
      <c r="C81" s="62" t="s">
        <v>591</v>
      </c>
      <c r="D81" s="62" t="s">
        <v>593</v>
      </c>
      <c r="E81" s="49" t="s">
        <v>851</v>
      </c>
      <c r="F81" s="62" t="str">
        <f t="shared" si="16"/>
        <v>20107</v>
      </c>
      <c r="G81" s="62">
        <v>10620107</v>
      </c>
      <c r="H81" s="49" t="s">
        <v>388</v>
      </c>
      <c r="I81" s="69">
        <v>13</v>
      </c>
      <c r="J81" s="69">
        <v>4.5</v>
      </c>
      <c r="K81" s="69">
        <v>8.5</v>
      </c>
      <c r="L81" s="69">
        <f t="shared" si="17"/>
        <v>0.58499999999999996</v>
      </c>
      <c r="M81" s="69">
        <f t="shared" si="18"/>
        <v>1.105</v>
      </c>
      <c r="N81" s="56">
        <f>INDEX(Rate_Chart!$A$1:$AK$127,MATCH(Data!J81,Rate_Chart!$A$1:$A$127,0),MATCH(Data!K81,Rate_Chart!$A$1:$AK$1,0))</f>
        <v>42.396181500000004</v>
      </c>
      <c r="O81" s="57">
        <f t="shared" si="19"/>
        <v>551.15035950000004</v>
      </c>
      <c r="P81" s="58">
        <f t="shared" si="20"/>
        <v>417.01162131147544</v>
      </c>
      <c r="Q81" s="58">
        <f t="shared" si="21"/>
        <v>278.00774754098364</v>
      </c>
      <c r="R81" s="66">
        <f t="shared" si="22"/>
        <v>9.6451312912500011</v>
      </c>
      <c r="S81" s="64">
        <f t="shared" si="23"/>
        <v>48.75</v>
      </c>
      <c r="T81" s="66">
        <f t="shared" si="24"/>
        <v>609.54549079125002</v>
      </c>
      <c r="U81" s="68">
        <f t="shared" si="25"/>
        <v>46.888114676249998</v>
      </c>
      <c r="V81" s="68">
        <f t="shared" si="27"/>
        <v>461.19457058606554</v>
      </c>
      <c r="W81" s="68">
        <f t="shared" si="26"/>
        <v>307.46304705737703</v>
      </c>
    </row>
    <row r="82" spans="1:23" x14ac:dyDescent="0.25">
      <c r="A82" s="168" t="s">
        <v>894</v>
      </c>
      <c r="B82" s="62" t="s">
        <v>397</v>
      </c>
      <c r="C82" s="62" t="s">
        <v>591</v>
      </c>
      <c r="D82" s="62" t="s">
        <v>593</v>
      </c>
      <c r="E82" s="49" t="s">
        <v>851</v>
      </c>
      <c r="F82" s="62" t="str">
        <f t="shared" si="16"/>
        <v>20107</v>
      </c>
      <c r="G82" s="62">
        <v>10620107</v>
      </c>
      <c r="H82" s="49" t="s">
        <v>388</v>
      </c>
      <c r="I82" s="69">
        <v>9</v>
      </c>
      <c r="J82" s="69">
        <v>5</v>
      </c>
      <c r="K82" s="69">
        <v>8.5</v>
      </c>
      <c r="L82" s="69">
        <f t="shared" si="17"/>
        <v>0.45</v>
      </c>
      <c r="M82" s="69">
        <f t="shared" si="18"/>
        <v>0.76500000000000001</v>
      </c>
      <c r="N82" s="56">
        <f>INDEX(Rate_Chart!$A$1:$AK$127,MATCH(Data!J82,Rate_Chart!$A$1:$A$127,0),MATCH(Data!K82,Rate_Chart!$A$1:$AK$1,0))</f>
        <v>44.481181500000005</v>
      </c>
      <c r="O82" s="57">
        <f t="shared" si="19"/>
        <v>400.33063350000003</v>
      </c>
      <c r="P82" s="58">
        <f t="shared" si="20"/>
        <v>417.01107656250002</v>
      </c>
      <c r="Q82" s="58">
        <f t="shared" si="21"/>
        <v>278.00738437500002</v>
      </c>
      <c r="R82" s="66">
        <f t="shared" si="22"/>
        <v>7.0057860862500014</v>
      </c>
      <c r="S82" s="64">
        <f t="shared" si="23"/>
        <v>33.75</v>
      </c>
      <c r="T82" s="66">
        <f t="shared" si="24"/>
        <v>441.08641958625003</v>
      </c>
      <c r="U82" s="68">
        <f t="shared" si="25"/>
        <v>49.009602176250006</v>
      </c>
      <c r="V82" s="68">
        <f t="shared" si="27"/>
        <v>459.46502040234378</v>
      </c>
      <c r="W82" s="68">
        <f t="shared" si="26"/>
        <v>306.3100136015625</v>
      </c>
    </row>
    <row r="83" spans="1:23" x14ac:dyDescent="0.25">
      <c r="A83" s="168" t="s">
        <v>889</v>
      </c>
      <c r="B83" s="62" t="s">
        <v>397</v>
      </c>
      <c r="C83" s="62" t="s">
        <v>591</v>
      </c>
      <c r="D83" s="62" t="s">
        <v>592</v>
      </c>
      <c r="E83" s="49" t="s">
        <v>782</v>
      </c>
      <c r="F83" s="62" t="str">
        <f t="shared" si="16"/>
        <v>20109</v>
      </c>
      <c r="G83" s="62">
        <v>10620109</v>
      </c>
      <c r="H83" s="49" t="s">
        <v>387</v>
      </c>
      <c r="I83" s="69">
        <v>500</v>
      </c>
      <c r="J83" s="69">
        <v>5.6</v>
      </c>
      <c r="K83" s="69">
        <v>8.4</v>
      </c>
      <c r="L83" s="69">
        <f t="shared" si="17"/>
        <v>28</v>
      </c>
      <c r="M83" s="69">
        <f t="shared" si="18"/>
        <v>42</v>
      </c>
      <c r="N83" s="56">
        <f>INDEX(Rate_Chart!$A$1:$AK$127,MATCH(Data!J83,Rate_Chart!$A$1:$A$127,0),MATCH(Data!K83,Rate_Chart!$A$1:$AK$1,0))</f>
        <v>45.357199999999999</v>
      </c>
      <c r="O83" s="57">
        <f t="shared" si="19"/>
        <v>22678.6</v>
      </c>
      <c r="P83" s="58">
        <f t="shared" si="20"/>
        <v>404.97500000000002</v>
      </c>
      <c r="Q83" s="58">
        <f t="shared" si="21"/>
        <v>269.98333333333335</v>
      </c>
      <c r="R83" s="66">
        <f t="shared" si="22"/>
        <v>396.87549999999999</v>
      </c>
      <c r="S83" s="64">
        <f t="shared" si="23"/>
        <v>1875</v>
      </c>
      <c r="T83" s="66">
        <f t="shared" si="24"/>
        <v>24950.4755</v>
      </c>
      <c r="U83" s="68">
        <f t="shared" si="25"/>
        <v>49.900950999999999</v>
      </c>
      <c r="V83" s="68">
        <f t="shared" si="27"/>
        <v>445.54420535714291</v>
      </c>
      <c r="W83" s="68">
        <f t="shared" si="26"/>
        <v>297.02947023809526</v>
      </c>
    </row>
    <row r="84" spans="1:23" x14ac:dyDescent="0.25">
      <c r="A84" s="168" t="s">
        <v>889</v>
      </c>
      <c r="B84" s="62" t="s">
        <v>397</v>
      </c>
      <c r="C84" s="62" t="s">
        <v>591</v>
      </c>
      <c r="D84" s="62" t="s">
        <v>592</v>
      </c>
      <c r="E84" s="49" t="s">
        <v>782</v>
      </c>
      <c r="F84" s="62" t="str">
        <f t="shared" si="16"/>
        <v>20109</v>
      </c>
      <c r="G84" s="62">
        <v>10620109</v>
      </c>
      <c r="H84" s="49" t="s">
        <v>388</v>
      </c>
      <c r="I84" s="69">
        <v>200</v>
      </c>
      <c r="J84" s="69">
        <v>4</v>
      </c>
      <c r="K84" s="69">
        <v>8.3000000000000007</v>
      </c>
      <c r="L84" s="69">
        <f t="shared" si="17"/>
        <v>8</v>
      </c>
      <c r="M84" s="69">
        <f t="shared" si="18"/>
        <v>16.600000000000001</v>
      </c>
      <c r="N84" s="56">
        <f>INDEX(Rate_Chart!$A$1:$AK$127,MATCH(Data!J84,Rate_Chart!$A$1:$A$127,0),MATCH(Data!K84,Rate_Chart!$A$1:$AK$1,0))</f>
        <v>39.755153700000008</v>
      </c>
      <c r="O84" s="57">
        <f t="shared" si="19"/>
        <v>7951.030740000002</v>
      </c>
      <c r="P84" s="58">
        <f t="shared" si="20"/>
        <v>417.01210174825178</v>
      </c>
      <c r="Q84" s="58">
        <f t="shared" si="21"/>
        <v>278.00806783216785</v>
      </c>
      <c r="R84" s="66">
        <f t="shared" si="22"/>
        <v>139.14303795000004</v>
      </c>
      <c r="S84" s="64">
        <f t="shared" si="23"/>
        <v>750</v>
      </c>
      <c r="T84" s="66">
        <f t="shared" si="24"/>
        <v>8840.1737779500017</v>
      </c>
      <c r="U84" s="68">
        <f t="shared" si="25"/>
        <v>44.200868889750012</v>
      </c>
      <c r="V84" s="68">
        <f t="shared" si="27"/>
        <v>463.64547786451061</v>
      </c>
      <c r="W84" s="68">
        <f t="shared" si="26"/>
        <v>309.09698524300705</v>
      </c>
    </row>
    <row r="85" spans="1:23" x14ac:dyDescent="0.25">
      <c r="A85" s="168" t="s">
        <v>891</v>
      </c>
      <c r="B85" s="62" t="s">
        <v>396</v>
      </c>
      <c r="C85" s="62" t="s">
        <v>591</v>
      </c>
      <c r="D85" s="62" t="s">
        <v>592</v>
      </c>
      <c r="E85" s="49" t="s">
        <v>782</v>
      </c>
      <c r="F85" s="62" t="str">
        <f t="shared" si="16"/>
        <v>20109</v>
      </c>
      <c r="G85" s="62">
        <v>10620109</v>
      </c>
      <c r="H85" s="49" t="s">
        <v>387</v>
      </c>
      <c r="I85" s="69">
        <v>300</v>
      </c>
      <c r="J85" s="69">
        <v>5.6</v>
      </c>
      <c r="K85" s="69">
        <v>8.4</v>
      </c>
      <c r="L85" s="69">
        <f t="shared" si="17"/>
        <v>16.8</v>
      </c>
      <c r="M85" s="69">
        <f t="shared" si="18"/>
        <v>25.2</v>
      </c>
      <c r="N85" s="56">
        <f>INDEX(Rate_Chart!$A$1:$AK$127,MATCH(Data!J85,Rate_Chart!$A$1:$A$127,0),MATCH(Data!K85,Rate_Chart!$A$1:$AK$1,0))</f>
        <v>45.357199999999999</v>
      </c>
      <c r="O85" s="57">
        <f t="shared" si="19"/>
        <v>13607.16</v>
      </c>
      <c r="P85" s="58">
        <f t="shared" si="20"/>
        <v>404.97500000000002</v>
      </c>
      <c r="Q85" s="58">
        <f t="shared" si="21"/>
        <v>269.98333333333335</v>
      </c>
      <c r="R85" s="66">
        <f t="shared" si="22"/>
        <v>238.12530000000001</v>
      </c>
      <c r="S85" s="64">
        <f t="shared" si="23"/>
        <v>1125</v>
      </c>
      <c r="T85" s="66">
        <f t="shared" si="24"/>
        <v>14970.2853</v>
      </c>
      <c r="U85" s="68">
        <f t="shared" si="25"/>
        <v>49.900950999999999</v>
      </c>
      <c r="V85" s="68">
        <f t="shared" si="27"/>
        <v>445.54420535714291</v>
      </c>
      <c r="W85" s="68">
        <f t="shared" si="26"/>
        <v>297.02947023809526</v>
      </c>
    </row>
    <row r="86" spans="1:23" x14ac:dyDescent="0.25">
      <c r="A86" s="168" t="s">
        <v>891</v>
      </c>
      <c r="B86" s="62" t="s">
        <v>396</v>
      </c>
      <c r="C86" s="62" t="s">
        <v>591</v>
      </c>
      <c r="D86" s="62" t="s">
        <v>592</v>
      </c>
      <c r="E86" s="49" t="s">
        <v>782</v>
      </c>
      <c r="F86" s="62" t="str">
        <f t="shared" si="16"/>
        <v>20109</v>
      </c>
      <c r="G86" s="62">
        <v>10620109</v>
      </c>
      <c r="H86" s="49" t="s">
        <v>388</v>
      </c>
      <c r="I86" s="69">
        <v>100</v>
      </c>
      <c r="J86" s="69">
        <v>4</v>
      </c>
      <c r="K86" s="69">
        <v>8.5</v>
      </c>
      <c r="L86" s="69">
        <f t="shared" si="17"/>
        <v>4</v>
      </c>
      <c r="M86" s="69">
        <f t="shared" si="18"/>
        <v>8.5</v>
      </c>
      <c r="N86" s="56">
        <f>INDEX(Rate_Chart!$A$1:$AK$127,MATCH(Data!J86,Rate_Chart!$A$1:$A$127,0),MATCH(Data!K86,Rate_Chart!$A$1:$AK$1,0))</f>
        <v>40.311181500000004</v>
      </c>
      <c r="O86" s="57">
        <f t="shared" si="19"/>
        <v>4031.1181500000002</v>
      </c>
      <c r="P86" s="58">
        <f t="shared" si="20"/>
        <v>417.0122224137931</v>
      </c>
      <c r="Q86" s="58">
        <f t="shared" si="21"/>
        <v>278.00814827586208</v>
      </c>
      <c r="R86" s="66">
        <f t="shared" si="22"/>
        <v>70.544567625000013</v>
      </c>
      <c r="S86" s="64">
        <f t="shared" si="23"/>
        <v>375</v>
      </c>
      <c r="T86" s="66">
        <f t="shared" si="24"/>
        <v>4476.6627176250004</v>
      </c>
      <c r="U86" s="68">
        <f t="shared" si="25"/>
        <v>44.766627176250005</v>
      </c>
      <c r="V86" s="68">
        <f t="shared" si="27"/>
        <v>463.10303975431032</v>
      </c>
      <c r="W86" s="68">
        <f t="shared" si="26"/>
        <v>308.7353598362069</v>
      </c>
    </row>
    <row r="87" spans="1:23" x14ac:dyDescent="0.25">
      <c r="A87" s="168" t="s">
        <v>891</v>
      </c>
      <c r="B87" s="62" t="s">
        <v>397</v>
      </c>
      <c r="C87" s="62" t="s">
        <v>591</v>
      </c>
      <c r="D87" s="62" t="s">
        <v>592</v>
      </c>
      <c r="E87" s="49" t="s">
        <v>782</v>
      </c>
      <c r="F87" s="62" t="str">
        <f t="shared" si="16"/>
        <v>20109</v>
      </c>
      <c r="G87" s="62">
        <v>10620109</v>
      </c>
      <c r="H87" s="49" t="s">
        <v>387</v>
      </c>
      <c r="I87" s="69">
        <v>1000</v>
      </c>
      <c r="J87" s="69">
        <v>5.6</v>
      </c>
      <c r="K87" s="69">
        <v>8.4</v>
      </c>
      <c r="L87" s="69">
        <f t="shared" si="17"/>
        <v>56</v>
      </c>
      <c r="M87" s="69">
        <f t="shared" si="18"/>
        <v>84</v>
      </c>
      <c r="N87" s="56">
        <f>INDEX(Rate_Chart!$A$1:$AK$127,MATCH(Data!J87,Rate_Chart!$A$1:$A$127,0),MATCH(Data!K87,Rate_Chart!$A$1:$AK$1,0))</f>
        <v>45.357199999999999</v>
      </c>
      <c r="O87" s="57">
        <f t="shared" si="19"/>
        <v>45357.2</v>
      </c>
      <c r="P87" s="58">
        <f t="shared" si="20"/>
        <v>404.97500000000002</v>
      </c>
      <c r="Q87" s="58">
        <f t="shared" si="21"/>
        <v>269.98333333333335</v>
      </c>
      <c r="R87" s="66">
        <f t="shared" si="22"/>
        <v>793.75099999999998</v>
      </c>
      <c r="S87" s="64">
        <f t="shared" si="23"/>
        <v>3750</v>
      </c>
      <c r="T87" s="66">
        <f t="shared" si="24"/>
        <v>49900.951000000001</v>
      </c>
      <c r="U87" s="68">
        <f t="shared" si="25"/>
        <v>49.900950999999999</v>
      </c>
      <c r="V87" s="68">
        <f t="shared" si="27"/>
        <v>445.54420535714291</v>
      </c>
      <c r="W87" s="68">
        <f t="shared" si="26"/>
        <v>297.02947023809526</v>
      </c>
    </row>
    <row r="88" spans="1:23" x14ac:dyDescent="0.25">
      <c r="A88" s="168" t="s">
        <v>891</v>
      </c>
      <c r="B88" s="62" t="s">
        <v>397</v>
      </c>
      <c r="C88" s="62" t="s">
        <v>591</v>
      </c>
      <c r="D88" s="62" t="s">
        <v>592</v>
      </c>
      <c r="E88" s="49" t="s">
        <v>782</v>
      </c>
      <c r="F88" s="62" t="str">
        <f t="shared" si="16"/>
        <v>20109</v>
      </c>
      <c r="G88" s="62">
        <v>10620109</v>
      </c>
      <c r="H88" s="49" t="s">
        <v>388</v>
      </c>
      <c r="I88" s="69">
        <v>200</v>
      </c>
      <c r="J88" s="69">
        <v>4</v>
      </c>
      <c r="K88" s="69">
        <v>8.5</v>
      </c>
      <c r="L88" s="69">
        <f t="shared" si="17"/>
        <v>8</v>
      </c>
      <c r="M88" s="69">
        <f t="shared" si="18"/>
        <v>17</v>
      </c>
      <c r="N88" s="56">
        <f>INDEX(Rate_Chart!$A$1:$AK$127,MATCH(Data!J88,Rate_Chart!$A$1:$A$127,0),MATCH(Data!K88,Rate_Chart!$A$1:$AK$1,0))</f>
        <v>40.311181500000004</v>
      </c>
      <c r="O88" s="57">
        <f t="shared" si="19"/>
        <v>8062.2363000000005</v>
      </c>
      <c r="P88" s="58">
        <f t="shared" si="20"/>
        <v>417.0122224137931</v>
      </c>
      <c r="Q88" s="58">
        <f t="shared" si="21"/>
        <v>278.00814827586208</v>
      </c>
      <c r="R88" s="66">
        <f t="shared" si="22"/>
        <v>141.08913525000003</v>
      </c>
      <c r="S88" s="64">
        <f t="shared" si="23"/>
        <v>750</v>
      </c>
      <c r="T88" s="66">
        <f t="shared" si="24"/>
        <v>8953.3254352500007</v>
      </c>
      <c r="U88" s="68">
        <f t="shared" si="25"/>
        <v>44.766627176250005</v>
      </c>
      <c r="V88" s="68">
        <f t="shared" si="27"/>
        <v>463.10303975431032</v>
      </c>
      <c r="W88" s="68">
        <f t="shared" si="26"/>
        <v>308.7353598362069</v>
      </c>
    </row>
    <row r="89" spans="1:23" x14ac:dyDescent="0.25">
      <c r="A89" s="168" t="s">
        <v>892</v>
      </c>
      <c r="B89" s="62" t="s">
        <v>397</v>
      </c>
      <c r="C89" s="62" t="s">
        <v>591</v>
      </c>
      <c r="D89" s="62" t="s">
        <v>592</v>
      </c>
      <c r="E89" s="49" t="s">
        <v>782</v>
      </c>
      <c r="F89" s="62" t="str">
        <f t="shared" si="16"/>
        <v>20109</v>
      </c>
      <c r="G89" s="62">
        <v>10620109</v>
      </c>
      <c r="H89" s="49" t="s">
        <v>387</v>
      </c>
      <c r="I89" s="69">
        <v>1000</v>
      </c>
      <c r="J89" s="69">
        <v>5.6</v>
      </c>
      <c r="K89" s="69">
        <v>8.4</v>
      </c>
      <c r="L89" s="69">
        <f t="shared" si="17"/>
        <v>56</v>
      </c>
      <c r="M89" s="69">
        <f t="shared" si="18"/>
        <v>84</v>
      </c>
      <c r="N89" s="56">
        <f>INDEX(Rate_Chart!$A$1:$AK$127,MATCH(Data!J89,Rate_Chart!$A$1:$A$127,0),MATCH(Data!K89,Rate_Chart!$A$1:$AK$1,0))</f>
        <v>45.357199999999999</v>
      </c>
      <c r="O89" s="57">
        <f t="shared" si="19"/>
        <v>45357.2</v>
      </c>
      <c r="P89" s="58">
        <f t="shared" si="20"/>
        <v>404.97500000000002</v>
      </c>
      <c r="Q89" s="58">
        <f t="shared" si="21"/>
        <v>269.98333333333335</v>
      </c>
      <c r="R89" s="66">
        <f t="shared" si="22"/>
        <v>793.75099999999998</v>
      </c>
      <c r="S89" s="64">
        <f t="shared" si="23"/>
        <v>3750</v>
      </c>
      <c r="T89" s="66">
        <f t="shared" si="24"/>
        <v>49900.951000000001</v>
      </c>
      <c r="U89" s="68">
        <f t="shared" si="25"/>
        <v>49.900950999999999</v>
      </c>
      <c r="V89" s="68">
        <f t="shared" si="27"/>
        <v>445.54420535714291</v>
      </c>
      <c r="W89" s="68">
        <f t="shared" si="26"/>
        <v>297.02947023809526</v>
      </c>
    </row>
    <row r="90" spans="1:23" x14ac:dyDescent="0.25">
      <c r="A90" s="168" t="s">
        <v>892</v>
      </c>
      <c r="B90" s="62" t="s">
        <v>397</v>
      </c>
      <c r="C90" s="62" t="s">
        <v>591</v>
      </c>
      <c r="D90" s="62" t="s">
        <v>592</v>
      </c>
      <c r="E90" s="49" t="s">
        <v>782</v>
      </c>
      <c r="F90" s="62" t="str">
        <f t="shared" si="16"/>
        <v>20109</v>
      </c>
      <c r="G90" s="62">
        <v>10620109</v>
      </c>
      <c r="H90" s="49" t="s">
        <v>388</v>
      </c>
      <c r="I90" s="69">
        <v>300</v>
      </c>
      <c r="J90" s="69">
        <v>4</v>
      </c>
      <c r="K90" s="69">
        <v>8.5</v>
      </c>
      <c r="L90" s="69">
        <f t="shared" si="17"/>
        <v>12</v>
      </c>
      <c r="M90" s="69">
        <f t="shared" si="18"/>
        <v>25.5</v>
      </c>
      <c r="N90" s="56">
        <f>INDEX(Rate_Chart!$A$1:$AK$127,MATCH(Data!J90,Rate_Chart!$A$1:$A$127,0),MATCH(Data!K90,Rate_Chart!$A$1:$AK$1,0))</f>
        <v>40.311181500000004</v>
      </c>
      <c r="O90" s="57">
        <f t="shared" si="19"/>
        <v>12093.354450000001</v>
      </c>
      <c r="P90" s="58">
        <f t="shared" si="20"/>
        <v>417.0122224137931</v>
      </c>
      <c r="Q90" s="58">
        <f t="shared" si="21"/>
        <v>278.00814827586208</v>
      </c>
      <c r="R90" s="66">
        <f t="shared" si="22"/>
        <v>211.63370287500004</v>
      </c>
      <c r="S90" s="64">
        <f t="shared" si="23"/>
        <v>1125</v>
      </c>
      <c r="T90" s="66">
        <f t="shared" si="24"/>
        <v>13429.988152875001</v>
      </c>
      <c r="U90" s="68">
        <f t="shared" si="25"/>
        <v>44.766627176250005</v>
      </c>
      <c r="V90" s="68">
        <f t="shared" si="27"/>
        <v>463.10303975431032</v>
      </c>
      <c r="W90" s="68">
        <f t="shared" si="26"/>
        <v>308.7353598362069</v>
      </c>
    </row>
    <row r="91" spans="1:23" x14ac:dyDescent="0.25">
      <c r="A91" s="168" t="s">
        <v>893</v>
      </c>
      <c r="B91" s="62" t="s">
        <v>396</v>
      </c>
      <c r="C91" s="62" t="s">
        <v>591</v>
      </c>
      <c r="D91" s="62" t="s">
        <v>592</v>
      </c>
      <c r="E91" s="49" t="s">
        <v>782</v>
      </c>
      <c r="F91" s="62" t="str">
        <f t="shared" si="16"/>
        <v>20109</v>
      </c>
      <c r="G91" s="62">
        <v>10620109</v>
      </c>
      <c r="H91" s="49" t="s">
        <v>387</v>
      </c>
      <c r="I91" s="69">
        <v>800</v>
      </c>
      <c r="J91" s="69">
        <v>5.6</v>
      </c>
      <c r="K91" s="69">
        <v>8.4</v>
      </c>
      <c r="L91" s="69">
        <f t="shared" si="17"/>
        <v>44.8</v>
      </c>
      <c r="M91" s="69">
        <f t="shared" si="18"/>
        <v>67.2</v>
      </c>
      <c r="N91" s="56">
        <f>INDEX(Rate_Chart!$A$1:$AK$127,MATCH(Data!J91,Rate_Chart!$A$1:$A$127,0),MATCH(Data!K91,Rate_Chart!$A$1:$AK$1,0))</f>
        <v>45.357199999999999</v>
      </c>
      <c r="O91" s="57">
        <f t="shared" si="19"/>
        <v>36285.760000000002</v>
      </c>
      <c r="P91" s="58">
        <f t="shared" si="20"/>
        <v>404.97500000000002</v>
      </c>
      <c r="Q91" s="58">
        <f t="shared" si="21"/>
        <v>269.98333333333335</v>
      </c>
      <c r="R91" s="66">
        <f t="shared" si="22"/>
        <v>635.00080000000014</v>
      </c>
      <c r="S91" s="64">
        <f t="shared" si="23"/>
        <v>3000</v>
      </c>
      <c r="T91" s="66">
        <f t="shared" si="24"/>
        <v>39920.760800000004</v>
      </c>
      <c r="U91" s="68">
        <f t="shared" si="25"/>
        <v>49.900951000000006</v>
      </c>
      <c r="V91" s="68">
        <f t="shared" si="27"/>
        <v>445.54420535714297</v>
      </c>
      <c r="W91" s="68">
        <f t="shared" si="26"/>
        <v>297.02947023809531</v>
      </c>
    </row>
    <row r="92" spans="1:23" x14ac:dyDescent="0.25">
      <c r="A92" s="168" t="s">
        <v>893</v>
      </c>
      <c r="B92" s="62" t="s">
        <v>396</v>
      </c>
      <c r="C92" s="62" t="s">
        <v>591</v>
      </c>
      <c r="D92" s="62" t="s">
        <v>592</v>
      </c>
      <c r="E92" s="49" t="s">
        <v>782</v>
      </c>
      <c r="F92" s="62" t="str">
        <f t="shared" si="16"/>
        <v>20109</v>
      </c>
      <c r="G92" s="62">
        <v>10620109</v>
      </c>
      <c r="H92" s="49" t="s">
        <v>388</v>
      </c>
      <c r="I92" s="69">
        <v>200</v>
      </c>
      <c r="J92" s="69">
        <v>4</v>
      </c>
      <c r="K92" s="69">
        <v>8.5</v>
      </c>
      <c r="L92" s="69">
        <f t="shared" si="17"/>
        <v>8</v>
      </c>
      <c r="M92" s="69">
        <f t="shared" si="18"/>
        <v>17</v>
      </c>
      <c r="N92" s="56">
        <f>INDEX(Rate_Chart!$A$1:$AK$127,MATCH(Data!J92,Rate_Chart!$A$1:$A$127,0),MATCH(Data!K92,Rate_Chart!$A$1:$AK$1,0))</f>
        <v>40.311181500000004</v>
      </c>
      <c r="O92" s="57">
        <f t="shared" si="19"/>
        <v>8062.2363000000005</v>
      </c>
      <c r="P92" s="58">
        <f t="shared" si="20"/>
        <v>417.0122224137931</v>
      </c>
      <c r="Q92" s="58">
        <f t="shared" si="21"/>
        <v>278.00814827586208</v>
      </c>
      <c r="R92" s="66">
        <f t="shared" si="22"/>
        <v>141.08913525000003</v>
      </c>
      <c r="S92" s="64">
        <f t="shared" si="23"/>
        <v>750</v>
      </c>
      <c r="T92" s="66">
        <f t="shared" si="24"/>
        <v>8953.3254352500007</v>
      </c>
      <c r="U92" s="68">
        <f t="shared" si="25"/>
        <v>44.766627176250005</v>
      </c>
      <c r="V92" s="68">
        <f t="shared" si="27"/>
        <v>463.10303975431032</v>
      </c>
      <c r="W92" s="68">
        <f t="shared" si="26"/>
        <v>308.7353598362069</v>
      </c>
    </row>
    <row r="93" spans="1:23" x14ac:dyDescent="0.25">
      <c r="A93" s="168" t="s">
        <v>893</v>
      </c>
      <c r="B93" s="62" t="s">
        <v>397</v>
      </c>
      <c r="C93" s="62" t="s">
        <v>591</v>
      </c>
      <c r="D93" s="62" t="s">
        <v>592</v>
      </c>
      <c r="E93" s="49" t="s">
        <v>782</v>
      </c>
      <c r="F93" s="62" t="str">
        <f t="shared" si="16"/>
        <v>20109</v>
      </c>
      <c r="G93" s="62">
        <v>10620109</v>
      </c>
      <c r="H93" s="49" t="s">
        <v>387</v>
      </c>
      <c r="I93" s="69">
        <v>2000</v>
      </c>
      <c r="J93" s="69">
        <v>5.6</v>
      </c>
      <c r="K93" s="69">
        <v>8.4</v>
      </c>
      <c r="L93" s="69">
        <f t="shared" si="17"/>
        <v>112</v>
      </c>
      <c r="M93" s="69">
        <f t="shared" si="18"/>
        <v>168</v>
      </c>
      <c r="N93" s="56">
        <f>INDEX(Rate_Chart!$A$1:$AK$127,MATCH(Data!J93,Rate_Chart!$A$1:$A$127,0),MATCH(Data!K93,Rate_Chart!$A$1:$AK$1,0))</f>
        <v>45.357199999999999</v>
      </c>
      <c r="O93" s="57">
        <f t="shared" si="19"/>
        <v>90714.4</v>
      </c>
      <c r="P93" s="58">
        <f t="shared" si="20"/>
        <v>404.97500000000002</v>
      </c>
      <c r="Q93" s="58">
        <f t="shared" si="21"/>
        <v>269.98333333333335</v>
      </c>
      <c r="R93" s="66">
        <f t="shared" si="22"/>
        <v>1587.502</v>
      </c>
      <c r="S93" s="64">
        <f t="shared" si="23"/>
        <v>7500</v>
      </c>
      <c r="T93" s="66">
        <f t="shared" si="24"/>
        <v>99801.902000000002</v>
      </c>
      <c r="U93" s="68">
        <f t="shared" si="25"/>
        <v>49.900950999999999</v>
      </c>
      <c r="V93" s="68">
        <f t="shared" si="27"/>
        <v>445.54420535714291</v>
      </c>
      <c r="W93" s="68">
        <f t="shared" si="26"/>
        <v>297.02947023809526</v>
      </c>
    </row>
    <row r="94" spans="1:23" x14ac:dyDescent="0.25">
      <c r="A94" s="168" t="s">
        <v>893</v>
      </c>
      <c r="B94" s="62" t="s">
        <v>397</v>
      </c>
      <c r="C94" s="62" t="s">
        <v>591</v>
      </c>
      <c r="D94" s="62" t="s">
        <v>592</v>
      </c>
      <c r="E94" s="49" t="s">
        <v>782</v>
      </c>
      <c r="F94" s="62" t="str">
        <f t="shared" si="16"/>
        <v>20109</v>
      </c>
      <c r="G94" s="62">
        <v>10620109</v>
      </c>
      <c r="H94" s="49" t="s">
        <v>388</v>
      </c>
      <c r="I94" s="69">
        <v>410</v>
      </c>
      <c r="J94" s="69">
        <v>4</v>
      </c>
      <c r="K94" s="69">
        <v>8.5</v>
      </c>
      <c r="L94" s="69">
        <f t="shared" si="17"/>
        <v>16.399999999999999</v>
      </c>
      <c r="M94" s="69">
        <f t="shared" si="18"/>
        <v>34.85</v>
      </c>
      <c r="N94" s="56">
        <f>INDEX(Rate_Chart!$A$1:$AK$127,MATCH(Data!J94,Rate_Chart!$A$1:$A$127,0),MATCH(Data!K94,Rate_Chart!$A$1:$AK$1,0))</f>
        <v>40.311181500000004</v>
      </c>
      <c r="O94" s="57">
        <f t="shared" si="19"/>
        <v>16527.584415000001</v>
      </c>
      <c r="P94" s="58">
        <f t="shared" si="20"/>
        <v>417.0122224137931</v>
      </c>
      <c r="Q94" s="58">
        <f t="shared" si="21"/>
        <v>278.00814827586208</v>
      </c>
      <c r="R94" s="66">
        <f t="shared" si="22"/>
        <v>289.23272726250002</v>
      </c>
      <c r="S94" s="64">
        <f t="shared" si="23"/>
        <v>1537.5</v>
      </c>
      <c r="T94" s="66">
        <f t="shared" si="24"/>
        <v>18354.317142262502</v>
      </c>
      <c r="U94" s="68">
        <f t="shared" si="25"/>
        <v>44.766627176250005</v>
      </c>
      <c r="V94" s="68">
        <f t="shared" si="27"/>
        <v>463.10303975431032</v>
      </c>
      <c r="W94" s="68">
        <f t="shared" si="26"/>
        <v>308.7353598362069</v>
      </c>
    </row>
    <row r="95" spans="1:23" x14ac:dyDescent="0.25">
      <c r="A95" s="168" t="s">
        <v>894</v>
      </c>
      <c r="B95" s="62" t="s">
        <v>396</v>
      </c>
      <c r="C95" s="62" t="s">
        <v>591</v>
      </c>
      <c r="D95" s="62" t="s">
        <v>592</v>
      </c>
      <c r="E95" s="49" t="s">
        <v>782</v>
      </c>
      <c r="F95" s="62" t="str">
        <f t="shared" si="16"/>
        <v>20109</v>
      </c>
      <c r="G95" s="62">
        <v>10620109</v>
      </c>
      <c r="H95" s="49" t="s">
        <v>387</v>
      </c>
      <c r="I95" s="69">
        <v>1500</v>
      </c>
      <c r="J95" s="69">
        <v>5.6</v>
      </c>
      <c r="K95" s="69">
        <v>8.4</v>
      </c>
      <c r="L95" s="69">
        <f t="shared" si="17"/>
        <v>84</v>
      </c>
      <c r="M95" s="69">
        <f t="shared" si="18"/>
        <v>126</v>
      </c>
      <c r="N95" s="56">
        <f>INDEX(Rate_Chart!$A$1:$AK$127,MATCH(Data!J95,Rate_Chart!$A$1:$A$127,0),MATCH(Data!K95,Rate_Chart!$A$1:$AK$1,0))</f>
        <v>45.357199999999999</v>
      </c>
      <c r="O95" s="57">
        <f t="shared" si="19"/>
        <v>68035.8</v>
      </c>
      <c r="P95" s="58">
        <f t="shared" si="20"/>
        <v>404.97500000000002</v>
      </c>
      <c r="Q95" s="58">
        <f t="shared" si="21"/>
        <v>269.98333333333335</v>
      </c>
      <c r="R95" s="66">
        <f t="shared" si="22"/>
        <v>1190.6265000000001</v>
      </c>
      <c r="S95" s="64">
        <f t="shared" si="23"/>
        <v>5625</v>
      </c>
      <c r="T95" s="66">
        <f t="shared" si="24"/>
        <v>74851.426500000001</v>
      </c>
      <c r="U95" s="68">
        <f t="shared" si="25"/>
        <v>49.900950999999999</v>
      </c>
      <c r="V95" s="68">
        <f t="shared" si="27"/>
        <v>445.54420535714291</v>
      </c>
      <c r="W95" s="68">
        <f t="shared" si="26"/>
        <v>297.02947023809526</v>
      </c>
    </row>
    <row r="96" spans="1:23" x14ac:dyDescent="0.25">
      <c r="A96" s="168" t="s">
        <v>894</v>
      </c>
      <c r="B96" s="62" t="s">
        <v>396</v>
      </c>
      <c r="C96" s="62" t="s">
        <v>591</v>
      </c>
      <c r="D96" s="62" t="s">
        <v>592</v>
      </c>
      <c r="E96" s="49" t="s">
        <v>782</v>
      </c>
      <c r="F96" s="62" t="str">
        <f t="shared" si="16"/>
        <v>20109</v>
      </c>
      <c r="G96" s="62">
        <v>10620109</v>
      </c>
      <c r="H96" s="49" t="s">
        <v>388</v>
      </c>
      <c r="I96" s="69">
        <v>400</v>
      </c>
      <c r="J96" s="69">
        <v>4</v>
      </c>
      <c r="K96" s="69">
        <v>8.1</v>
      </c>
      <c r="L96" s="69">
        <f t="shared" si="17"/>
        <v>16</v>
      </c>
      <c r="M96" s="69">
        <f t="shared" si="18"/>
        <v>32.4</v>
      </c>
      <c r="N96" s="56">
        <f>INDEX(Rate_Chart!$A$1:$AK$127,MATCH(Data!J96,Rate_Chart!$A$1:$A$127,0),MATCH(Data!K96,Rate_Chart!$A$1:$AK$1,0))</f>
        <v>39.199125899999999</v>
      </c>
      <c r="O96" s="57">
        <f t="shared" si="19"/>
        <v>15679.65036</v>
      </c>
      <c r="P96" s="58">
        <f t="shared" si="20"/>
        <v>417.01197765957443</v>
      </c>
      <c r="Q96" s="58">
        <f t="shared" si="21"/>
        <v>278.00798510638293</v>
      </c>
      <c r="R96" s="66">
        <f t="shared" si="22"/>
        <v>274.39388130000003</v>
      </c>
      <c r="S96" s="64">
        <f t="shared" si="23"/>
        <v>1500</v>
      </c>
      <c r="T96" s="66">
        <f t="shared" si="24"/>
        <v>17454.044241299998</v>
      </c>
      <c r="U96" s="68">
        <f t="shared" si="25"/>
        <v>43.635110603249998</v>
      </c>
      <c r="V96" s="68">
        <f t="shared" si="27"/>
        <v>464.20330428989359</v>
      </c>
      <c r="W96" s="68">
        <f t="shared" si="26"/>
        <v>309.46886952659571</v>
      </c>
    </row>
    <row r="97" spans="1:23" x14ac:dyDescent="0.25">
      <c r="A97" s="169" t="s">
        <v>894</v>
      </c>
      <c r="B97" s="61" t="s">
        <v>397</v>
      </c>
      <c r="C97" s="61" t="s">
        <v>591</v>
      </c>
      <c r="D97" s="61" t="s">
        <v>592</v>
      </c>
      <c r="E97" s="1" t="s">
        <v>782</v>
      </c>
      <c r="F97" s="62" t="str">
        <f t="shared" si="16"/>
        <v>20109</v>
      </c>
      <c r="G97" s="1">
        <v>10620109</v>
      </c>
      <c r="H97" s="1" t="s">
        <v>387</v>
      </c>
      <c r="I97" s="61">
        <v>2000</v>
      </c>
      <c r="J97" s="61">
        <v>5.6</v>
      </c>
      <c r="K97" s="61">
        <v>8.4</v>
      </c>
      <c r="L97" s="69">
        <f t="shared" ref="L97:L160" si="28">J97*I97/100</f>
        <v>112</v>
      </c>
      <c r="M97" s="69">
        <f t="shared" ref="M97:M160" si="29">K97*I97/100</f>
        <v>168</v>
      </c>
      <c r="N97" s="56">
        <f>INDEX(Rate_Chart!$A$1:$AK$127,MATCH(Data!J97,Rate_Chart!$A$1:$A$127,0),MATCH(Data!K97,Rate_Chart!$A$1:$AK$1,0))</f>
        <v>45.357199999999999</v>
      </c>
      <c r="O97" s="57">
        <f t="shared" ref="O97:O160" si="30">N97*I97</f>
        <v>90714.4</v>
      </c>
      <c r="P97" s="58">
        <f t="shared" ref="P97:P160" si="31">N97/(J97%+K97%*2/3)</f>
        <v>404.97500000000002</v>
      </c>
      <c r="Q97" s="58">
        <f t="shared" ref="Q97:Q160" si="32">P97*2/3</f>
        <v>269.98333333333335</v>
      </c>
      <c r="R97" s="66">
        <f t="shared" si="22"/>
        <v>1587.502</v>
      </c>
      <c r="S97" s="64">
        <f t="shared" ref="S97:S160" si="33">I97*3.75</f>
        <v>7500</v>
      </c>
      <c r="T97" s="66">
        <f t="shared" ref="T97:T160" si="34">R97+S97+O97</f>
        <v>99801.902000000002</v>
      </c>
      <c r="U97" s="68">
        <f t="shared" ref="U97:U160" si="35">T97/I97</f>
        <v>49.900950999999999</v>
      </c>
      <c r="V97" s="68">
        <f t="shared" ref="V97:V160" si="36">U97/(J97%+K97%*2/3)</f>
        <v>445.54420535714291</v>
      </c>
      <c r="W97" s="68">
        <f t="shared" ref="W97:W160" si="37">V97*2/3</f>
        <v>297.02947023809526</v>
      </c>
    </row>
    <row r="98" spans="1:23" x14ac:dyDescent="0.25">
      <c r="A98" s="169" t="s">
        <v>894</v>
      </c>
      <c r="B98" s="61" t="s">
        <v>397</v>
      </c>
      <c r="C98" s="61" t="s">
        <v>591</v>
      </c>
      <c r="D98" s="61" t="s">
        <v>592</v>
      </c>
      <c r="E98" s="1" t="s">
        <v>782</v>
      </c>
      <c r="F98" s="62" t="str">
        <f t="shared" si="16"/>
        <v>20109</v>
      </c>
      <c r="G98" s="1">
        <v>10620109</v>
      </c>
      <c r="H98" s="1" t="s">
        <v>388</v>
      </c>
      <c r="I98" s="61">
        <v>400</v>
      </c>
      <c r="J98" s="61">
        <v>4</v>
      </c>
      <c r="K98" s="61">
        <v>8.1999999999999993</v>
      </c>
      <c r="L98" s="69">
        <f t="shared" si="28"/>
        <v>16</v>
      </c>
      <c r="M98" s="69">
        <f t="shared" si="29"/>
        <v>32.799999999999997</v>
      </c>
      <c r="N98" s="56">
        <f>INDEX(Rate_Chart!$A$1:$AK$127,MATCH(Data!J98,Rate_Chart!$A$1:$A$127,0),MATCH(Data!K98,Rate_Chart!$A$1:$AK$1,0))</f>
        <v>39.477139800000003</v>
      </c>
      <c r="O98" s="57">
        <f t="shared" si="30"/>
        <v>15790.855920000002</v>
      </c>
      <c r="P98" s="58">
        <f t="shared" si="31"/>
        <v>417.0120401408451</v>
      </c>
      <c r="Q98" s="58">
        <f t="shared" si="32"/>
        <v>278.00802676056338</v>
      </c>
      <c r="R98" s="66">
        <f t="shared" si="22"/>
        <v>276.33997860000005</v>
      </c>
      <c r="S98" s="64">
        <f t="shared" si="33"/>
        <v>1500</v>
      </c>
      <c r="T98" s="66">
        <f t="shared" si="34"/>
        <v>17567.195898600003</v>
      </c>
      <c r="U98" s="68">
        <f t="shared" si="35"/>
        <v>43.917989746500005</v>
      </c>
      <c r="V98" s="68">
        <f t="shared" si="36"/>
        <v>463.92242689964797</v>
      </c>
      <c r="W98" s="68">
        <f t="shared" si="37"/>
        <v>309.28161793309863</v>
      </c>
    </row>
    <row r="99" spans="1:23" x14ac:dyDescent="0.25">
      <c r="A99" s="169" t="s">
        <v>892</v>
      </c>
      <c r="B99" s="61" t="s">
        <v>397</v>
      </c>
      <c r="C99" s="61" t="s">
        <v>591</v>
      </c>
      <c r="D99" s="61" t="s">
        <v>869</v>
      </c>
      <c r="E99" s="1" t="s">
        <v>886</v>
      </c>
      <c r="F99" s="62" t="str">
        <f t="shared" si="16"/>
        <v>20111</v>
      </c>
      <c r="G99" s="1">
        <v>10620111</v>
      </c>
      <c r="H99" s="1" t="s">
        <v>388</v>
      </c>
      <c r="I99" s="61">
        <v>200</v>
      </c>
      <c r="J99" s="61">
        <v>4</v>
      </c>
      <c r="K99" s="61">
        <v>8.5</v>
      </c>
      <c r="L99" s="69">
        <f t="shared" si="28"/>
        <v>8</v>
      </c>
      <c r="M99" s="69">
        <f t="shared" si="29"/>
        <v>17</v>
      </c>
      <c r="N99" s="56">
        <f>INDEX(Rate_Chart!$A$1:$AK$127,MATCH(Data!J99,Rate_Chart!$A$1:$A$127,0),MATCH(Data!K99,Rate_Chart!$A$1:$AK$1,0))</f>
        <v>40.311181500000004</v>
      </c>
      <c r="O99" s="57">
        <f t="shared" si="30"/>
        <v>8062.2363000000005</v>
      </c>
      <c r="P99" s="58">
        <f t="shared" si="31"/>
        <v>417.0122224137931</v>
      </c>
      <c r="Q99" s="58">
        <f t="shared" si="32"/>
        <v>278.00814827586208</v>
      </c>
      <c r="R99" s="66">
        <f t="shared" si="22"/>
        <v>141.08913525000003</v>
      </c>
      <c r="S99" s="64">
        <f t="shared" si="33"/>
        <v>750</v>
      </c>
      <c r="T99" s="66">
        <f t="shared" si="34"/>
        <v>8953.3254352500007</v>
      </c>
      <c r="U99" s="68">
        <f t="shared" si="35"/>
        <v>44.766627176250005</v>
      </c>
      <c r="V99" s="68">
        <f t="shared" si="36"/>
        <v>463.10303975431032</v>
      </c>
      <c r="W99" s="68">
        <f t="shared" si="37"/>
        <v>308.7353598362069</v>
      </c>
    </row>
    <row r="100" spans="1:23" x14ac:dyDescent="0.25">
      <c r="A100" s="169" t="s">
        <v>888</v>
      </c>
      <c r="B100" s="61" t="s">
        <v>396</v>
      </c>
      <c r="C100" s="61" t="s">
        <v>591</v>
      </c>
      <c r="D100" s="61" t="s">
        <v>869</v>
      </c>
      <c r="E100" s="1" t="s">
        <v>808</v>
      </c>
      <c r="F100" s="62" t="str">
        <f t="shared" si="16"/>
        <v>20112</v>
      </c>
      <c r="G100" s="1">
        <v>10620112</v>
      </c>
      <c r="H100" s="1" t="s">
        <v>388</v>
      </c>
      <c r="I100" s="61">
        <v>11</v>
      </c>
      <c r="J100" s="61">
        <v>4</v>
      </c>
      <c r="K100" s="61">
        <v>8.5</v>
      </c>
      <c r="L100" s="69">
        <f t="shared" si="28"/>
        <v>0.44</v>
      </c>
      <c r="M100" s="69">
        <f t="shared" si="29"/>
        <v>0.93500000000000005</v>
      </c>
      <c r="N100" s="56">
        <f>INDEX(Rate_Chart!$A$1:$AK$127,MATCH(Data!J100,Rate_Chart!$A$1:$A$127,0),MATCH(Data!K100,Rate_Chart!$A$1:$AK$1,0))</f>
        <v>40.311181500000004</v>
      </c>
      <c r="O100" s="57">
        <f t="shared" si="30"/>
        <v>443.42299650000007</v>
      </c>
      <c r="P100" s="58">
        <f t="shared" si="31"/>
        <v>417.0122224137931</v>
      </c>
      <c r="Q100" s="58">
        <f t="shared" si="32"/>
        <v>278.00814827586208</v>
      </c>
      <c r="R100" s="66">
        <f t="shared" si="22"/>
        <v>7.759902438750002</v>
      </c>
      <c r="S100" s="64">
        <f t="shared" si="33"/>
        <v>41.25</v>
      </c>
      <c r="T100" s="66">
        <f t="shared" si="34"/>
        <v>492.4328989387501</v>
      </c>
      <c r="U100" s="68">
        <f t="shared" si="35"/>
        <v>44.766627176250012</v>
      </c>
      <c r="V100" s="68">
        <f t="shared" si="36"/>
        <v>463.10303975431043</v>
      </c>
      <c r="W100" s="68">
        <f t="shared" si="37"/>
        <v>308.73535983620695</v>
      </c>
    </row>
    <row r="101" spans="1:23" x14ac:dyDescent="0.25">
      <c r="A101" s="169" t="s">
        <v>888</v>
      </c>
      <c r="B101" s="61" t="s">
        <v>397</v>
      </c>
      <c r="C101" s="61" t="s">
        <v>591</v>
      </c>
      <c r="D101" s="61" t="s">
        <v>869</v>
      </c>
      <c r="E101" s="1" t="s">
        <v>808</v>
      </c>
      <c r="F101" s="62" t="str">
        <f t="shared" si="16"/>
        <v>20112</v>
      </c>
      <c r="G101" s="1">
        <v>10620112</v>
      </c>
      <c r="H101" s="1" t="s">
        <v>388</v>
      </c>
      <c r="I101" s="61">
        <v>14</v>
      </c>
      <c r="J101" s="61">
        <v>3.3</v>
      </c>
      <c r="K101" s="61">
        <v>8.4</v>
      </c>
      <c r="L101" s="69">
        <f t="shared" si="28"/>
        <v>0.46199999999999997</v>
      </c>
      <c r="M101" s="69">
        <f t="shared" si="29"/>
        <v>1.1760000000000002</v>
      </c>
      <c r="N101" s="56">
        <f>INDEX(Rate_Chart!$A$1:$AK$127,MATCH(Data!J101,Rate_Chart!$A$1:$A$127,0),MATCH(Data!K101,Rate_Chart!$A$1:$AK$1,0))</f>
        <v>37.114167600000009</v>
      </c>
      <c r="O101" s="57">
        <f t="shared" si="30"/>
        <v>519.59834640000008</v>
      </c>
      <c r="P101" s="58">
        <f t="shared" si="31"/>
        <v>417.01311910112372</v>
      </c>
      <c r="Q101" s="58">
        <f t="shared" si="32"/>
        <v>278.00874606741581</v>
      </c>
      <c r="R101" s="66">
        <f t="shared" si="22"/>
        <v>9.0929710620000019</v>
      </c>
      <c r="S101" s="64">
        <f t="shared" si="33"/>
        <v>52.5</v>
      </c>
      <c r="T101" s="66">
        <f t="shared" si="34"/>
        <v>581.19131746200014</v>
      </c>
      <c r="U101" s="68">
        <f t="shared" si="35"/>
        <v>41.513665533000008</v>
      </c>
      <c r="V101" s="68">
        <f t="shared" si="36"/>
        <v>466.4456801460675</v>
      </c>
      <c r="W101" s="68">
        <f t="shared" si="37"/>
        <v>310.96378676404498</v>
      </c>
    </row>
    <row r="102" spans="1:23" x14ac:dyDescent="0.25">
      <c r="A102" s="169" t="s">
        <v>889</v>
      </c>
      <c r="B102" s="61" t="s">
        <v>396</v>
      </c>
      <c r="C102" s="61" t="s">
        <v>591</v>
      </c>
      <c r="D102" s="61" t="s">
        <v>869</v>
      </c>
      <c r="E102" s="1" t="s">
        <v>808</v>
      </c>
      <c r="F102" s="62" t="str">
        <f t="shared" si="16"/>
        <v>20112</v>
      </c>
      <c r="G102" s="1">
        <v>10620112</v>
      </c>
      <c r="H102" s="1" t="s">
        <v>388</v>
      </c>
      <c r="I102" s="61">
        <v>13</v>
      </c>
      <c r="J102" s="61">
        <v>4</v>
      </c>
      <c r="K102" s="61">
        <v>8.5</v>
      </c>
      <c r="L102" s="69">
        <f t="shared" si="28"/>
        <v>0.52</v>
      </c>
      <c r="M102" s="69">
        <f t="shared" si="29"/>
        <v>1.105</v>
      </c>
      <c r="N102" s="56">
        <f>INDEX(Rate_Chart!$A$1:$AK$127,MATCH(Data!J102,Rate_Chart!$A$1:$A$127,0),MATCH(Data!K102,Rate_Chart!$A$1:$AK$1,0))</f>
        <v>40.311181500000004</v>
      </c>
      <c r="O102" s="57">
        <f t="shared" si="30"/>
        <v>524.04535950000002</v>
      </c>
      <c r="P102" s="58">
        <f t="shared" si="31"/>
        <v>417.0122224137931</v>
      </c>
      <c r="Q102" s="58">
        <f t="shared" si="32"/>
        <v>278.00814827586208</v>
      </c>
      <c r="R102" s="66">
        <f t="shared" si="22"/>
        <v>9.1707937912500004</v>
      </c>
      <c r="S102" s="64">
        <f t="shared" si="33"/>
        <v>48.75</v>
      </c>
      <c r="T102" s="66">
        <f t="shared" si="34"/>
        <v>581.96615329125007</v>
      </c>
      <c r="U102" s="68">
        <f t="shared" si="35"/>
        <v>44.766627176250005</v>
      </c>
      <c r="V102" s="68">
        <f t="shared" si="36"/>
        <v>463.10303975431032</v>
      </c>
      <c r="W102" s="68">
        <f t="shared" si="37"/>
        <v>308.7353598362069</v>
      </c>
    </row>
    <row r="103" spans="1:23" x14ac:dyDescent="0.25">
      <c r="A103" s="169" t="s">
        <v>889</v>
      </c>
      <c r="B103" s="61" t="s">
        <v>397</v>
      </c>
      <c r="C103" s="61" t="s">
        <v>591</v>
      </c>
      <c r="D103" s="61" t="s">
        <v>869</v>
      </c>
      <c r="E103" s="1" t="s">
        <v>808</v>
      </c>
      <c r="F103" s="62" t="str">
        <f t="shared" si="16"/>
        <v>20112</v>
      </c>
      <c r="G103" s="1">
        <v>10620112</v>
      </c>
      <c r="H103" s="1" t="s">
        <v>388</v>
      </c>
      <c r="I103" s="61">
        <v>9</v>
      </c>
      <c r="J103" s="61">
        <v>3</v>
      </c>
      <c r="K103" s="61">
        <v>8.1999999999999993</v>
      </c>
      <c r="L103" s="69">
        <f t="shared" si="28"/>
        <v>0.27</v>
      </c>
      <c r="M103" s="69">
        <f t="shared" si="29"/>
        <v>0.73799999999999999</v>
      </c>
      <c r="N103" s="56">
        <f>INDEX(Rate_Chart!$A$1:$AK$127,MATCH(Data!J103,Rate_Chart!$A$1:$A$127,0),MATCH(Data!K103,Rate_Chart!$A$1:$AK$1,0))</f>
        <v>35.307139800000002</v>
      </c>
      <c r="O103" s="57">
        <f t="shared" si="30"/>
        <v>317.76425820000003</v>
      </c>
      <c r="P103" s="58">
        <f t="shared" si="31"/>
        <v>417.01346220472442</v>
      </c>
      <c r="Q103" s="58">
        <f t="shared" si="32"/>
        <v>278.00897480314961</v>
      </c>
      <c r="R103" s="66">
        <f t="shared" si="22"/>
        <v>5.5608745185000013</v>
      </c>
      <c r="S103" s="64">
        <f t="shared" si="33"/>
        <v>33.75</v>
      </c>
      <c r="T103" s="66">
        <f t="shared" si="34"/>
        <v>357.07513271850002</v>
      </c>
      <c r="U103" s="68">
        <f t="shared" si="35"/>
        <v>39.675014746500004</v>
      </c>
      <c r="V103" s="68">
        <f t="shared" si="36"/>
        <v>468.6025363759843</v>
      </c>
      <c r="W103" s="68">
        <f t="shared" si="37"/>
        <v>312.40169091732287</v>
      </c>
    </row>
    <row r="104" spans="1:23" x14ac:dyDescent="0.25">
      <c r="A104" s="169" t="s">
        <v>890</v>
      </c>
      <c r="B104" s="61" t="s">
        <v>396</v>
      </c>
      <c r="C104" s="61" t="s">
        <v>591</v>
      </c>
      <c r="D104" s="61" t="s">
        <v>869</v>
      </c>
      <c r="E104" s="1" t="s">
        <v>808</v>
      </c>
      <c r="F104" s="62" t="str">
        <f t="shared" si="16"/>
        <v>20112</v>
      </c>
      <c r="G104" s="1">
        <v>10620112</v>
      </c>
      <c r="H104" s="1" t="s">
        <v>388</v>
      </c>
      <c r="I104" s="61">
        <v>12</v>
      </c>
      <c r="J104" s="61">
        <v>3.8</v>
      </c>
      <c r="K104" s="61">
        <v>8.4</v>
      </c>
      <c r="L104" s="69">
        <f t="shared" si="28"/>
        <v>0.45599999999999996</v>
      </c>
      <c r="M104" s="69">
        <f t="shared" si="29"/>
        <v>1.008</v>
      </c>
      <c r="N104" s="56">
        <f>INDEX(Rate_Chart!$A$1:$AK$127,MATCH(Data!J104,Rate_Chart!$A$1:$A$127,0),MATCH(Data!K104,Rate_Chart!$A$1:$AK$1,0))</f>
        <v>39.19916760000001</v>
      </c>
      <c r="O104" s="57">
        <f t="shared" si="30"/>
        <v>470.39001120000012</v>
      </c>
      <c r="P104" s="58">
        <f t="shared" si="31"/>
        <v>417.01242127659583</v>
      </c>
      <c r="Q104" s="58">
        <f t="shared" si="32"/>
        <v>278.00828085106389</v>
      </c>
      <c r="R104" s="66">
        <f t="shared" si="22"/>
        <v>8.2318251960000026</v>
      </c>
      <c r="S104" s="64">
        <f t="shared" si="33"/>
        <v>45</v>
      </c>
      <c r="T104" s="66">
        <f t="shared" si="34"/>
        <v>523.62183639600016</v>
      </c>
      <c r="U104" s="68">
        <f t="shared" si="35"/>
        <v>43.635153033000016</v>
      </c>
      <c r="V104" s="68">
        <f t="shared" si="36"/>
        <v>464.20375567021296</v>
      </c>
      <c r="W104" s="68">
        <f t="shared" si="37"/>
        <v>309.46917044680862</v>
      </c>
    </row>
    <row r="105" spans="1:23" x14ac:dyDescent="0.25">
      <c r="A105" s="169" t="s">
        <v>890</v>
      </c>
      <c r="B105" s="61" t="s">
        <v>397</v>
      </c>
      <c r="C105" s="61" t="s">
        <v>591</v>
      </c>
      <c r="D105" s="61" t="s">
        <v>869</v>
      </c>
      <c r="E105" s="1" t="s">
        <v>808</v>
      </c>
      <c r="F105" s="62" t="str">
        <f t="shared" si="16"/>
        <v>20112</v>
      </c>
      <c r="G105" s="1">
        <v>10620112</v>
      </c>
      <c r="H105" s="1" t="s">
        <v>388</v>
      </c>
      <c r="I105" s="61">
        <v>13</v>
      </c>
      <c r="J105" s="61">
        <v>3.4</v>
      </c>
      <c r="K105" s="61">
        <v>8</v>
      </c>
      <c r="L105" s="69">
        <f t="shared" si="28"/>
        <v>0.44199999999999995</v>
      </c>
      <c r="M105" s="69">
        <f t="shared" si="29"/>
        <v>1.04</v>
      </c>
      <c r="N105" s="56">
        <f>INDEX(Rate_Chart!$A$1:$AK$127,MATCH(Data!J105,Rate_Chart!$A$1:$A$127,0),MATCH(Data!K105,Rate_Chart!$A$1:$AK$1,0))</f>
        <v>36.419112000000005</v>
      </c>
      <c r="O105" s="57">
        <f t="shared" si="30"/>
        <v>473.44845600000008</v>
      </c>
      <c r="P105" s="58">
        <f t="shared" si="31"/>
        <v>417.01273282442747</v>
      </c>
      <c r="Q105" s="58">
        <f t="shared" si="32"/>
        <v>278.00848854961833</v>
      </c>
      <c r="R105" s="66">
        <f t="shared" si="22"/>
        <v>8.2853479800000027</v>
      </c>
      <c r="S105" s="64">
        <f t="shared" si="33"/>
        <v>48.75</v>
      </c>
      <c r="T105" s="66">
        <f t="shared" si="34"/>
        <v>530.48380398000006</v>
      </c>
      <c r="U105" s="68">
        <f t="shared" si="35"/>
        <v>40.806446460000004</v>
      </c>
      <c r="V105" s="68">
        <f t="shared" si="36"/>
        <v>467.24938694656487</v>
      </c>
      <c r="W105" s="68">
        <f t="shared" si="37"/>
        <v>311.49959129770991</v>
      </c>
    </row>
    <row r="106" spans="1:23" x14ac:dyDescent="0.25">
      <c r="A106" s="169" t="s">
        <v>891</v>
      </c>
      <c r="B106" s="61" t="s">
        <v>396</v>
      </c>
      <c r="C106" s="61" t="s">
        <v>591</v>
      </c>
      <c r="D106" s="61" t="s">
        <v>869</v>
      </c>
      <c r="E106" s="1" t="s">
        <v>808</v>
      </c>
      <c r="F106" s="62" t="str">
        <f t="shared" si="16"/>
        <v>20112</v>
      </c>
      <c r="G106" s="1">
        <v>10620112</v>
      </c>
      <c r="H106" s="1" t="s">
        <v>388</v>
      </c>
      <c r="I106" s="61">
        <v>9</v>
      </c>
      <c r="J106" s="61">
        <v>4.7</v>
      </c>
      <c r="K106" s="61">
        <v>8.4</v>
      </c>
      <c r="L106" s="69">
        <f t="shared" si="28"/>
        <v>0.42300000000000004</v>
      </c>
      <c r="M106" s="69">
        <f t="shared" si="29"/>
        <v>0.75600000000000012</v>
      </c>
      <c r="N106" s="56">
        <f>INDEX(Rate_Chart!$A$1:$AK$127,MATCH(Data!J106,Rate_Chart!$A$1:$A$127,0),MATCH(Data!K106,Rate_Chart!$A$1:$AK$1,0))</f>
        <v>42.95216760000001</v>
      </c>
      <c r="O106" s="57">
        <f t="shared" si="30"/>
        <v>386.56950840000007</v>
      </c>
      <c r="P106" s="58">
        <f t="shared" si="31"/>
        <v>417.01133592233015</v>
      </c>
      <c r="Q106" s="58">
        <f t="shared" si="32"/>
        <v>278.00755728155343</v>
      </c>
      <c r="R106" s="66">
        <f t="shared" si="22"/>
        <v>6.764966397000002</v>
      </c>
      <c r="S106" s="64">
        <f t="shared" si="33"/>
        <v>33.75</v>
      </c>
      <c r="T106" s="66">
        <f t="shared" si="34"/>
        <v>427.0844747970001</v>
      </c>
      <c r="U106" s="68">
        <f t="shared" si="35"/>
        <v>47.453830533000009</v>
      </c>
      <c r="V106" s="68">
        <f t="shared" si="36"/>
        <v>460.71680129126219</v>
      </c>
      <c r="W106" s="68">
        <f t="shared" si="37"/>
        <v>307.14453419417481</v>
      </c>
    </row>
    <row r="107" spans="1:23" x14ac:dyDescent="0.25">
      <c r="A107" s="169" t="s">
        <v>891</v>
      </c>
      <c r="B107" s="61" t="s">
        <v>397</v>
      </c>
      <c r="C107" s="61" t="s">
        <v>591</v>
      </c>
      <c r="D107" s="61" t="s">
        <v>869</v>
      </c>
      <c r="E107" s="1" t="s">
        <v>808</v>
      </c>
      <c r="F107" s="62" t="str">
        <f t="shared" si="16"/>
        <v>20112</v>
      </c>
      <c r="G107" s="1">
        <v>10620112</v>
      </c>
      <c r="H107" s="1" t="s">
        <v>388</v>
      </c>
      <c r="I107" s="61">
        <v>14</v>
      </c>
      <c r="J107" s="61">
        <v>3.2</v>
      </c>
      <c r="K107" s="61">
        <v>8.4</v>
      </c>
      <c r="L107" s="69">
        <f t="shared" si="28"/>
        <v>0.44800000000000006</v>
      </c>
      <c r="M107" s="69">
        <f t="shared" si="29"/>
        <v>1.1760000000000002</v>
      </c>
      <c r="N107" s="56">
        <f>INDEX(Rate_Chart!$A$1:$AK$127,MATCH(Data!J107,Rate_Chart!$A$1:$A$127,0),MATCH(Data!K107,Rate_Chart!$A$1:$AK$1,0))</f>
        <v>36.697167600000007</v>
      </c>
      <c r="O107" s="57">
        <f t="shared" si="30"/>
        <v>513.76034640000012</v>
      </c>
      <c r="P107" s="58">
        <f t="shared" si="31"/>
        <v>417.01326818181826</v>
      </c>
      <c r="Q107" s="58">
        <f t="shared" si="32"/>
        <v>278.00884545454551</v>
      </c>
      <c r="R107" s="66">
        <f t="shared" si="22"/>
        <v>8.9908060620000025</v>
      </c>
      <c r="S107" s="64">
        <f t="shared" si="33"/>
        <v>52.5</v>
      </c>
      <c r="T107" s="66">
        <f t="shared" si="34"/>
        <v>575.25115246200016</v>
      </c>
      <c r="U107" s="68">
        <f t="shared" si="35"/>
        <v>41.089368033000014</v>
      </c>
      <c r="V107" s="68">
        <f t="shared" si="36"/>
        <v>466.92463673863654</v>
      </c>
      <c r="W107" s="68">
        <f t="shared" si="37"/>
        <v>311.28309115909104</v>
      </c>
    </row>
    <row r="108" spans="1:23" x14ac:dyDescent="0.25">
      <c r="A108" s="169" t="s">
        <v>892</v>
      </c>
      <c r="B108" s="61" t="s">
        <v>396</v>
      </c>
      <c r="C108" s="61" t="s">
        <v>591</v>
      </c>
      <c r="D108" s="61" t="s">
        <v>869</v>
      </c>
      <c r="E108" s="1" t="s">
        <v>808</v>
      </c>
      <c r="F108" s="62" t="str">
        <f t="shared" si="16"/>
        <v>20112</v>
      </c>
      <c r="G108" s="1">
        <v>10620112</v>
      </c>
      <c r="H108" s="1" t="s">
        <v>388</v>
      </c>
      <c r="I108" s="61">
        <v>12</v>
      </c>
      <c r="J108" s="61">
        <v>4.3</v>
      </c>
      <c r="K108" s="61">
        <v>8.5</v>
      </c>
      <c r="L108" s="69">
        <f t="shared" si="28"/>
        <v>0.5159999999999999</v>
      </c>
      <c r="M108" s="69">
        <f t="shared" si="29"/>
        <v>1.02</v>
      </c>
      <c r="N108" s="56">
        <f>INDEX(Rate_Chart!$A$1:$AK$127,MATCH(Data!J108,Rate_Chart!$A$1:$A$127,0),MATCH(Data!K108,Rate_Chart!$A$1:$AK$1,0))</f>
        <v>41.562181500000001</v>
      </c>
      <c r="O108" s="57">
        <f t="shared" si="30"/>
        <v>498.74617799999999</v>
      </c>
      <c r="P108" s="58">
        <f t="shared" si="31"/>
        <v>417.01185451505017</v>
      </c>
      <c r="Q108" s="58">
        <f t="shared" si="32"/>
        <v>278.00790301003343</v>
      </c>
      <c r="R108" s="66">
        <f t="shared" si="22"/>
        <v>8.7280581150000014</v>
      </c>
      <c r="S108" s="64">
        <f t="shared" si="33"/>
        <v>45</v>
      </c>
      <c r="T108" s="66">
        <f t="shared" si="34"/>
        <v>552.47423611499994</v>
      </c>
      <c r="U108" s="68">
        <f t="shared" si="35"/>
        <v>46.039519676249995</v>
      </c>
      <c r="V108" s="68">
        <f t="shared" si="36"/>
        <v>461.93498002926418</v>
      </c>
      <c r="W108" s="68">
        <f t="shared" si="37"/>
        <v>307.95665335284281</v>
      </c>
    </row>
    <row r="109" spans="1:23" x14ac:dyDescent="0.25">
      <c r="A109" s="169" t="s">
        <v>892</v>
      </c>
      <c r="B109" s="61" t="s">
        <v>397</v>
      </c>
      <c r="C109" s="61" t="s">
        <v>591</v>
      </c>
      <c r="D109" s="61" t="s">
        <v>869</v>
      </c>
      <c r="E109" s="1" t="s">
        <v>808</v>
      </c>
      <c r="F109" s="62" t="str">
        <f t="shared" si="16"/>
        <v>20112</v>
      </c>
      <c r="G109" s="1">
        <v>10620112</v>
      </c>
      <c r="H109" s="1" t="s">
        <v>388</v>
      </c>
      <c r="I109" s="61">
        <v>13</v>
      </c>
      <c r="J109" s="61">
        <v>3.5</v>
      </c>
      <c r="K109" s="61">
        <v>8.4</v>
      </c>
      <c r="L109" s="69">
        <f t="shared" si="28"/>
        <v>0.45500000000000002</v>
      </c>
      <c r="M109" s="69">
        <f t="shared" si="29"/>
        <v>1.0920000000000001</v>
      </c>
      <c r="N109" s="56">
        <f>INDEX(Rate_Chart!$A$1:$AK$127,MATCH(Data!J109,Rate_Chart!$A$1:$A$127,0),MATCH(Data!K109,Rate_Chart!$A$1:$AK$1,0))</f>
        <v>37.948167600000005</v>
      </c>
      <c r="O109" s="57">
        <f t="shared" si="30"/>
        <v>493.32617880000009</v>
      </c>
      <c r="P109" s="58">
        <f t="shared" si="31"/>
        <v>417.01283076923085</v>
      </c>
      <c r="Q109" s="58">
        <f t="shared" si="32"/>
        <v>278.00855384615392</v>
      </c>
      <c r="R109" s="66">
        <f t="shared" si="22"/>
        <v>8.6332081290000033</v>
      </c>
      <c r="S109" s="64">
        <f t="shared" si="33"/>
        <v>48.75</v>
      </c>
      <c r="T109" s="66">
        <f t="shared" si="34"/>
        <v>550.70938692900006</v>
      </c>
      <c r="U109" s="68">
        <f t="shared" si="35"/>
        <v>42.362260533000004</v>
      </c>
      <c r="V109" s="68">
        <f t="shared" si="36"/>
        <v>465.51934651648355</v>
      </c>
      <c r="W109" s="68">
        <f t="shared" si="37"/>
        <v>310.34623101098902</v>
      </c>
    </row>
    <row r="110" spans="1:23" x14ac:dyDescent="0.25">
      <c r="A110" s="169" t="s">
        <v>893</v>
      </c>
      <c r="B110" s="61" t="s">
        <v>396</v>
      </c>
      <c r="C110" s="61" t="s">
        <v>591</v>
      </c>
      <c r="D110" s="61" t="s">
        <v>869</v>
      </c>
      <c r="E110" s="1" t="s">
        <v>808</v>
      </c>
      <c r="F110" s="62" t="str">
        <f t="shared" si="16"/>
        <v>20112</v>
      </c>
      <c r="G110" s="1">
        <v>10620112</v>
      </c>
      <c r="H110" s="1" t="s">
        <v>388</v>
      </c>
      <c r="I110" s="61">
        <v>12</v>
      </c>
      <c r="J110" s="61">
        <v>4.8</v>
      </c>
      <c r="K110" s="61">
        <v>8.4</v>
      </c>
      <c r="L110" s="69">
        <f t="shared" si="28"/>
        <v>0.57599999999999996</v>
      </c>
      <c r="M110" s="69">
        <f t="shared" si="29"/>
        <v>1.008</v>
      </c>
      <c r="N110" s="56">
        <f>INDEX(Rate_Chart!$A$1:$AK$127,MATCH(Data!J110,Rate_Chart!$A$1:$A$127,0),MATCH(Data!K110,Rate_Chart!$A$1:$AK$1,0))</f>
        <v>43.369167600000011</v>
      </c>
      <c r="O110" s="57">
        <f t="shared" si="30"/>
        <v>520.43001120000008</v>
      </c>
      <c r="P110" s="58">
        <f t="shared" si="31"/>
        <v>417.011226923077</v>
      </c>
      <c r="Q110" s="58">
        <f t="shared" si="32"/>
        <v>278.00748461538467</v>
      </c>
      <c r="R110" s="66">
        <f t="shared" si="22"/>
        <v>9.1075251960000028</v>
      </c>
      <c r="S110" s="64">
        <f t="shared" si="33"/>
        <v>45</v>
      </c>
      <c r="T110" s="66">
        <f t="shared" si="34"/>
        <v>574.53753639600006</v>
      </c>
      <c r="U110" s="68">
        <f t="shared" si="35"/>
        <v>47.878128033000003</v>
      </c>
      <c r="V110" s="68">
        <f t="shared" si="36"/>
        <v>460.36661570192308</v>
      </c>
      <c r="W110" s="68">
        <f t="shared" si="37"/>
        <v>306.91107713461537</v>
      </c>
    </row>
    <row r="111" spans="1:23" x14ac:dyDescent="0.25">
      <c r="A111" s="169" t="s">
        <v>893</v>
      </c>
      <c r="B111" s="61" t="s">
        <v>397</v>
      </c>
      <c r="C111" s="61" t="s">
        <v>591</v>
      </c>
      <c r="D111" s="61" t="s">
        <v>869</v>
      </c>
      <c r="E111" s="1" t="s">
        <v>808</v>
      </c>
      <c r="F111" s="62" t="str">
        <f t="shared" si="16"/>
        <v>20112</v>
      </c>
      <c r="G111" s="1">
        <v>10620112</v>
      </c>
      <c r="H111" s="1" t="s">
        <v>388</v>
      </c>
      <c r="I111" s="61">
        <v>10</v>
      </c>
      <c r="J111" s="61">
        <v>3.1</v>
      </c>
      <c r="K111" s="61">
        <v>8.1</v>
      </c>
      <c r="L111" s="69">
        <f t="shared" si="28"/>
        <v>0.31</v>
      </c>
      <c r="M111" s="69">
        <f t="shared" si="29"/>
        <v>0.81</v>
      </c>
      <c r="N111" s="56">
        <f>INDEX(Rate_Chart!$A$1:$AK$127,MATCH(Data!J111,Rate_Chart!$A$1:$A$127,0),MATCH(Data!K111,Rate_Chart!$A$1:$AK$1,0))</f>
        <v>35.446125899999998</v>
      </c>
      <c r="O111" s="57">
        <f t="shared" si="30"/>
        <v>354.46125899999998</v>
      </c>
      <c r="P111" s="58">
        <f t="shared" si="31"/>
        <v>417.01324588235298</v>
      </c>
      <c r="Q111" s="58">
        <f t="shared" si="32"/>
        <v>278.0088305882353</v>
      </c>
      <c r="R111" s="66">
        <f t="shared" si="22"/>
        <v>6.2030720325000006</v>
      </c>
      <c r="S111" s="64">
        <f t="shared" si="33"/>
        <v>37.5</v>
      </c>
      <c r="T111" s="66">
        <f t="shared" si="34"/>
        <v>398.1643310325</v>
      </c>
      <c r="U111" s="68">
        <f t="shared" si="35"/>
        <v>39.816433103249999</v>
      </c>
      <c r="V111" s="68">
        <f t="shared" si="36"/>
        <v>468.42862474411766</v>
      </c>
      <c r="W111" s="68">
        <f t="shared" si="37"/>
        <v>312.28574982941177</v>
      </c>
    </row>
    <row r="112" spans="1:23" x14ac:dyDescent="0.25">
      <c r="A112" s="169" t="s">
        <v>894</v>
      </c>
      <c r="B112" s="61" t="s">
        <v>396</v>
      </c>
      <c r="C112" s="61" t="s">
        <v>591</v>
      </c>
      <c r="D112" s="61" t="s">
        <v>869</v>
      </c>
      <c r="E112" s="1" t="s">
        <v>808</v>
      </c>
      <c r="F112" s="62" t="str">
        <f t="shared" si="16"/>
        <v>20112</v>
      </c>
      <c r="G112" s="1">
        <v>10620112</v>
      </c>
      <c r="H112" s="1" t="s">
        <v>388</v>
      </c>
      <c r="I112" s="61">
        <v>13</v>
      </c>
      <c r="J112" s="61">
        <v>4.5</v>
      </c>
      <c r="K112" s="61">
        <v>8.5</v>
      </c>
      <c r="L112" s="69">
        <f t="shared" si="28"/>
        <v>0.58499999999999996</v>
      </c>
      <c r="M112" s="69">
        <f t="shared" si="29"/>
        <v>1.105</v>
      </c>
      <c r="N112" s="56">
        <f>INDEX(Rate_Chart!$A$1:$AK$127,MATCH(Data!J112,Rate_Chart!$A$1:$A$127,0),MATCH(Data!K112,Rate_Chart!$A$1:$AK$1,0))</f>
        <v>42.396181500000004</v>
      </c>
      <c r="O112" s="57">
        <f t="shared" si="30"/>
        <v>551.15035950000004</v>
      </c>
      <c r="P112" s="58">
        <f t="shared" si="31"/>
        <v>417.01162131147544</v>
      </c>
      <c r="Q112" s="58">
        <f t="shared" si="32"/>
        <v>278.00774754098364</v>
      </c>
      <c r="R112" s="66">
        <f t="shared" si="22"/>
        <v>9.6451312912500011</v>
      </c>
      <c r="S112" s="64">
        <f t="shared" si="33"/>
        <v>48.75</v>
      </c>
      <c r="T112" s="66">
        <f t="shared" si="34"/>
        <v>609.54549079125002</v>
      </c>
      <c r="U112" s="68">
        <f t="shared" si="35"/>
        <v>46.888114676249998</v>
      </c>
      <c r="V112" s="68">
        <f t="shared" si="36"/>
        <v>461.19457058606554</v>
      </c>
      <c r="W112" s="68">
        <f t="shared" si="37"/>
        <v>307.46304705737703</v>
      </c>
    </row>
    <row r="113" spans="1:23" x14ac:dyDescent="0.25">
      <c r="A113" s="169" t="s">
        <v>894</v>
      </c>
      <c r="B113" s="61" t="s">
        <v>397</v>
      </c>
      <c r="C113" s="61" t="s">
        <v>591</v>
      </c>
      <c r="D113" s="61" t="s">
        <v>869</v>
      </c>
      <c r="E113" s="1" t="s">
        <v>808</v>
      </c>
      <c r="F113" s="62" t="str">
        <f t="shared" si="16"/>
        <v>20112</v>
      </c>
      <c r="G113" s="1">
        <v>10620112</v>
      </c>
      <c r="H113" s="1" t="s">
        <v>388</v>
      </c>
      <c r="I113" s="61">
        <v>12</v>
      </c>
      <c r="J113" s="61">
        <v>3.6</v>
      </c>
      <c r="K113" s="61">
        <v>8.1</v>
      </c>
      <c r="L113" s="69">
        <f t="shared" si="28"/>
        <v>0.43200000000000005</v>
      </c>
      <c r="M113" s="69">
        <f t="shared" si="29"/>
        <v>0.97199999999999986</v>
      </c>
      <c r="N113" s="56">
        <f>INDEX(Rate_Chart!$A$1:$AK$127,MATCH(Data!J113,Rate_Chart!$A$1:$A$127,0),MATCH(Data!K113,Rate_Chart!$A$1:$AK$1,0))</f>
        <v>37.531125900000006</v>
      </c>
      <c r="O113" s="57">
        <f t="shared" si="30"/>
        <v>450.37351080000008</v>
      </c>
      <c r="P113" s="58">
        <f t="shared" si="31"/>
        <v>417.01251000000008</v>
      </c>
      <c r="Q113" s="58">
        <f t="shared" si="32"/>
        <v>278.00834000000003</v>
      </c>
      <c r="R113" s="66">
        <f t="shared" si="22"/>
        <v>7.8815364390000022</v>
      </c>
      <c r="S113" s="64">
        <f t="shared" si="33"/>
        <v>45</v>
      </c>
      <c r="T113" s="66">
        <f t="shared" si="34"/>
        <v>503.25504723900008</v>
      </c>
      <c r="U113" s="68">
        <f t="shared" si="35"/>
        <v>41.937920603250006</v>
      </c>
      <c r="V113" s="68">
        <f t="shared" si="36"/>
        <v>465.97689559166673</v>
      </c>
      <c r="W113" s="68">
        <f t="shared" si="37"/>
        <v>310.6512637277778</v>
      </c>
    </row>
    <row r="114" spans="1:23" x14ac:dyDescent="0.25">
      <c r="A114" s="169" t="s">
        <v>888</v>
      </c>
      <c r="B114" s="61" t="s">
        <v>396</v>
      </c>
      <c r="C114" s="61" t="s">
        <v>591</v>
      </c>
      <c r="D114" s="61" t="s">
        <v>593</v>
      </c>
      <c r="E114" s="1" t="s">
        <v>783</v>
      </c>
      <c r="F114" s="62" t="str">
        <f t="shared" si="16"/>
        <v>20115</v>
      </c>
      <c r="G114" s="1">
        <v>10620115</v>
      </c>
      <c r="H114" s="1" t="s">
        <v>388</v>
      </c>
      <c r="I114" s="61">
        <v>36</v>
      </c>
      <c r="J114" s="61">
        <v>3.7</v>
      </c>
      <c r="K114" s="61">
        <v>8.1</v>
      </c>
      <c r="L114" s="69">
        <f t="shared" si="28"/>
        <v>1.3320000000000001</v>
      </c>
      <c r="M114" s="69">
        <f t="shared" si="29"/>
        <v>2.9159999999999995</v>
      </c>
      <c r="N114" s="56">
        <f>INDEX(Rate_Chart!$A$1:$AK$127,MATCH(Data!J114,Rate_Chart!$A$1:$A$127,0),MATCH(Data!K114,Rate_Chart!$A$1:$AK$1,0))</f>
        <v>37.948125900000008</v>
      </c>
      <c r="O114" s="57">
        <f t="shared" si="30"/>
        <v>1366.1325324000004</v>
      </c>
      <c r="P114" s="58">
        <f t="shared" si="31"/>
        <v>417.01237252747262</v>
      </c>
      <c r="Q114" s="58">
        <f t="shared" si="32"/>
        <v>278.00824835164843</v>
      </c>
      <c r="R114" s="66">
        <f t="shared" si="22"/>
        <v>23.90731931700001</v>
      </c>
      <c r="S114" s="64">
        <f t="shared" si="33"/>
        <v>135</v>
      </c>
      <c r="T114" s="66">
        <f t="shared" si="34"/>
        <v>1525.0398517170004</v>
      </c>
      <c r="U114" s="68">
        <f t="shared" si="35"/>
        <v>42.362218103250008</v>
      </c>
      <c r="V114" s="68">
        <f t="shared" si="36"/>
        <v>465.51888025549459</v>
      </c>
      <c r="W114" s="68">
        <f t="shared" si="37"/>
        <v>310.34592017032975</v>
      </c>
    </row>
    <row r="115" spans="1:23" x14ac:dyDescent="0.25">
      <c r="A115" s="169" t="s">
        <v>888</v>
      </c>
      <c r="B115" s="61" t="s">
        <v>397</v>
      </c>
      <c r="C115" s="61" t="s">
        <v>591</v>
      </c>
      <c r="D115" s="61" t="s">
        <v>593</v>
      </c>
      <c r="E115" s="1" t="s">
        <v>783</v>
      </c>
      <c r="F115" s="62" t="str">
        <f t="shared" si="16"/>
        <v>20115</v>
      </c>
      <c r="G115" s="1">
        <v>10620115</v>
      </c>
      <c r="H115" s="1" t="s">
        <v>388</v>
      </c>
      <c r="I115" s="61">
        <v>50</v>
      </c>
      <c r="J115" s="61">
        <v>3.6</v>
      </c>
      <c r="K115" s="61">
        <v>8.1</v>
      </c>
      <c r="L115" s="69">
        <f t="shared" si="28"/>
        <v>1.8</v>
      </c>
      <c r="M115" s="69">
        <f t="shared" si="29"/>
        <v>4.05</v>
      </c>
      <c r="N115" s="56">
        <f>INDEX(Rate_Chart!$A$1:$AK$127,MATCH(Data!J115,Rate_Chart!$A$1:$A$127,0),MATCH(Data!K115,Rate_Chart!$A$1:$AK$1,0))</f>
        <v>37.531125900000006</v>
      </c>
      <c r="O115" s="57">
        <f t="shared" si="30"/>
        <v>1876.5562950000003</v>
      </c>
      <c r="P115" s="58">
        <f t="shared" si="31"/>
        <v>417.01251000000008</v>
      </c>
      <c r="Q115" s="58">
        <f t="shared" si="32"/>
        <v>278.00834000000003</v>
      </c>
      <c r="R115" s="66">
        <f t="shared" si="22"/>
        <v>32.839735162500006</v>
      </c>
      <c r="S115" s="64">
        <f t="shared" si="33"/>
        <v>187.5</v>
      </c>
      <c r="T115" s="66">
        <f t="shared" si="34"/>
        <v>2096.8960301625002</v>
      </c>
      <c r="U115" s="68">
        <f t="shared" si="35"/>
        <v>41.937920603250006</v>
      </c>
      <c r="V115" s="68">
        <f t="shared" si="36"/>
        <v>465.97689559166673</v>
      </c>
      <c r="W115" s="68">
        <f t="shared" si="37"/>
        <v>310.6512637277778</v>
      </c>
    </row>
    <row r="116" spans="1:23" x14ac:dyDescent="0.25">
      <c r="A116" s="169" t="s">
        <v>889</v>
      </c>
      <c r="B116" s="61" t="s">
        <v>396</v>
      </c>
      <c r="C116" s="61" t="s">
        <v>591</v>
      </c>
      <c r="D116" s="61" t="s">
        <v>593</v>
      </c>
      <c r="E116" s="1" t="s">
        <v>783</v>
      </c>
      <c r="F116" s="62" t="str">
        <f t="shared" si="16"/>
        <v>20115</v>
      </c>
      <c r="G116" s="1">
        <v>10620115</v>
      </c>
      <c r="H116" s="1" t="s">
        <v>388</v>
      </c>
      <c r="I116" s="61">
        <v>38</v>
      </c>
      <c r="J116" s="61">
        <v>3.6</v>
      </c>
      <c r="K116" s="61">
        <v>8.1</v>
      </c>
      <c r="L116" s="69">
        <f t="shared" si="28"/>
        <v>1.3680000000000001</v>
      </c>
      <c r="M116" s="69">
        <f t="shared" si="29"/>
        <v>3.0780000000000003</v>
      </c>
      <c r="N116" s="56">
        <f>INDEX(Rate_Chart!$A$1:$AK$127,MATCH(Data!J116,Rate_Chart!$A$1:$A$127,0),MATCH(Data!K116,Rate_Chart!$A$1:$AK$1,0))</f>
        <v>37.531125900000006</v>
      </c>
      <c r="O116" s="57">
        <f t="shared" si="30"/>
        <v>1426.1827842000002</v>
      </c>
      <c r="P116" s="58">
        <f t="shared" si="31"/>
        <v>417.01251000000008</v>
      </c>
      <c r="Q116" s="58">
        <f t="shared" si="32"/>
        <v>278.00834000000003</v>
      </c>
      <c r="R116" s="66">
        <f t="shared" si="22"/>
        <v>24.958198723500008</v>
      </c>
      <c r="S116" s="64">
        <f t="shared" si="33"/>
        <v>142.5</v>
      </c>
      <c r="T116" s="66">
        <f t="shared" si="34"/>
        <v>1593.6409829235004</v>
      </c>
      <c r="U116" s="68">
        <f t="shared" si="35"/>
        <v>41.937920603250006</v>
      </c>
      <c r="V116" s="68">
        <f t="shared" si="36"/>
        <v>465.97689559166673</v>
      </c>
      <c r="W116" s="68">
        <f t="shared" si="37"/>
        <v>310.6512637277778</v>
      </c>
    </row>
    <row r="117" spans="1:23" x14ac:dyDescent="0.25">
      <c r="A117" s="169" t="s">
        <v>889</v>
      </c>
      <c r="B117" s="61" t="s">
        <v>397</v>
      </c>
      <c r="C117" s="61" t="s">
        <v>591</v>
      </c>
      <c r="D117" s="61" t="s">
        <v>593</v>
      </c>
      <c r="E117" s="1" t="s">
        <v>783</v>
      </c>
      <c r="F117" s="62" t="str">
        <f t="shared" si="16"/>
        <v>20115</v>
      </c>
      <c r="G117" s="1">
        <v>10620115</v>
      </c>
      <c r="H117" s="1" t="s">
        <v>388</v>
      </c>
      <c r="I117" s="61">
        <v>48</v>
      </c>
      <c r="J117" s="61">
        <v>3.8</v>
      </c>
      <c r="K117" s="61">
        <v>8.1</v>
      </c>
      <c r="L117" s="69">
        <f t="shared" si="28"/>
        <v>1.8239999999999998</v>
      </c>
      <c r="M117" s="69">
        <f t="shared" si="29"/>
        <v>3.8879999999999995</v>
      </c>
      <c r="N117" s="56">
        <f>INDEX(Rate_Chart!$A$1:$AK$127,MATCH(Data!J117,Rate_Chart!$A$1:$A$127,0),MATCH(Data!K117,Rate_Chart!$A$1:$AK$1,0))</f>
        <v>38.365125900000002</v>
      </c>
      <c r="O117" s="57">
        <f t="shared" si="30"/>
        <v>1841.5260432</v>
      </c>
      <c r="P117" s="58">
        <f t="shared" si="31"/>
        <v>417.01223804347831</v>
      </c>
      <c r="Q117" s="58">
        <f t="shared" si="32"/>
        <v>278.00815869565218</v>
      </c>
      <c r="R117" s="66">
        <f t="shared" si="22"/>
        <v>32.226705756000001</v>
      </c>
      <c r="S117" s="64">
        <f t="shared" si="33"/>
        <v>180</v>
      </c>
      <c r="T117" s="66">
        <f t="shared" si="34"/>
        <v>2053.7527489559998</v>
      </c>
      <c r="U117" s="68">
        <f t="shared" si="35"/>
        <v>42.786515603249995</v>
      </c>
      <c r="V117" s="68">
        <f t="shared" si="36"/>
        <v>465.07082177445648</v>
      </c>
      <c r="W117" s="68">
        <f t="shared" si="37"/>
        <v>310.04721451630434</v>
      </c>
    </row>
    <row r="118" spans="1:23" x14ac:dyDescent="0.25">
      <c r="A118" s="169" t="s">
        <v>890</v>
      </c>
      <c r="B118" s="61" t="s">
        <v>396</v>
      </c>
      <c r="C118" s="61" t="s">
        <v>591</v>
      </c>
      <c r="D118" s="61" t="s">
        <v>593</v>
      </c>
      <c r="E118" s="1" t="s">
        <v>783</v>
      </c>
      <c r="F118" s="62" t="str">
        <f t="shared" si="16"/>
        <v>20115</v>
      </c>
      <c r="G118" s="1">
        <v>10620115</v>
      </c>
      <c r="H118" s="1" t="s">
        <v>388</v>
      </c>
      <c r="I118" s="61">
        <v>49</v>
      </c>
      <c r="J118" s="61">
        <v>3.4</v>
      </c>
      <c r="K118" s="61">
        <v>8.1</v>
      </c>
      <c r="L118" s="69">
        <f t="shared" si="28"/>
        <v>1.6659999999999999</v>
      </c>
      <c r="M118" s="69">
        <f t="shared" si="29"/>
        <v>3.9689999999999999</v>
      </c>
      <c r="N118" s="56">
        <f>INDEX(Rate_Chart!$A$1:$AK$127,MATCH(Data!J118,Rate_Chart!$A$1:$A$127,0),MATCH(Data!K118,Rate_Chart!$A$1:$AK$1,0))</f>
        <v>36.697125900000003</v>
      </c>
      <c r="O118" s="57">
        <f t="shared" si="30"/>
        <v>1798.1591691000001</v>
      </c>
      <c r="P118" s="58">
        <f t="shared" si="31"/>
        <v>417.01279431818188</v>
      </c>
      <c r="Q118" s="58">
        <f t="shared" si="32"/>
        <v>278.00852954545456</v>
      </c>
      <c r="R118" s="66">
        <f t="shared" si="22"/>
        <v>31.467785459250006</v>
      </c>
      <c r="S118" s="64">
        <f t="shared" si="33"/>
        <v>183.75</v>
      </c>
      <c r="T118" s="66">
        <f t="shared" si="34"/>
        <v>2013.3769545592502</v>
      </c>
      <c r="U118" s="68">
        <f t="shared" si="35"/>
        <v>41.089325603250003</v>
      </c>
      <c r="V118" s="68">
        <f t="shared" si="36"/>
        <v>466.92415458238645</v>
      </c>
      <c r="W118" s="68">
        <f t="shared" si="37"/>
        <v>311.28276972159097</v>
      </c>
    </row>
    <row r="119" spans="1:23" x14ac:dyDescent="0.25">
      <c r="A119" s="169" t="s">
        <v>890</v>
      </c>
      <c r="B119" s="61" t="s">
        <v>397</v>
      </c>
      <c r="C119" s="61" t="s">
        <v>591</v>
      </c>
      <c r="D119" s="61" t="s">
        <v>593</v>
      </c>
      <c r="E119" s="1" t="s">
        <v>783</v>
      </c>
      <c r="F119" s="62" t="str">
        <f t="shared" si="16"/>
        <v>20115</v>
      </c>
      <c r="G119" s="1">
        <v>10620115</v>
      </c>
      <c r="H119" s="1" t="s">
        <v>388</v>
      </c>
      <c r="I119" s="61">
        <v>45</v>
      </c>
      <c r="J119" s="61">
        <v>3.8</v>
      </c>
      <c r="K119" s="61">
        <v>8.1</v>
      </c>
      <c r="L119" s="69">
        <f t="shared" si="28"/>
        <v>1.71</v>
      </c>
      <c r="M119" s="69">
        <f t="shared" si="29"/>
        <v>3.645</v>
      </c>
      <c r="N119" s="56">
        <f>INDEX(Rate_Chart!$A$1:$AK$127,MATCH(Data!J119,Rate_Chart!$A$1:$A$127,0),MATCH(Data!K119,Rate_Chart!$A$1:$AK$1,0))</f>
        <v>38.365125900000002</v>
      </c>
      <c r="O119" s="57">
        <f t="shared" si="30"/>
        <v>1726.4306655</v>
      </c>
      <c r="P119" s="58">
        <f t="shared" si="31"/>
        <v>417.01223804347831</v>
      </c>
      <c r="Q119" s="58">
        <f t="shared" si="32"/>
        <v>278.00815869565218</v>
      </c>
      <c r="R119" s="66">
        <f t="shared" si="22"/>
        <v>30.212536646250005</v>
      </c>
      <c r="S119" s="64">
        <f t="shared" si="33"/>
        <v>168.75</v>
      </c>
      <c r="T119" s="66">
        <f t="shared" si="34"/>
        <v>1925.3932021462501</v>
      </c>
      <c r="U119" s="68">
        <f t="shared" si="35"/>
        <v>42.786515603250002</v>
      </c>
      <c r="V119" s="68">
        <f t="shared" si="36"/>
        <v>465.07082177445653</v>
      </c>
      <c r="W119" s="68">
        <f t="shared" si="37"/>
        <v>310.04721451630434</v>
      </c>
    </row>
    <row r="120" spans="1:23" x14ac:dyDescent="0.25">
      <c r="A120" s="169" t="s">
        <v>891</v>
      </c>
      <c r="B120" s="61" t="s">
        <v>396</v>
      </c>
      <c r="C120" s="61" t="s">
        <v>591</v>
      </c>
      <c r="D120" s="61" t="s">
        <v>593</v>
      </c>
      <c r="E120" s="1" t="s">
        <v>783</v>
      </c>
      <c r="F120" s="62" t="str">
        <f t="shared" si="16"/>
        <v>20115</v>
      </c>
      <c r="G120" s="1">
        <v>10620115</v>
      </c>
      <c r="H120" s="1" t="s">
        <v>388</v>
      </c>
      <c r="I120" s="61">
        <v>43</v>
      </c>
      <c r="J120" s="61">
        <v>3.9</v>
      </c>
      <c r="K120" s="61">
        <v>8.1</v>
      </c>
      <c r="L120" s="69">
        <f t="shared" si="28"/>
        <v>1.6769999999999998</v>
      </c>
      <c r="M120" s="69">
        <f t="shared" si="29"/>
        <v>3.4830000000000001</v>
      </c>
      <c r="N120" s="56">
        <f>INDEX(Rate_Chart!$A$1:$AK$127,MATCH(Data!J120,Rate_Chart!$A$1:$A$127,0),MATCH(Data!K120,Rate_Chart!$A$1:$AK$1,0))</f>
        <v>38.782125900000004</v>
      </c>
      <c r="O120" s="57">
        <f t="shared" si="30"/>
        <v>1667.6314137000002</v>
      </c>
      <c r="P120" s="58">
        <f t="shared" si="31"/>
        <v>417.01210645161296</v>
      </c>
      <c r="Q120" s="58">
        <f t="shared" si="32"/>
        <v>278.00807096774196</v>
      </c>
      <c r="R120" s="66">
        <f t="shared" si="22"/>
        <v>29.183549739750006</v>
      </c>
      <c r="S120" s="64">
        <f t="shared" si="33"/>
        <v>161.25</v>
      </c>
      <c r="T120" s="66">
        <f t="shared" si="34"/>
        <v>1858.06496343975</v>
      </c>
      <c r="U120" s="68">
        <f t="shared" si="35"/>
        <v>43.210813103250004</v>
      </c>
      <c r="V120" s="68">
        <f t="shared" si="36"/>
        <v>464.63239895967746</v>
      </c>
      <c r="W120" s="68">
        <f t="shared" si="37"/>
        <v>309.75493263978495</v>
      </c>
    </row>
    <row r="121" spans="1:23" x14ac:dyDescent="0.25">
      <c r="A121" s="169" t="s">
        <v>891</v>
      </c>
      <c r="B121" s="61" t="s">
        <v>397</v>
      </c>
      <c r="C121" s="61" t="s">
        <v>591</v>
      </c>
      <c r="D121" s="61" t="s">
        <v>593</v>
      </c>
      <c r="E121" s="1" t="s">
        <v>783</v>
      </c>
      <c r="F121" s="62" t="str">
        <f t="shared" si="16"/>
        <v>20115</v>
      </c>
      <c r="G121" s="1">
        <v>10620115</v>
      </c>
      <c r="H121" s="1" t="s">
        <v>388</v>
      </c>
      <c r="I121" s="61">
        <v>47</v>
      </c>
      <c r="J121" s="61">
        <v>3.6</v>
      </c>
      <c r="K121" s="61">
        <v>8.1</v>
      </c>
      <c r="L121" s="69">
        <f t="shared" si="28"/>
        <v>1.6920000000000002</v>
      </c>
      <c r="M121" s="69">
        <f t="shared" si="29"/>
        <v>3.8069999999999999</v>
      </c>
      <c r="N121" s="56">
        <f>INDEX(Rate_Chart!$A$1:$AK$127,MATCH(Data!J121,Rate_Chart!$A$1:$A$127,0),MATCH(Data!K121,Rate_Chart!$A$1:$AK$1,0))</f>
        <v>37.531125900000006</v>
      </c>
      <c r="O121" s="57">
        <f t="shared" si="30"/>
        <v>1763.9629173000003</v>
      </c>
      <c r="P121" s="58">
        <f t="shared" si="31"/>
        <v>417.01251000000008</v>
      </c>
      <c r="Q121" s="58">
        <f t="shared" si="32"/>
        <v>278.00834000000003</v>
      </c>
      <c r="R121" s="66">
        <f t="shared" si="22"/>
        <v>30.869351052750009</v>
      </c>
      <c r="S121" s="64">
        <f t="shared" si="33"/>
        <v>176.25</v>
      </c>
      <c r="T121" s="66">
        <f t="shared" si="34"/>
        <v>1971.0822683527504</v>
      </c>
      <c r="U121" s="68">
        <f t="shared" si="35"/>
        <v>41.937920603250006</v>
      </c>
      <c r="V121" s="68">
        <f t="shared" si="36"/>
        <v>465.97689559166673</v>
      </c>
      <c r="W121" s="68">
        <f t="shared" si="37"/>
        <v>310.6512637277778</v>
      </c>
    </row>
    <row r="122" spans="1:23" x14ac:dyDescent="0.25">
      <c r="A122" s="169" t="s">
        <v>892</v>
      </c>
      <c r="B122" s="61" t="s">
        <v>396</v>
      </c>
      <c r="C122" s="61" t="s">
        <v>591</v>
      </c>
      <c r="D122" s="61" t="s">
        <v>593</v>
      </c>
      <c r="E122" s="1" t="s">
        <v>783</v>
      </c>
      <c r="F122" s="62" t="str">
        <f t="shared" si="16"/>
        <v>20115</v>
      </c>
      <c r="G122" s="1">
        <v>10620115</v>
      </c>
      <c r="H122" s="1" t="s">
        <v>388</v>
      </c>
      <c r="I122" s="61">
        <v>44</v>
      </c>
      <c r="J122" s="61">
        <v>4</v>
      </c>
      <c r="K122" s="61">
        <v>8.1</v>
      </c>
      <c r="L122" s="69">
        <f t="shared" si="28"/>
        <v>1.76</v>
      </c>
      <c r="M122" s="69">
        <f t="shared" si="29"/>
        <v>3.5639999999999996</v>
      </c>
      <c r="N122" s="56">
        <f>INDEX(Rate_Chart!$A$1:$AK$127,MATCH(Data!J122,Rate_Chart!$A$1:$A$127,0),MATCH(Data!K122,Rate_Chart!$A$1:$AK$1,0))</f>
        <v>39.199125899999999</v>
      </c>
      <c r="O122" s="57">
        <f t="shared" si="30"/>
        <v>1724.7615395999999</v>
      </c>
      <c r="P122" s="58">
        <f t="shared" si="31"/>
        <v>417.01197765957443</v>
      </c>
      <c r="Q122" s="58">
        <f t="shared" si="32"/>
        <v>278.00798510638293</v>
      </c>
      <c r="R122" s="66">
        <f t="shared" si="22"/>
        <v>30.183326943000001</v>
      </c>
      <c r="S122" s="64">
        <f t="shared" si="33"/>
        <v>165</v>
      </c>
      <c r="T122" s="66">
        <f t="shared" si="34"/>
        <v>1919.944866543</v>
      </c>
      <c r="U122" s="68">
        <f t="shared" si="35"/>
        <v>43.635110603249998</v>
      </c>
      <c r="V122" s="68">
        <f t="shared" si="36"/>
        <v>464.20330428989359</v>
      </c>
      <c r="W122" s="68">
        <f t="shared" si="37"/>
        <v>309.46886952659571</v>
      </c>
    </row>
    <row r="123" spans="1:23" x14ac:dyDescent="0.25">
      <c r="A123" s="169" t="s">
        <v>892</v>
      </c>
      <c r="B123" s="61" t="s">
        <v>397</v>
      </c>
      <c r="C123" s="61" t="s">
        <v>591</v>
      </c>
      <c r="D123" s="61" t="s">
        <v>593</v>
      </c>
      <c r="E123" s="1" t="s">
        <v>783</v>
      </c>
      <c r="F123" s="62" t="str">
        <f t="shared" si="16"/>
        <v>20115</v>
      </c>
      <c r="G123" s="1">
        <v>10620115</v>
      </c>
      <c r="H123" s="1" t="s">
        <v>388</v>
      </c>
      <c r="I123" s="61">
        <v>53</v>
      </c>
      <c r="J123" s="61">
        <v>3.7</v>
      </c>
      <c r="K123" s="61">
        <v>8.1</v>
      </c>
      <c r="L123" s="69">
        <f t="shared" si="28"/>
        <v>1.9610000000000003</v>
      </c>
      <c r="M123" s="69">
        <f t="shared" si="29"/>
        <v>4.2929999999999993</v>
      </c>
      <c r="N123" s="56">
        <f>INDEX(Rate_Chart!$A$1:$AK$127,MATCH(Data!J123,Rate_Chart!$A$1:$A$127,0),MATCH(Data!K123,Rate_Chart!$A$1:$AK$1,0))</f>
        <v>37.948125900000008</v>
      </c>
      <c r="O123" s="57">
        <f t="shared" si="30"/>
        <v>2011.2506727000005</v>
      </c>
      <c r="P123" s="58">
        <f t="shared" si="31"/>
        <v>417.01237252747262</v>
      </c>
      <c r="Q123" s="58">
        <f t="shared" si="32"/>
        <v>278.00824835164843</v>
      </c>
      <c r="R123" s="66">
        <f t="shared" si="22"/>
        <v>35.196886772250011</v>
      </c>
      <c r="S123" s="64">
        <f t="shared" si="33"/>
        <v>198.75</v>
      </c>
      <c r="T123" s="66">
        <f t="shared" si="34"/>
        <v>2245.1975594722503</v>
      </c>
      <c r="U123" s="68">
        <f t="shared" si="35"/>
        <v>42.362218103250008</v>
      </c>
      <c r="V123" s="68">
        <f t="shared" si="36"/>
        <v>465.51888025549459</v>
      </c>
      <c r="W123" s="68">
        <f t="shared" si="37"/>
        <v>310.34592017032975</v>
      </c>
    </row>
    <row r="124" spans="1:23" x14ac:dyDescent="0.25">
      <c r="A124" s="169" t="s">
        <v>893</v>
      </c>
      <c r="B124" s="61" t="s">
        <v>396</v>
      </c>
      <c r="C124" s="61" t="s">
        <v>591</v>
      </c>
      <c r="D124" s="61" t="s">
        <v>593</v>
      </c>
      <c r="E124" s="1" t="s">
        <v>783</v>
      </c>
      <c r="F124" s="62" t="str">
        <f t="shared" si="16"/>
        <v>20115</v>
      </c>
      <c r="G124" s="1">
        <v>10620115</v>
      </c>
      <c r="H124" s="1" t="s">
        <v>387</v>
      </c>
      <c r="I124" s="61">
        <v>17</v>
      </c>
      <c r="J124" s="61">
        <v>5.8</v>
      </c>
      <c r="K124" s="61">
        <v>8.6</v>
      </c>
      <c r="L124" s="69">
        <f t="shared" si="28"/>
        <v>0.98599999999999999</v>
      </c>
      <c r="M124" s="69">
        <f t="shared" si="29"/>
        <v>1.462</v>
      </c>
      <c r="N124" s="56">
        <f>INDEX(Rate_Chart!$A$1:$AK$127,MATCH(Data!J124,Rate_Chart!$A$1:$A$127,0),MATCH(Data!K124,Rate_Chart!$A$1:$AK$1,0))</f>
        <v>47.461399999999998</v>
      </c>
      <c r="O124" s="57">
        <f t="shared" si="30"/>
        <v>806.84379999999999</v>
      </c>
      <c r="P124" s="58">
        <f t="shared" si="31"/>
        <v>411.51502890173413</v>
      </c>
      <c r="Q124" s="58">
        <f t="shared" si="32"/>
        <v>274.34335260115608</v>
      </c>
      <c r="R124" s="66">
        <f t="shared" si="22"/>
        <v>14.119766500000001</v>
      </c>
      <c r="S124" s="64">
        <f t="shared" si="33"/>
        <v>63.75</v>
      </c>
      <c r="T124" s="66">
        <f t="shared" si="34"/>
        <v>884.71356649999996</v>
      </c>
      <c r="U124" s="68">
        <f t="shared" si="35"/>
        <v>52.041974499999995</v>
      </c>
      <c r="V124" s="68">
        <f t="shared" si="36"/>
        <v>451.23099277456652</v>
      </c>
      <c r="W124" s="68">
        <f t="shared" si="37"/>
        <v>300.82066184971103</v>
      </c>
    </row>
    <row r="125" spans="1:23" x14ac:dyDescent="0.25">
      <c r="A125" s="169" t="s">
        <v>893</v>
      </c>
      <c r="B125" s="61" t="s">
        <v>396</v>
      </c>
      <c r="C125" s="61" t="s">
        <v>591</v>
      </c>
      <c r="D125" s="61" t="s">
        <v>593</v>
      </c>
      <c r="E125" s="1" t="s">
        <v>783</v>
      </c>
      <c r="F125" s="62" t="str">
        <f t="shared" si="16"/>
        <v>20115</v>
      </c>
      <c r="G125" s="1">
        <v>10620115</v>
      </c>
      <c r="H125" s="1" t="s">
        <v>388</v>
      </c>
      <c r="I125" s="61">
        <v>34</v>
      </c>
      <c r="J125" s="61">
        <v>3.6</v>
      </c>
      <c r="K125" s="61">
        <v>8.1</v>
      </c>
      <c r="L125" s="69">
        <f t="shared" si="28"/>
        <v>1.224</v>
      </c>
      <c r="M125" s="69">
        <f t="shared" si="29"/>
        <v>2.7539999999999996</v>
      </c>
      <c r="N125" s="56">
        <f>INDEX(Rate_Chart!$A$1:$AK$127,MATCH(Data!J125,Rate_Chart!$A$1:$A$127,0),MATCH(Data!K125,Rate_Chart!$A$1:$AK$1,0))</f>
        <v>37.531125900000006</v>
      </c>
      <c r="O125" s="57">
        <f t="shared" si="30"/>
        <v>1276.0582806000002</v>
      </c>
      <c r="P125" s="58">
        <f t="shared" si="31"/>
        <v>417.01251000000008</v>
      </c>
      <c r="Q125" s="58">
        <f t="shared" si="32"/>
        <v>278.00834000000003</v>
      </c>
      <c r="R125" s="66">
        <f t="shared" si="22"/>
        <v>22.331019910500007</v>
      </c>
      <c r="S125" s="64">
        <f t="shared" si="33"/>
        <v>127.5</v>
      </c>
      <c r="T125" s="66">
        <f t="shared" si="34"/>
        <v>1425.8893005105001</v>
      </c>
      <c r="U125" s="68">
        <f t="shared" si="35"/>
        <v>41.937920603250006</v>
      </c>
      <c r="V125" s="68">
        <f t="shared" si="36"/>
        <v>465.97689559166673</v>
      </c>
      <c r="W125" s="68">
        <f t="shared" si="37"/>
        <v>310.6512637277778</v>
      </c>
    </row>
    <row r="126" spans="1:23" x14ac:dyDescent="0.25">
      <c r="A126" s="169" t="s">
        <v>893</v>
      </c>
      <c r="B126" s="61" t="s">
        <v>397</v>
      </c>
      <c r="C126" s="61" t="s">
        <v>591</v>
      </c>
      <c r="D126" s="61" t="s">
        <v>593</v>
      </c>
      <c r="E126" s="1" t="s">
        <v>783</v>
      </c>
      <c r="F126" s="62" t="str">
        <f t="shared" si="16"/>
        <v>20115</v>
      </c>
      <c r="G126" s="1">
        <v>10620115</v>
      </c>
      <c r="H126" s="1" t="s">
        <v>387</v>
      </c>
      <c r="I126" s="61">
        <v>15</v>
      </c>
      <c r="J126" s="61">
        <v>5.8</v>
      </c>
      <c r="K126" s="61">
        <v>8.8000000000000007</v>
      </c>
      <c r="L126" s="69">
        <f t="shared" si="28"/>
        <v>0.87</v>
      </c>
      <c r="M126" s="69">
        <f t="shared" si="29"/>
        <v>1.32</v>
      </c>
      <c r="N126" s="56">
        <f>INDEX(Rate_Chart!$A$1:$AK$127,MATCH(Data!J126,Rate_Chart!$A$1:$A$127,0),MATCH(Data!K126,Rate_Chart!$A$1:$AK$1,0))</f>
        <v>47.945700000000002</v>
      </c>
      <c r="O126" s="57">
        <f t="shared" si="30"/>
        <v>719.18550000000005</v>
      </c>
      <c r="P126" s="58">
        <f t="shared" si="31"/>
        <v>410.96314285714288</v>
      </c>
      <c r="Q126" s="58">
        <f t="shared" si="32"/>
        <v>273.97542857142861</v>
      </c>
      <c r="R126" s="66">
        <f t="shared" si="22"/>
        <v>12.585746250000001</v>
      </c>
      <c r="S126" s="64">
        <f t="shared" si="33"/>
        <v>56.25</v>
      </c>
      <c r="T126" s="66">
        <f t="shared" si="34"/>
        <v>788.0212462500001</v>
      </c>
      <c r="U126" s="68">
        <f t="shared" si="35"/>
        <v>52.53474975000001</v>
      </c>
      <c r="V126" s="68">
        <f t="shared" si="36"/>
        <v>450.29785500000008</v>
      </c>
      <c r="W126" s="68">
        <f t="shared" si="37"/>
        <v>300.19857000000007</v>
      </c>
    </row>
    <row r="127" spans="1:23" x14ac:dyDescent="0.25">
      <c r="A127" s="169" t="s">
        <v>893</v>
      </c>
      <c r="B127" s="61" t="s">
        <v>397</v>
      </c>
      <c r="C127" s="61" t="s">
        <v>591</v>
      </c>
      <c r="D127" s="61" t="s">
        <v>593</v>
      </c>
      <c r="E127" s="1" t="s">
        <v>783</v>
      </c>
      <c r="F127" s="62" t="str">
        <f t="shared" si="16"/>
        <v>20115</v>
      </c>
      <c r="G127" s="1">
        <v>10620115</v>
      </c>
      <c r="H127" s="1" t="s">
        <v>388</v>
      </c>
      <c r="I127" s="61">
        <v>38</v>
      </c>
      <c r="J127" s="61">
        <v>3.1</v>
      </c>
      <c r="K127" s="61">
        <v>8.1</v>
      </c>
      <c r="L127" s="69">
        <f t="shared" si="28"/>
        <v>1.1779999999999999</v>
      </c>
      <c r="M127" s="69">
        <f t="shared" si="29"/>
        <v>3.0780000000000003</v>
      </c>
      <c r="N127" s="56">
        <f>INDEX(Rate_Chart!$A$1:$AK$127,MATCH(Data!J127,Rate_Chart!$A$1:$A$127,0),MATCH(Data!K127,Rate_Chart!$A$1:$AK$1,0))</f>
        <v>35.446125899999998</v>
      </c>
      <c r="O127" s="57">
        <f t="shared" si="30"/>
        <v>1346.9527842</v>
      </c>
      <c r="P127" s="58">
        <f t="shared" si="31"/>
        <v>417.01324588235298</v>
      </c>
      <c r="Q127" s="58">
        <f t="shared" si="32"/>
        <v>278.0088305882353</v>
      </c>
      <c r="R127" s="66">
        <f t="shared" si="22"/>
        <v>23.571673723500002</v>
      </c>
      <c r="S127" s="64">
        <f t="shared" si="33"/>
        <v>142.5</v>
      </c>
      <c r="T127" s="66">
        <f t="shared" si="34"/>
        <v>1513.0244579235</v>
      </c>
      <c r="U127" s="68">
        <f t="shared" si="35"/>
        <v>39.816433103249999</v>
      </c>
      <c r="V127" s="68">
        <f t="shared" si="36"/>
        <v>468.42862474411766</v>
      </c>
      <c r="W127" s="68">
        <f t="shared" si="37"/>
        <v>312.28574982941177</v>
      </c>
    </row>
    <row r="128" spans="1:23" x14ac:dyDescent="0.25">
      <c r="A128" s="169" t="s">
        <v>894</v>
      </c>
      <c r="B128" s="61" t="s">
        <v>396</v>
      </c>
      <c r="C128" s="61" t="s">
        <v>591</v>
      </c>
      <c r="D128" s="61" t="s">
        <v>593</v>
      </c>
      <c r="E128" s="1" t="s">
        <v>783</v>
      </c>
      <c r="F128" s="62" t="str">
        <f t="shared" si="16"/>
        <v>20115</v>
      </c>
      <c r="G128" s="1">
        <v>10620115</v>
      </c>
      <c r="H128" s="1" t="s">
        <v>388</v>
      </c>
      <c r="I128" s="61">
        <v>46</v>
      </c>
      <c r="J128" s="61">
        <v>3.8</v>
      </c>
      <c r="K128" s="61">
        <v>8.1999999999999993</v>
      </c>
      <c r="L128" s="69">
        <f t="shared" si="28"/>
        <v>1.7479999999999998</v>
      </c>
      <c r="M128" s="69">
        <f t="shared" si="29"/>
        <v>3.7719999999999998</v>
      </c>
      <c r="N128" s="56">
        <f>INDEX(Rate_Chart!$A$1:$AK$127,MATCH(Data!J128,Rate_Chart!$A$1:$A$127,0),MATCH(Data!K128,Rate_Chart!$A$1:$AK$1,0))</f>
        <v>38.6431398</v>
      </c>
      <c r="O128" s="57">
        <f t="shared" si="30"/>
        <v>1777.5844308000001</v>
      </c>
      <c r="P128" s="58">
        <f t="shared" si="31"/>
        <v>417.01230000000004</v>
      </c>
      <c r="Q128" s="58">
        <f t="shared" si="32"/>
        <v>278.00820000000004</v>
      </c>
      <c r="R128" s="66">
        <f t="shared" si="22"/>
        <v>31.107727539000003</v>
      </c>
      <c r="S128" s="64">
        <f t="shared" si="33"/>
        <v>172.5</v>
      </c>
      <c r="T128" s="66">
        <f t="shared" si="34"/>
        <v>1981.1921583390001</v>
      </c>
      <c r="U128" s="68">
        <f t="shared" si="35"/>
        <v>43.069394746500002</v>
      </c>
      <c r="V128" s="68">
        <f t="shared" si="36"/>
        <v>464.77764114928061</v>
      </c>
      <c r="W128" s="68">
        <f t="shared" si="37"/>
        <v>309.85176076618706</v>
      </c>
    </row>
    <row r="129" spans="1:23" x14ac:dyDescent="0.25">
      <c r="A129" s="169" t="s">
        <v>894</v>
      </c>
      <c r="B129" s="61" t="s">
        <v>397</v>
      </c>
      <c r="C129" s="61" t="s">
        <v>591</v>
      </c>
      <c r="D129" s="61" t="s">
        <v>593</v>
      </c>
      <c r="E129" s="1" t="s">
        <v>783</v>
      </c>
      <c r="F129" s="62" t="str">
        <f t="shared" si="16"/>
        <v>20115</v>
      </c>
      <c r="G129" s="1">
        <v>10620115</v>
      </c>
      <c r="H129" s="1" t="s">
        <v>388</v>
      </c>
      <c r="I129" s="61">
        <v>51</v>
      </c>
      <c r="J129" s="61">
        <v>3.7</v>
      </c>
      <c r="K129" s="61">
        <v>8.1999999999999993</v>
      </c>
      <c r="L129" s="69">
        <f t="shared" si="28"/>
        <v>1.8870000000000002</v>
      </c>
      <c r="M129" s="69">
        <f t="shared" si="29"/>
        <v>4.1819999999999995</v>
      </c>
      <c r="N129" s="56">
        <f>INDEX(Rate_Chart!$A$1:$AK$127,MATCH(Data!J129,Rate_Chart!$A$1:$A$127,0),MATCH(Data!K129,Rate_Chart!$A$1:$AK$1,0))</f>
        <v>38.226139799999999</v>
      </c>
      <c r="O129" s="57">
        <f t="shared" si="30"/>
        <v>1949.5331297999999</v>
      </c>
      <c r="P129" s="58">
        <f t="shared" si="31"/>
        <v>417.01243418181815</v>
      </c>
      <c r="Q129" s="58">
        <f t="shared" si="32"/>
        <v>278.00828945454543</v>
      </c>
      <c r="R129" s="66">
        <f t="shared" si="22"/>
        <v>34.116829771500001</v>
      </c>
      <c r="S129" s="64">
        <f t="shared" si="33"/>
        <v>191.25</v>
      </c>
      <c r="T129" s="66">
        <f t="shared" si="34"/>
        <v>2174.8999595714999</v>
      </c>
      <c r="U129" s="68">
        <f t="shared" si="35"/>
        <v>42.645097246500001</v>
      </c>
      <c r="V129" s="68">
        <f t="shared" si="36"/>
        <v>465.21924268909089</v>
      </c>
      <c r="W129" s="68">
        <f t="shared" si="37"/>
        <v>310.14616179272724</v>
      </c>
    </row>
    <row r="130" spans="1:23" x14ac:dyDescent="0.25">
      <c r="A130" s="169" t="s">
        <v>891</v>
      </c>
      <c r="B130" s="61" t="s">
        <v>397</v>
      </c>
      <c r="C130" s="61" t="s">
        <v>591</v>
      </c>
      <c r="D130" s="61" t="s">
        <v>595</v>
      </c>
      <c r="E130" s="1" t="s">
        <v>817</v>
      </c>
      <c r="F130" s="62" t="str">
        <f t="shared" si="16"/>
        <v>20119</v>
      </c>
      <c r="G130" s="1">
        <v>10620119</v>
      </c>
      <c r="H130" s="1" t="s">
        <v>388</v>
      </c>
      <c r="I130" s="61">
        <v>2570</v>
      </c>
      <c r="J130" s="61">
        <v>4.8</v>
      </c>
      <c r="K130" s="61">
        <v>8.5</v>
      </c>
      <c r="L130" s="69">
        <f t="shared" si="28"/>
        <v>123.36</v>
      </c>
      <c r="M130" s="69">
        <f t="shared" si="29"/>
        <v>218.45</v>
      </c>
      <c r="N130" s="56">
        <f>INDEX(Rate_Chart!$A$1:$AK$127,MATCH(Data!J130,Rate_Chart!$A$1:$A$127,0),MATCH(Data!K130,Rate_Chart!$A$1:$AK$1,0))</f>
        <v>43.647181500000002</v>
      </c>
      <c r="O130" s="57">
        <f t="shared" si="30"/>
        <v>112173.25645500001</v>
      </c>
      <c r="P130" s="58">
        <f t="shared" si="31"/>
        <v>417.0112882165605</v>
      </c>
      <c r="Q130" s="58">
        <f t="shared" si="32"/>
        <v>278.00752547770702</v>
      </c>
      <c r="R130" s="66">
        <f t="shared" si="22"/>
        <v>1963.0319879625004</v>
      </c>
      <c r="S130" s="64">
        <f t="shared" si="33"/>
        <v>9637.5</v>
      </c>
      <c r="T130" s="66">
        <f t="shared" si="34"/>
        <v>123773.78844296251</v>
      </c>
      <c r="U130" s="68">
        <f t="shared" si="35"/>
        <v>48.161007176250003</v>
      </c>
      <c r="V130" s="68">
        <f t="shared" si="36"/>
        <v>460.13701123805731</v>
      </c>
      <c r="W130" s="68">
        <f t="shared" si="37"/>
        <v>306.75800749203819</v>
      </c>
    </row>
    <row r="131" spans="1:23" x14ac:dyDescent="0.25">
      <c r="A131" s="169" t="s">
        <v>894</v>
      </c>
      <c r="B131" s="61" t="s">
        <v>397</v>
      </c>
      <c r="C131" s="61" t="s">
        <v>591</v>
      </c>
      <c r="D131" s="61" t="s">
        <v>595</v>
      </c>
      <c r="E131" s="1" t="s">
        <v>817</v>
      </c>
      <c r="F131" s="62" t="str">
        <f t="shared" si="16"/>
        <v>20119</v>
      </c>
      <c r="G131" s="1">
        <v>10620119</v>
      </c>
      <c r="H131" s="1" t="s">
        <v>388</v>
      </c>
      <c r="I131" s="61">
        <v>2100</v>
      </c>
      <c r="J131" s="61">
        <v>4.2</v>
      </c>
      <c r="K131" s="61">
        <v>8.3000000000000007</v>
      </c>
      <c r="L131" s="69">
        <f t="shared" si="28"/>
        <v>88.2</v>
      </c>
      <c r="M131" s="69">
        <f t="shared" si="29"/>
        <v>174.3</v>
      </c>
      <c r="N131" s="56">
        <f>INDEX(Rate_Chart!$A$1:$AK$127,MATCH(Data!J131,Rate_Chart!$A$1:$A$127,0),MATCH(Data!K131,Rate_Chart!$A$1:$AK$1,0))</f>
        <v>40.589153700000004</v>
      </c>
      <c r="O131" s="57">
        <f t="shared" si="30"/>
        <v>85237.222770000008</v>
      </c>
      <c r="P131" s="58">
        <f t="shared" si="31"/>
        <v>417.01185308219181</v>
      </c>
      <c r="Q131" s="58">
        <f t="shared" si="32"/>
        <v>278.00790205479456</v>
      </c>
      <c r="R131" s="66">
        <f t="shared" si="22"/>
        <v>1491.6513984750002</v>
      </c>
      <c r="S131" s="64">
        <f t="shared" si="33"/>
        <v>7875</v>
      </c>
      <c r="T131" s="66">
        <f t="shared" si="34"/>
        <v>94603.874168475013</v>
      </c>
      <c r="U131" s="68">
        <f t="shared" si="35"/>
        <v>45.049463889750008</v>
      </c>
      <c r="V131" s="68">
        <f t="shared" si="36"/>
        <v>462.83695777140417</v>
      </c>
      <c r="W131" s="68">
        <f t="shared" si="37"/>
        <v>308.5579718476028</v>
      </c>
    </row>
    <row r="132" spans="1:23" x14ac:dyDescent="0.25">
      <c r="A132" s="169" t="s">
        <v>888</v>
      </c>
      <c r="B132" s="61" t="s">
        <v>396</v>
      </c>
      <c r="C132" s="61" t="s">
        <v>591</v>
      </c>
      <c r="D132" s="61" t="s">
        <v>594</v>
      </c>
      <c r="E132" s="1" t="s">
        <v>843</v>
      </c>
      <c r="F132" s="62" t="str">
        <f t="shared" si="16"/>
        <v>20120</v>
      </c>
      <c r="G132" s="1">
        <v>10620120</v>
      </c>
      <c r="H132" s="1" t="s">
        <v>387</v>
      </c>
      <c r="I132" s="61">
        <v>13</v>
      </c>
      <c r="J132" s="61">
        <v>7</v>
      </c>
      <c r="K132" s="61">
        <v>8.8000000000000007</v>
      </c>
      <c r="L132" s="69">
        <f t="shared" si="28"/>
        <v>0.91</v>
      </c>
      <c r="M132" s="69">
        <f t="shared" si="29"/>
        <v>1.1440000000000001</v>
      </c>
      <c r="N132" s="56">
        <f>INDEX(Rate_Chart!$A$1:$AK$127,MATCH(Data!J132,Rate_Chart!$A$1:$A$127,0),MATCH(Data!K132,Rate_Chart!$A$1:$AK$1,0))</f>
        <v>57.865500000000004</v>
      </c>
      <c r="O132" s="57">
        <f t="shared" si="30"/>
        <v>752.25150000000008</v>
      </c>
      <c r="P132" s="58">
        <f t="shared" si="31"/>
        <v>449.73186528497411</v>
      </c>
      <c r="Q132" s="58">
        <f t="shared" si="32"/>
        <v>299.82124352331607</v>
      </c>
      <c r="R132" s="66">
        <f t="shared" si="22"/>
        <v>13.164401250000003</v>
      </c>
      <c r="S132" s="64">
        <f t="shared" si="33"/>
        <v>48.75</v>
      </c>
      <c r="T132" s="66">
        <f t="shared" si="34"/>
        <v>814.16590125000005</v>
      </c>
      <c r="U132" s="68">
        <f t="shared" si="35"/>
        <v>62.62814625</v>
      </c>
      <c r="V132" s="68">
        <f t="shared" si="36"/>
        <v>486.74725064766835</v>
      </c>
      <c r="W132" s="68">
        <f t="shared" si="37"/>
        <v>324.49816709844555</v>
      </c>
    </row>
    <row r="133" spans="1:23" x14ac:dyDescent="0.25">
      <c r="A133" s="169" t="s">
        <v>889</v>
      </c>
      <c r="B133" s="61" t="s">
        <v>397</v>
      </c>
      <c r="C133" s="61" t="s">
        <v>591</v>
      </c>
      <c r="D133" s="61" t="s">
        <v>594</v>
      </c>
      <c r="E133" s="1" t="s">
        <v>843</v>
      </c>
      <c r="F133" s="62" t="str">
        <f t="shared" ref="F133:F196" si="38">MID(E133,2,5)</f>
        <v>20120</v>
      </c>
      <c r="G133" s="1">
        <v>10620120</v>
      </c>
      <c r="H133" s="1" t="s">
        <v>387</v>
      </c>
      <c r="I133" s="61">
        <v>8</v>
      </c>
      <c r="J133" s="61">
        <v>6.7</v>
      </c>
      <c r="K133" s="61">
        <v>8.8000000000000007</v>
      </c>
      <c r="L133" s="69">
        <f t="shared" si="28"/>
        <v>0.53600000000000003</v>
      </c>
      <c r="M133" s="69">
        <f t="shared" si="29"/>
        <v>0.70400000000000007</v>
      </c>
      <c r="N133" s="56">
        <f>INDEX(Rate_Chart!$A$1:$AK$127,MATCH(Data!J133,Rate_Chart!$A$1:$A$127,0),MATCH(Data!K133,Rate_Chart!$A$1:$AK$1,0))</f>
        <v>55.385550000000002</v>
      </c>
      <c r="O133" s="57">
        <f t="shared" si="30"/>
        <v>443.08440000000002</v>
      </c>
      <c r="P133" s="58">
        <f t="shared" si="31"/>
        <v>440.73381962864721</v>
      </c>
      <c r="Q133" s="58">
        <f t="shared" si="32"/>
        <v>293.82254641909816</v>
      </c>
      <c r="R133" s="66">
        <f t="shared" ref="R133:R196" si="39">O133*1.75%</f>
        <v>7.7539770000000008</v>
      </c>
      <c r="S133" s="64">
        <f t="shared" si="33"/>
        <v>30</v>
      </c>
      <c r="T133" s="66">
        <f t="shared" si="34"/>
        <v>480.83837700000004</v>
      </c>
      <c r="U133" s="68">
        <f t="shared" si="35"/>
        <v>60.104797125000005</v>
      </c>
      <c r="V133" s="68">
        <f t="shared" si="36"/>
        <v>478.28751027851456</v>
      </c>
      <c r="W133" s="68">
        <f t="shared" si="37"/>
        <v>318.85834018567635</v>
      </c>
    </row>
    <row r="134" spans="1:23" x14ac:dyDescent="0.25">
      <c r="A134" s="169" t="s">
        <v>889</v>
      </c>
      <c r="B134" s="61" t="s">
        <v>397</v>
      </c>
      <c r="C134" s="61" t="s">
        <v>591</v>
      </c>
      <c r="D134" s="61" t="s">
        <v>594</v>
      </c>
      <c r="E134" s="1" t="s">
        <v>843</v>
      </c>
      <c r="F134" s="62" t="str">
        <f t="shared" si="38"/>
        <v>20120</v>
      </c>
      <c r="G134" s="1">
        <v>10620120</v>
      </c>
      <c r="H134" s="1" t="s">
        <v>388</v>
      </c>
      <c r="I134" s="61">
        <v>9</v>
      </c>
      <c r="J134" s="61">
        <v>4.5</v>
      </c>
      <c r="K134" s="61">
        <v>8.1</v>
      </c>
      <c r="L134" s="69">
        <f t="shared" si="28"/>
        <v>0.40500000000000003</v>
      </c>
      <c r="M134" s="69">
        <f t="shared" si="29"/>
        <v>0.72899999999999987</v>
      </c>
      <c r="N134" s="56">
        <f>INDEX(Rate_Chart!$A$1:$AK$127,MATCH(Data!J134,Rate_Chart!$A$1:$A$127,0),MATCH(Data!K134,Rate_Chart!$A$1:$AK$1,0))</f>
        <v>41.284125900000006</v>
      </c>
      <c r="O134" s="57">
        <f t="shared" si="30"/>
        <v>371.55713310000004</v>
      </c>
      <c r="P134" s="58">
        <f t="shared" si="31"/>
        <v>417.01137272727277</v>
      </c>
      <c r="Q134" s="58">
        <f t="shared" si="32"/>
        <v>278.00758181818185</v>
      </c>
      <c r="R134" s="66">
        <f t="shared" si="39"/>
        <v>6.5022498292500011</v>
      </c>
      <c r="S134" s="64">
        <f t="shared" si="33"/>
        <v>33.75</v>
      </c>
      <c r="T134" s="66">
        <f t="shared" si="34"/>
        <v>411.80938292925003</v>
      </c>
      <c r="U134" s="68">
        <f t="shared" si="35"/>
        <v>45.756598103250006</v>
      </c>
      <c r="V134" s="68">
        <f t="shared" si="36"/>
        <v>462.18785962878792</v>
      </c>
      <c r="W134" s="68">
        <f t="shared" si="37"/>
        <v>308.12523975252526</v>
      </c>
    </row>
    <row r="135" spans="1:23" x14ac:dyDescent="0.25">
      <c r="A135" s="169" t="s">
        <v>890</v>
      </c>
      <c r="B135" s="61" t="s">
        <v>396</v>
      </c>
      <c r="C135" s="61" t="s">
        <v>591</v>
      </c>
      <c r="D135" s="61" t="s">
        <v>594</v>
      </c>
      <c r="E135" s="1" t="s">
        <v>843</v>
      </c>
      <c r="F135" s="62" t="str">
        <f t="shared" si="38"/>
        <v>20120</v>
      </c>
      <c r="G135" s="1">
        <v>10620120</v>
      </c>
      <c r="H135" s="1" t="s">
        <v>387</v>
      </c>
      <c r="I135" s="61">
        <v>19</v>
      </c>
      <c r="J135" s="61">
        <v>6.1</v>
      </c>
      <c r="K135" s="61">
        <v>8.8000000000000007</v>
      </c>
      <c r="L135" s="69">
        <f t="shared" si="28"/>
        <v>1.1589999999999998</v>
      </c>
      <c r="M135" s="69">
        <f t="shared" si="29"/>
        <v>1.6720000000000002</v>
      </c>
      <c r="N135" s="56">
        <f>INDEX(Rate_Chart!$A$1:$AK$127,MATCH(Data!J135,Rate_Chart!$A$1:$A$127,0),MATCH(Data!K135,Rate_Chart!$A$1:$AK$1,0))</f>
        <v>50.425650000000005</v>
      </c>
      <c r="O135" s="57">
        <f t="shared" si="30"/>
        <v>958.08735000000013</v>
      </c>
      <c r="P135" s="58">
        <f t="shared" si="31"/>
        <v>421.38426183844012</v>
      </c>
      <c r="Q135" s="58">
        <f t="shared" si="32"/>
        <v>280.92284122562677</v>
      </c>
      <c r="R135" s="66">
        <f t="shared" si="39"/>
        <v>16.766528625000003</v>
      </c>
      <c r="S135" s="64">
        <f t="shared" si="33"/>
        <v>71.25</v>
      </c>
      <c r="T135" s="66">
        <f t="shared" si="34"/>
        <v>1046.1038786250001</v>
      </c>
      <c r="U135" s="68">
        <f t="shared" si="35"/>
        <v>55.058098875000006</v>
      </c>
      <c r="V135" s="68">
        <f t="shared" si="36"/>
        <v>460.09553377437328</v>
      </c>
      <c r="W135" s="68">
        <f t="shared" si="37"/>
        <v>306.73035584958217</v>
      </c>
    </row>
    <row r="136" spans="1:23" x14ac:dyDescent="0.25">
      <c r="A136" s="169" t="s">
        <v>890</v>
      </c>
      <c r="B136" s="61" t="s">
        <v>397</v>
      </c>
      <c r="C136" s="61" t="s">
        <v>591</v>
      </c>
      <c r="D136" s="61" t="s">
        <v>594</v>
      </c>
      <c r="E136" s="1" t="s">
        <v>843</v>
      </c>
      <c r="F136" s="62" t="str">
        <f t="shared" si="38"/>
        <v>20120</v>
      </c>
      <c r="G136" s="1">
        <v>10620120</v>
      </c>
      <c r="H136" s="1" t="s">
        <v>387</v>
      </c>
      <c r="I136" s="61">
        <v>13</v>
      </c>
      <c r="J136" s="61">
        <v>7.3</v>
      </c>
      <c r="K136" s="61">
        <v>8.8000000000000007</v>
      </c>
      <c r="L136" s="69">
        <f t="shared" si="28"/>
        <v>0.94899999999999995</v>
      </c>
      <c r="M136" s="69">
        <f t="shared" si="29"/>
        <v>1.1440000000000001</v>
      </c>
      <c r="N136" s="56">
        <f>INDEX(Rate_Chart!$A$1:$AK$127,MATCH(Data!J136,Rate_Chart!$A$1:$A$127,0),MATCH(Data!K136,Rate_Chart!$A$1:$AK$1,0))</f>
        <v>60.34545</v>
      </c>
      <c r="O136" s="57">
        <f t="shared" si="30"/>
        <v>784.49085000000002</v>
      </c>
      <c r="P136" s="58">
        <f t="shared" si="31"/>
        <v>458.31987341772157</v>
      </c>
      <c r="Q136" s="58">
        <f t="shared" si="32"/>
        <v>305.54658227848103</v>
      </c>
      <c r="R136" s="66">
        <f t="shared" si="39"/>
        <v>13.728589875000001</v>
      </c>
      <c r="S136" s="64">
        <f t="shared" si="33"/>
        <v>48.75</v>
      </c>
      <c r="T136" s="66">
        <f t="shared" si="34"/>
        <v>846.96943987500003</v>
      </c>
      <c r="U136" s="68">
        <f t="shared" si="35"/>
        <v>65.151495374999996</v>
      </c>
      <c r="V136" s="68">
        <f t="shared" si="36"/>
        <v>494.82148386075949</v>
      </c>
      <c r="W136" s="68">
        <f t="shared" si="37"/>
        <v>329.88098924050632</v>
      </c>
    </row>
    <row r="137" spans="1:23" x14ac:dyDescent="0.25">
      <c r="A137" s="169" t="s">
        <v>890</v>
      </c>
      <c r="B137" s="61" t="s">
        <v>397</v>
      </c>
      <c r="C137" s="61" t="s">
        <v>591</v>
      </c>
      <c r="D137" s="61" t="s">
        <v>594</v>
      </c>
      <c r="E137" s="1" t="s">
        <v>843</v>
      </c>
      <c r="F137" s="62" t="str">
        <f t="shared" si="38"/>
        <v>20120</v>
      </c>
      <c r="G137" s="1">
        <v>10620120</v>
      </c>
      <c r="H137" s="1" t="s">
        <v>388</v>
      </c>
      <c r="I137" s="61">
        <v>11</v>
      </c>
      <c r="J137" s="61">
        <v>5</v>
      </c>
      <c r="K137" s="61">
        <v>8.5</v>
      </c>
      <c r="L137" s="69">
        <f t="shared" si="28"/>
        <v>0.55000000000000004</v>
      </c>
      <c r="M137" s="69">
        <f t="shared" si="29"/>
        <v>0.93500000000000005</v>
      </c>
      <c r="N137" s="56">
        <f>INDEX(Rate_Chart!$A$1:$AK$127,MATCH(Data!J137,Rate_Chart!$A$1:$A$127,0),MATCH(Data!K137,Rate_Chart!$A$1:$AK$1,0))</f>
        <v>44.481181500000005</v>
      </c>
      <c r="O137" s="57">
        <f t="shared" si="30"/>
        <v>489.29299650000007</v>
      </c>
      <c r="P137" s="58">
        <f t="shared" si="31"/>
        <v>417.01107656250002</v>
      </c>
      <c r="Q137" s="58">
        <f t="shared" si="32"/>
        <v>278.00738437500002</v>
      </c>
      <c r="R137" s="66">
        <f t="shared" si="39"/>
        <v>8.5626274387500025</v>
      </c>
      <c r="S137" s="64">
        <f t="shared" si="33"/>
        <v>41.25</v>
      </c>
      <c r="T137" s="66">
        <f t="shared" si="34"/>
        <v>539.10562393875011</v>
      </c>
      <c r="U137" s="68">
        <f t="shared" si="35"/>
        <v>49.009602176250013</v>
      </c>
      <c r="V137" s="68">
        <f t="shared" si="36"/>
        <v>459.46502040234384</v>
      </c>
      <c r="W137" s="68">
        <f t="shared" si="37"/>
        <v>306.31001360156256</v>
      </c>
    </row>
    <row r="138" spans="1:23" x14ac:dyDescent="0.25">
      <c r="A138" s="169" t="s">
        <v>891</v>
      </c>
      <c r="B138" s="61" t="s">
        <v>397</v>
      </c>
      <c r="C138" s="61" t="s">
        <v>591</v>
      </c>
      <c r="D138" s="61" t="s">
        <v>594</v>
      </c>
      <c r="E138" s="1" t="s">
        <v>843</v>
      </c>
      <c r="F138" s="62" t="str">
        <f t="shared" si="38"/>
        <v>20120</v>
      </c>
      <c r="G138" s="1">
        <v>10620120</v>
      </c>
      <c r="H138" s="1" t="s">
        <v>387</v>
      </c>
      <c r="I138" s="61">
        <v>18</v>
      </c>
      <c r="J138" s="61">
        <v>5.8</v>
      </c>
      <c r="K138" s="61">
        <v>8.6999999999999993</v>
      </c>
      <c r="L138" s="69">
        <f t="shared" si="28"/>
        <v>1.0439999999999998</v>
      </c>
      <c r="M138" s="69">
        <f t="shared" si="29"/>
        <v>1.5659999999999998</v>
      </c>
      <c r="N138" s="56">
        <f>INDEX(Rate_Chart!$A$1:$AK$127,MATCH(Data!J138,Rate_Chart!$A$1:$A$127,0),MATCH(Data!K138,Rate_Chart!$A$1:$AK$1,0))</f>
        <v>47.461399999999998</v>
      </c>
      <c r="O138" s="57">
        <f t="shared" si="30"/>
        <v>854.30520000000001</v>
      </c>
      <c r="P138" s="58">
        <f t="shared" si="31"/>
        <v>409.15000000000003</v>
      </c>
      <c r="Q138" s="58">
        <f t="shared" si="32"/>
        <v>272.76666666666671</v>
      </c>
      <c r="R138" s="66">
        <f t="shared" si="39"/>
        <v>14.950341000000002</v>
      </c>
      <c r="S138" s="64">
        <f t="shared" si="33"/>
        <v>67.5</v>
      </c>
      <c r="T138" s="66">
        <f t="shared" si="34"/>
        <v>936.75554099999999</v>
      </c>
      <c r="U138" s="68">
        <f t="shared" si="35"/>
        <v>52.041974500000002</v>
      </c>
      <c r="V138" s="68">
        <f t="shared" si="36"/>
        <v>448.6377112068966</v>
      </c>
      <c r="W138" s="68">
        <f t="shared" si="37"/>
        <v>299.09180747126442</v>
      </c>
    </row>
    <row r="139" spans="1:23" x14ac:dyDescent="0.25">
      <c r="A139" s="169" t="s">
        <v>892</v>
      </c>
      <c r="B139" s="61" t="s">
        <v>396</v>
      </c>
      <c r="C139" s="61" t="s">
        <v>591</v>
      </c>
      <c r="D139" s="61" t="s">
        <v>594</v>
      </c>
      <c r="E139" s="1" t="s">
        <v>843</v>
      </c>
      <c r="F139" s="62" t="str">
        <f t="shared" si="38"/>
        <v>20120</v>
      </c>
      <c r="G139" s="1">
        <v>10620120</v>
      </c>
      <c r="H139" s="1" t="s">
        <v>387</v>
      </c>
      <c r="I139" s="61">
        <v>12</v>
      </c>
      <c r="J139" s="61">
        <v>5.8</v>
      </c>
      <c r="K139" s="61">
        <v>8.6</v>
      </c>
      <c r="L139" s="69">
        <f t="shared" si="28"/>
        <v>0.69599999999999995</v>
      </c>
      <c r="M139" s="69">
        <f t="shared" si="29"/>
        <v>1.0319999999999998</v>
      </c>
      <c r="N139" s="56">
        <f>INDEX(Rate_Chart!$A$1:$AK$127,MATCH(Data!J139,Rate_Chart!$A$1:$A$127,0),MATCH(Data!K139,Rate_Chart!$A$1:$AK$1,0))</f>
        <v>47.461399999999998</v>
      </c>
      <c r="O139" s="57">
        <f t="shared" si="30"/>
        <v>569.53679999999997</v>
      </c>
      <c r="P139" s="58">
        <f t="shared" si="31"/>
        <v>411.51502890173413</v>
      </c>
      <c r="Q139" s="58">
        <f t="shared" si="32"/>
        <v>274.34335260115608</v>
      </c>
      <c r="R139" s="66">
        <f t="shared" si="39"/>
        <v>9.9668939999999999</v>
      </c>
      <c r="S139" s="64">
        <f t="shared" si="33"/>
        <v>45</v>
      </c>
      <c r="T139" s="66">
        <f t="shared" si="34"/>
        <v>624.503694</v>
      </c>
      <c r="U139" s="68">
        <f t="shared" si="35"/>
        <v>52.041974500000002</v>
      </c>
      <c r="V139" s="68">
        <f t="shared" si="36"/>
        <v>451.23099277456657</v>
      </c>
      <c r="W139" s="68">
        <f t="shared" si="37"/>
        <v>300.82066184971103</v>
      </c>
    </row>
    <row r="140" spans="1:23" x14ac:dyDescent="0.25">
      <c r="A140" s="169" t="s">
        <v>892</v>
      </c>
      <c r="B140" s="61" t="s">
        <v>397</v>
      </c>
      <c r="C140" s="61" t="s">
        <v>591</v>
      </c>
      <c r="D140" s="61" t="s">
        <v>594</v>
      </c>
      <c r="E140" s="1" t="s">
        <v>843</v>
      </c>
      <c r="F140" s="62" t="str">
        <f t="shared" si="38"/>
        <v>20120</v>
      </c>
      <c r="G140" s="1">
        <v>10620120</v>
      </c>
      <c r="H140" s="1" t="s">
        <v>387</v>
      </c>
      <c r="I140" s="61">
        <v>9</v>
      </c>
      <c r="J140" s="61">
        <v>6</v>
      </c>
      <c r="K140" s="61">
        <v>8.6</v>
      </c>
      <c r="L140" s="69">
        <f t="shared" si="28"/>
        <v>0.54</v>
      </c>
      <c r="M140" s="69">
        <f t="shared" si="29"/>
        <v>0.77399999999999991</v>
      </c>
      <c r="N140" s="56">
        <f>INDEX(Rate_Chart!$A$1:$AK$127,MATCH(Data!J140,Rate_Chart!$A$1:$A$127,0),MATCH(Data!K140,Rate_Chart!$A$1:$AK$1,0))</f>
        <v>49.097999999999999</v>
      </c>
      <c r="O140" s="57">
        <f t="shared" si="30"/>
        <v>441.88200000000001</v>
      </c>
      <c r="P140" s="58">
        <f t="shared" si="31"/>
        <v>418.44886363636368</v>
      </c>
      <c r="Q140" s="58">
        <f t="shared" si="32"/>
        <v>278.96590909090912</v>
      </c>
      <c r="R140" s="66">
        <f t="shared" si="39"/>
        <v>7.7329350000000012</v>
      </c>
      <c r="S140" s="64">
        <f t="shared" si="33"/>
        <v>33.75</v>
      </c>
      <c r="T140" s="66">
        <f t="shared" si="34"/>
        <v>483.364935</v>
      </c>
      <c r="U140" s="68">
        <f t="shared" si="35"/>
        <v>53.707214999999998</v>
      </c>
      <c r="V140" s="68">
        <f t="shared" si="36"/>
        <v>457.7319460227273</v>
      </c>
      <c r="W140" s="68">
        <f t="shared" si="37"/>
        <v>305.15463068181822</v>
      </c>
    </row>
    <row r="141" spans="1:23" x14ac:dyDescent="0.25">
      <c r="A141" s="169" t="s">
        <v>892</v>
      </c>
      <c r="B141" s="61" t="s">
        <v>397</v>
      </c>
      <c r="C141" s="61" t="s">
        <v>591</v>
      </c>
      <c r="D141" s="61" t="s">
        <v>594</v>
      </c>
      <c r="E141" s="1" t="s">
        <v>843</v>
      </c>
      <c r="F141" s="62" t="str">
        <f t="shared" si="38"/>
        <v>20120</v>
      </c>
      <c r="G141" s="1">
        <v>10620120</v>
      </c>
      <c r="H141" s="1" t="s">
        <v>388</v>
      </c>
      <c r="I141" s="61">
        <v>9</v>
      </c>
      <c r="J141" s="61">
        <v>4.7</v>
      </c>
      <c r="K141" s="61">
        <v>8.1999999999999993</v>
      </c>
      <c r="L141" s="69">
        <f t="shared" si="28"/>
        <v>0.42300000000000004</v>
      </c>
      <c r="M141" s="69">
        <f t="shared" si="29"/>
        <v>0.73799999999999999</v>
      </c>
      <c r="N141" s="56">
        <f>INDEX(Rate_Chart!$A$1:$AK$127,MATCH(Data!J141,Rate_Chart!$A$1:$A$127,0),MATCH(Data!K141,Rate_Chart!$A$1:$AK$1,0))</f>
        <v>42.3961398</v>
      </c>
      <c r="O141" s="57">
        <f t="shared" si="30"/>
        <v>381.56525820000002</v>
      </c>
      <c r="P141" s="58">
        <f t="shared" si="31"/>
        <v>417.01121114754102</v>
      </c>
      <c r="Q141" s="58">
        <f t="shared" si="32"/>
        <v>278.00747409836066</v>
      </c>
      <c r="R141" s="66">
        <f t="shared" si="39"/>
        <v>6.6773920185000009</v>
      </c>
      <c r="S141" s="64">
        <f t="shared" si="33"/>
        <v>33.75</v>
      </c>
      <c r="T141" s="66">
        <f t="shared" si="34"/>
        <v>421.99265021849999</v>
      </c>
      <c r="U141" s="68">
        <f t="shared" si="35"/>
        <v>46.888072246500002</v>
      </c>
      <c r="V141" s="68">
        <f t="shared" si="36"/>
        <v>461.19415324426234</v>
      </c>
      <c r="W141" s="68">
        <f t="shared" si="37"/>
        <v>307.46276882950821</v>
      </c>
    </row>
    <row r="142" spans="1:23" x14ac:dyDescent="0.25">
      <c r="A142" s="169" t="s">
        <v>893</v>
      </c>
      <c r="B142" s="61" t="s">
        <v>396</v>
      </c>
      <c r="C142" s="61" t="s">
        <v>591</v>
      </c>
      <c r="D142" s="61" t="s">
        <v>594</v>
      </c>
      <c r="E142" s="1" t="s">
        <v>843</v>
      </c>
      <c r="F142" s="62" t="str">
        <f t="shared" si="38"/>
        <v>20120</v>
      </c>
      <c r="G142" s="1">
        <v>10620120</v>
      </c>
      <c r="H142" s="1" t="s">
        <v>387</v>
      </c>
      <c r="I142" s="61">
        <v>13</v>
      </c>
      <c r="J142" s="61">
        <v>6.4</v>
      </c>
      <c r="K142" s="61">
        <v>8.8000000000000007</v>
      </c>
      <c r="L142" s="69">
        <f t="shared" si="28"/>
        <v>0.83200000000000007</v>
      </c>
      <c r="M142" s="69">
        <f t="shared" si="29"/>
        <v>1.1440000000000001</v>
      </c>
      <c r="N142" s="56">
        <f>INDEX(Rate_Chart!$A$1:$AK$127,MATCH(Data!J142,Rate_Chart!$A$1:$A$127,0),MATCH(Data!K142,Rate_Chart!$A$1:$AK$1,0))</f>
        <v>52.9056</v>
      </c>
      <c r="O142" s="57">
        <f t="shared" si="30"/>
        <v>687.77279999999996</v>
      </c>
      <c r="P142" s="58">
        <f t="shared" si="31"/>
        <v>431.29565217391303</v>
      </c>
      <c r="Q142" s="58">
        <f t="shared" si="32"/>
        <v>287.53043478260867</v>
      </c>
      <c r="R142" s="66">
        <f t="shared" si="39"/>
        <v>12.036024000000001</v>
      </c>
      <c r="S142" s="64">
        <f t="shared" si="33"/>
        <v>48.75</v>
      </c>
      <c r="T142" s="66">
        <f t="shared" si="34"/>
        <v>748.55882399999996</v>
      </c>
      <c r="U142" s="68">
        <f t="shared" si="35"/>
        <v>57.581447999999995</v>
      </c>
      <c r="V142" s="68">
        <f t="shared" si="36"/>
        <v>469.4139782608695</v>
      </c>
      <c r="W142" s="68">
        <f t="shared" si="37"/>
        <v>312.94265217391302</v>
      </c>
    </row>
    <row r="143" spans="1:23" x14ac:dyDescent="0.25">
      <c r="A143" s="169" t="s">
        <v>893</v>
      </c>
      <c r="B143" s="61" t="s">
        <v>397</v>
      </c>
      <c r="C143" s="61" t="s">
        <v>591</v>
      </c>
      <c r="D143" s="61" t="s">
        <v>594</v>
      </c>
      <c r="E143" s="1" t="s">
        <v>843</v>
      </c>
      <c r="F143" s="62" t="str">
        <f t="shared" si="38"/>
        <v>20120</v>
      </c>
      <c r="G143" s="1">
        <v>10620120</v>
      </c>
      <c r="H143" s="1" t="s">
        <v>387</v>
      </c>
      <c r="I143" s="61">
        <v>13</v>
      </c>
      <c r="J143" s="61">
        <v>6.4</v>
      </c>
      <c r="K143" s="61">
        <v>8.8000000000000007</v>
      </c>
      <c r="L143" s="69">
        <f t="shared" si="28"/>
        <v>0.83200000000000007</v>
      </c>
      <c r="M143" s="69">
        <f t="shared" si="29"/>
        <v>1.1440000000000001</v>
      </c>
      <c r="N143" s="56">
        <f>INDEX(Rate_Chart!$A$1:$AK$127,MATCH(Data!J143,Rate_Chart!$A$1:$A$127,0),MATCH(Data!K143,Rate_Chart!$A$1:$AK$1,0))</f>
        <v>52.9056</v>
      </c>
      <c r="O143" s="57">
        <f t="shared" si="30"/>
        <v>687.77279999999996</v>
      </c>
      <c r="P143" s="58">
        <f t="shared" si="31"/>
        <v>431.29565217391303</v>
      </c>
      <c r="Q143" s="58">
        <f t="shared" si="32"/>
        <v>287.53043478260867</v>
      </c>
      <c r="R143" s="66">
        <f t="shared" si="39"/>
        <v>12.036024000000001</v>
      </c>
      <c r="S143" s="64">
        <f t="shared" si="33"/>
        <v>48.75</v>
      </c>
      <c r="T143" s="66">
        <f t="shared" si="34"/>
        <v>748.55882399999996</v>
      </c>
      <c r="U143" s="68">
        <f t="shared" si="35"/>
        <v>57.581447999999995</v>
      </c>
      <c r="V143" s="68">
        <f t="shared" si="36"/>
        <v>469.4139782608695</v>
      </c>
      <c r="W143" s="68">
        <f t="shared" si="37"/>
        <v>312.94265217391302</v>
      </c>
    </row>
    <row r="144" spans="1:23" x14ac:dyDescent="0.25">
      <c r="A144" s="169" t="s">
        <v>893</v>
      </c>
      <c r="B144" s="61" t="s">
        <v>397</v>
      </c>
      <c r="C144" s="61" t="s">
        <v>591</v>
      </c>
      <c r="D144" s="61" t="s">
        <v>594</v>
      </c>
      <c r="E144" s="1" t="s">
        <v>843</v>
      </c>
      <c r="F144" s="62" t="str">
        <f t="shared" si="38"/>
        <v>20120</v>
      </c>
      <c r="G144" s="1">
        <v>10620120</v>
      </c>
      <c r="H144" s="1" t="s">
        <v>388</v>
      </c>
      <c r="I144" s="61">
        <v>7</v>
      </c>
      <c r="J144" s="61">
        <v>5.2</v>
      </c>
      <c r="K144" s="61">
        <v>8.3000000000000007</v>
      </c>
      <c r="L144" s="69">
        <f t="shared" si="28"/>
        <v>0.36399999999999999</v>
      </c>
      <c r="M144" s="69">
        <f t="shared" si="29"/>
        <v>0.58100000000000007</v>
      </c>
      <c r="N144" s="56">
        <f>INDEX(Rate_Chart!$A$1:$AK$127,MATCH(Data!J144,Rate_Chart!$A$1:$A$127,0),MATCH(Data!K144,Rate_Chart!$A$1:$AK$1,0))</f>
        <v>44.759153700000006</v>
      </c>
      <c r="O144" s="57">
        <f t="shared" si="30"/>
        <v>313.31407590000003</v>
      </c>
      <c r="P144" s="58">
        <f t="shared" si="31"/>
        <v>417.01074875776402</v>
      </c>
      <c r="Q144" s="58">
        <f t="shared" si="32"/>
        <v>278.00716583850937</v>
      </c>
      <c r="R144" s="66">
        <f t="shared" si="39"/>
        <v>5.4829963282500014</v>
      </c>
      <c r="S144" s="64">
        <f t="shared" si="33"/>
        <v>26.25</v>
      </c>
      <c r="T144" s="66">
        <f t="shared" si="34"/>
        <v>345.04707222825004</v>
      </c>
      <c r="U144" s="68">
        <f t="shared" si="35"/>
        <v>49.292438889750009</v>
      </c>
      <c r="V144" s="68">
        <f t="shared" si="36"/>
        <v>459.24632505978269</v>
      </c>
      <c r="W144" s="68">
        <f t="shared" si="37"/>
        <v>306.16421670652181</v>
      </c>
    </row>
    <row r="145" spans="1:23" x14ac:dyDescent="0.25">
      <c r="A145" s="169" t="s">
        <v>894</v>
      </c>
      <c r="B145" s="61" t="s">
        <v>396</v>
      </c>
      <c r="C145" s="61" t="s">
        <v>591</v>
      </c>
      <c r="D145" s="61" t="s">
        <v>594</v>
      </c>
      <c r="E145" s="1" t="s">
        <v>843</v>
      </c>
      <c r="F145" s="62" t="str">
        <f t="shared" si="38"/>
        <v>20120</v>
      </c>
      <c r="G145" s="1">
        <v>10620120</v>
      </c>
      <c r="H145" s="1" t="s">
        <v>387</v>
      </c>
      <c r="I145" s="61">
        <v>11</v>
      </c>
      <c r="J145" s="61">
        <v>6.1</v>
      </c>
      <c r="K145" s="61">
        <v>8.8000000000000007</v>
      </c>
      <c r="L145" s="69">
        <f t="shared" si="28"/>
        <v>0.67099999999999993</v>
      </c>
      <c r="M145" s="69">
        <f t="shared" si="29"/>
        <v>0.96800000000000008</v>
      </c>
      <c r="N145" s="56">
        <f>INDEX(Rate_Chart!$A$1:$AK$127,MATCH(Data!J145,Rate_Chart!$A$1:$A$127,0),MATCH(Data!K145,Rate_Chart!$A$1:$AK$1,0))</f>
        <v>50.425650000000005</v>
      </c>
      <c r="O145" s="57">
        <f t="shared" si="30"/>
        <v>554.68215000000009</v>
      </c>
      <c r="P145" s="58">
        <f t="shared" si="31"/>
        <v>421.38426183844012</v>
      </c>
      <c r="Q145" s="58">
        <f t="shared" si="32"/>
        <v>280.92284122562677</v>
      </c>
      <c r="R145" s="66">
        <f t="shared" si="39"/>
        <v>9.7069376250000019</v>
      </c>
      <c r="S145" s="64">
        <f t="shared" si="33"/>
        <v>41.25</v>
      </c>
      <c r="T145" s="66">
        <f t="shared" si="34"/>
        <v>605.63908762500012</v>
      </c>
      <c r="U145" s="68">
        <f t="shared" si="35"/>
        <v>55.058098875000013</v>
      </c>
      <c r="V145" s="68">
        <f t="shared" si="36"/>
        <v>460.09553377437334</v>
      </c>
      <c r="W145" s="68">
        <f t="shared" si="37"/>
        <v>306.73035584958222</v>
      </c>
    </row>
    <row r="146" spans="1:23" x14ac:dyDescent="0.25">
      <c r="A146" s="169" t="s">
        <v>894</v>
      </c>
      <c r="B146" s="61" t="s">
        <v>397</v>
      </c>
      <c r="C146" s="61" t="s">
        <v>591</v>
      </c>
      <c r="D146" s="61" t="s">
        <v>594</v>
      </c>
      <c r="E146" s="1" t="s">
        <v>843</v>
      </c>
      <c r="F146" s="62" t="str">
        <f t="shared" si="38"/>
        <v>20120</v>
      </c>
      <c r="G146" s="1">
        <v>10620120</v>
      </c>
      <c r="H146" s="1" t="s">
        <v>387</v>
      </c>
      <c r="I146" s="61">
        <v>15</v>
      </c>
      <c r="J146" s="61">
        <v>5.7</v>
      </c>
      <c r="K146" s="61">
        <v>8.5</v>
      </c>
      <c r="L146" s="69">
        <f t="shared" si="28"/>
        <v>0.85499999999999998</v>
      </c>
      <c r="M146" s="69">
        <f t="shared" si="29"/>
        <v>1.2749999999999999</v>
      </c>
      <c r="N146" s="56">
        <f>INDEX(Rate_Chart!$A$1:$AK$127,MATCH(Data!J146,Rate_Chart!$A$1:$A$127,0),MATCH(Data!K146,Rate_Chart!$A$1:$AK$1,0))</f>
        <v>46.167149999999999</v>
      </c>
      <c r="O146" s="57">
        <f t="shared" si="30"/>
        <v>692.50725</v>
      </c>
      <c r="P146" s="58">
        <f t="shared" si="31"/>
        <v>406.16260997067451</v>
      </c>
      <c r="Q146" s="58">
        <f t="shared" si="32"/>
        <v>270.77507331378303</v>
      </c>
      <c r="R146" s="66">
        <f t="shared" si="39"/>
        <v>12.118876875000002</v>
      </c>
      <c r="S146" s="64">
        <f t="shared" si="33"/>
        <v>56.25</v>
      </c>
      <c r="T146" s="66">
        <f t="shared" si="34"/>
        <v>760.87612687499995</v>
      </c>
      <c r="U146" s="68">
        <f t="shared" si="35"/>
        <v>50.725075124999996</v>
      </c>
      <c r="V146" s="68">
        <f t="shared" si="36"/>
        <v>446.2616579912023</v>
      </c>
      <c r="W146" s="68">
        <f t="shared" si="37"/>
        <v>297.50777199413488</v>
      </c>
    </row>
    <row r="147" spans="1:23" x14ac:dyDescent="0.25">
      <c r="A147" s="169" t="s">
        <v>888</v>
      </c>
      <c r="B147" s="61" t="s">
        <v>396</v>
      </c>
      <c r="C147" s="61" t="s">
        <v>591</v>
      </c>
      <c r="D147" s="61" t="s">
        <v>592</v>
      </c>
      <c r="E147" s="1" t="s">
        <v>870</v>
      </c>
      <c r="F147" s="62" t="str">
        <f t="shared" si="38"/>
        <v>20121</v>
      </c>
      <c r="G147" s="1">
        <v>10620121</v>
      </c>
      <c r="H147" s="1" t="s">
        <v>387</v>
      </c>
      <c r="I147" s="61">
        <v>17</v>
      </c>
      <c r="J147" s="61">
        <v>7.2</v>
      </c>
      <c r="K147" s="61">
        <v>9</v>
      </c>
      <c r="L147" s="69">
        <f t="shared" si="28"/>
        <v>1.224</v>
      </c>
      <c r="M147" s="69">
        <f t="shared" si="29"/>
        <v>1.53</v>
      </c>
      <c r="N147" s="56">
        <f>INDEX(Rate_Chart!$A$1:$AK$127,MATCH(Data!J147,Rate_Chart!$A$1:$A$127,0),MATCH(Data!K147,Rate_Chart!$A$1:$AK$1,0))</f>
        <v>60.120000000000005</v>
      </c>
      <c r="O147" s="57">
        <f t="shared" si="30"/>
        <v>1022.0400000000001</v>
      </c>
      <c r="P147" s="58">
        <f t="shared" si="31"/>
        <v>455.4545454545455</v>
      </c>
      <c r="Q147" s="58">
        <f t="shared" si="32"/>
        <v>303.63636363636368</v>
      </c>
      <c r="R147" s="66">
        <f t="shared" si="39"/>
        <v>17.885700000000003</v>
      </c>
      <c r="S147" s="64">
        <f t="shared" si="33"/>
        <v>63.75</v>
      </c>
      <c r="T147" s="66">
        <f t="shared" si="34"/>
        <v>1103.6757</v>
      </c>
      <c r="U147" s="68">
        <f t="shared" si="35"/>
        <v>64.9221</v>
      </c>
      <c r="V147" s="68">
        <f t="shared" si="36"/>
        <v>491.83409090909089</v>
      </c>
      <c r="W147" s="68">
        <f t="shared" si="37"/>
        <v>327.88939393939393</v>
      </c>
    </row>
    <row r="148" spans="1:23" x14ac:dyDescent="0.25">
      <c r="A148" s="169" t="s">
        <v>888</v>
      </c>
      <c r="B148" s="61" t="s">
        <v>396</v>
      </c>
      <c r="C148" s="61" t="s">
        <v>591</v>
      </c>
      <c r="D148" s="61" t="s">
        <v>592</v>
      </c>
      <c r="E148" s="1" t="s">
        <v>870</v>
      </c>
      <c r="F148" s="62" t="str">
        <f t="shared" si="38"/>
        <v>20121</v>
      </c>
      <c r="G148" s="1">
        <v>10620121</v>
      </c>
      <c r="H148" s="1" t="s">
        <v>388</v>
      </c>
      <c r="I148" s="61">
        <v>72</v>
      </c>
      <c r="J148" s="61">
        <v>3.5</v>
      </c>
      <c r="K148" s="61">
        <v>8</v>
      </c>
      <c r="L148" s="69">
        <f t="shared" si="28"/>
        <v>2.52</v>
      </c>
      <c r="M148" s="69">
        <f t="shared" si="29"/>
        <v>5.76</v>
      </c>
      <c r="N148" s="56">
        <f>INDEX(Rate_Chart!$A$1:$AK$127,MATCH(Data!J148,Rate_Chart!$A$1:$A$127,0),MATCH(Data!K148,Rate_Chart!$A$1:$AK$1,0))</f>
        <v>36.836112000000007</v>
      </c>
      <c r="O148" s="57">
        <f t="shared" si="30"/>
        <v>2652.2000640000006</v>
      </c>
      <c r="P148" s="58">
        <f t="shared" si="31"/>
        <v>417.01258867924531</v>
      </c>
      <c r="Q148" s="58">
        <f t="shared" si="32"/>
        <v>278.00839245283021</v>
      </c>
      <c r="R148" s="66">
        <f t="shared" si="39"/>
        <v>46.413501120000014</v>
      </c>
      <c r="S148" s="64">
        <f t="shared" si="33"/>
        <v>270</v>
      </c>
      <c r="T148" s="66">
        <f t="shared" si="34"/>
        <v>2968.6135651200007</v>
      </c>
      <c r="U148" s="68">
        <f t="shared" si="35"/>
        <v>41.230743960000012</v>
      </c>
      <c r="V148" s="68">
        <f t="shared" si="36"/>
        <v>466.76313916981138</v>
      </c>
      <c r="W148" s="68">
        <f t="shared" si="37"/>
        <v>311.17542611320761</v>
      </c>
    </row>
    <row r="149" spans="1:23" x14ac:dyDescent="0.25">
      <c r="A149" s="169" t="s">
        <v>888</v>
      </c>
      <c r="B149" s="61" t="s">
        <v>397</v>
      </c>
      <c r="C149" s="61" t="s">
        <v>591</v>
      </c>
      <c r="D149" s="61" t="s">
        <v>592</v>
      </c>
      <c r="E149" s="1" t="s">
        <v>870</v>
      </c>
      <c r="F149" s="62" t="str">
        <f t="shared" si="38"/>
        <v>20121</v>
      </c>
      <c r="G149" s="1">
        <v>10620121</v>
      </c>
      <c r="H149" s="1" t="s">
        <v>387</v>
      </c>
      <c r="I149" s="61">
        <v>19</v>
      </c>
      <c r="J149" s="61">
        <v>5.6</v>
      </c>
      <c r="K149" s="61">
        <v>8.5</v>
      </c>
      <c r="L149" s="69">
        <f t="shared" si="28"/>
        <v>1.0639999999999998</v>
      </c>
      <c r="M149" s="69">
        <f t="shared" si="29"/>
        <v>1.615</v>
      </c>
      <c r="N149" s="56">
        <f>INDEX(Rate_Chart!$A$1:$AK$127,MATCH(Data!J149,Rate_Chart!$A$1:$A$127,0),MATCH(Data!K149,Rate_Chart!$A$1:$AK$1,0))</f>
        <v>45.357199999999999</v>
      </c>
      <c r="O149" s="57">
        <f t="shared" si="30"/>
        <v>861.78679999999997</v>
      </c>
      <c r="P149" s="58">
        <f t="shared" si="31"/>
        <v>402.57869822485208</v>
      </c>
      <c r="Q149" s="58">
        <f t="shared" si="32"/>
        <v>268.38579881656807</v>
      </c>
      <c r="R149" s="66">
        <f t="shared" si="39"/>
        <v>15.081269000000001</v>
      </c>
      <c r="S149" s="64">
        <f t="shared" si="33"/>
        <v>71.25</v>
      </c>
      <c r="T149" s="66">
        <f t="shared" si="34"/>
        <v>948.11806899999999</v>
      </c>
      <c r="U149" s="68">
        <f t="shared" si="35"/>
        <v>49.900950999999999</v>
      </c>
      <c r="V149" s="68">
        <f t="shared" si="36"/>
        <v>442.90784911242605</v>
      </c>
      <c r="W149" s="68">
        <f t="shared" si="37"/>
        <v>295.27189940828401</v>
      </c>
    </row>
    <row r="150" spans="1:23" x14ac:dyDescent="0.25">
      <c r="A150" s="169" t="s">
        <v>888</v>
      </c>
      <c r="B150" s="61" t="s">
        <v>397</v>
      </c>
      <c r="C150" s="61" t="s">
        <v>591</v>
      </c>
      <c r="D150" s="61" t="s">
        <v>592</v>
      </c>
      <c r="E150" s="1" t="s">
        <v>870</v>
      </c>
      <c r="F150" s="62" t="str">
        <f t="shared" si="38"/>
        <v>20121</v>
      </c>
      <c r="G150" s="1">
        <v>10620121</v>
      </c>
      <c r="H150" s="1" t="s">
        <v>388</v>
      </c>
      <c r="I150" s="61">
        <v>66</v>
      </c>
      <c r="J150" s="61">
        <v>3.4</v>
      </c>
      <c r="K150" s="61">
        <v>8</v>
      </c>
      <c r="L150" s="69">
        <f t="shared" si="28"/>
        <v>2.2440000000000002</v>
      </c>
      <c r="M150" s="69">
        <f t="shared" si="29"/>
        <v>5.28</v>
      </c>
      <c r="N150" s="56">
        <f>INDEX(Rate_Chart!$A$1:$AK$127,MATCH(Data!J150,Rate_Chart!$A$1:$A$127,0),MATCH(Data!K150,Rate_Chart!$A$1:$AK$1,0))</f>
        <v>36.419112000000005</v>
      </c>
      <c r="O150" s="57">
        <f t="shared" si="30"/>
        <v>2403.6613920000004</v>
      </c>
      <c r="P150" s="58">
        <f t="shared" si="31"/>
        <v>417.01273282442747</v>
      </c>
      <c r="Q150" s="58">
        <f t="shared" si="32"/>
        <v>278.00848854961833</v>
      </c>
      <c r="R150" s="66">
        <f t="shared" si="39"/>
        <v>42.064074360000014</v>
      </c>
      <c r="S150" s="64">
        <f t="shared" si="33"/>
        <v>247.5</v>
      </c>
      <c r="T150" s="66">
        <f t="shared" si="34"/>
        <v>2693.2254663600006</v>
      </c>
      <c r="U150" s="68">
        <f t="shared" si="35"/>
        <v>40.806446460000011</v>
      </c>
      <c r="V150" s="68">
        <f t="shared" si="36"/>
        <v>467.24938694656493</v>
      </c>
      <c r="W150" s="68">
        <f t="shared" si="37"/>
        <v>311.49959129770997</v>
      </c>
    </row>
    <row r="151" spans="1:23" x14ac:dyDescent="0.25">
      <c r="A151" s="169" t="s">
        <v>889</v>
      </c>
      <c r="B151" s="61" t="s">
        <v>396</v>
      </c>
      <c r="C151" s="61" t="s">
        <v>591</v>
      </c>
      <c r="D151" s="61" t="s">
        <v>592</v>
      </c>
      <c r="E151" s="1" t="s">
        <v>870</v>
      </c>
      <c r="F151" s="62" t="str">
        <f t="shared" si="38"/>
        <v>20121</v>
      </c>
      <c r="G151" s="1">
        <v>10620121</v>
      </c>
      <c r="H151" s="1" t="s">
        <v>387</v>
      </c>
      <c r="I151" s="61">
        <v>21</v>
      </c>
      <c r="J151" s="61">
        <v>7</v>
      </c>
      <c r="K151" s="61">
        <v>9</v>
      </c>
      <c r="L151" s="69">
        <f t="shared" si="28"/>
        <v>1.47</v>
      </c>
      <c r="M151" s="69">
        <f t="shared" si="29"/>
        <v>1.89</v>
      </c>
      <c r="N151" s="56">
        <f>INDEX(Rate_Chart!$A$1:$AK$127,MATCH(Data!J151,Rate_Chart!$A$1:$A$127,0),MATCH(Data!K151,Rate_Chart!$A$1:$AK$1,0))</f>
        <v>58.45</v>
      </c>
      <c r="O151" s="57">
        <f t="shared" si="30"/>
        <v>1227.45</v>
      </c>
      <c r="P151" s="58">
        <f t="shared" si="31"/>
        <v>449.61538461538464</v>
      </c>
      <c r="Q151" s="58">
        <f t="shared" si="32"/>
        <v>299.74358974358978</v>
      </c>
      <c r="R151" s="66">
        <f t="shared" si="39"/>
        <v>21.480375000000002</v>
      </c>
      <c r="S151" s="64">
        <f t="shared" si="33"/>
        <v>78.75</v>
      </c>
      <c r="T151" s="66">
        <f t="shared" si="34"/>
        <v>1327.6803750000001</v>
      </c>
      <c r="U151" s="68">
        <f t="shared" si="35"/>
        <v>63.222875000000009</v>
      </c>
      <c r="V151" s="68">
        <f t="shared" si="36"/>
        <v>486.32980769230772</v>
      </c>
      <c r="W151" s="68">
        <f t="shared" si="37"/>
        <v>324.21987179487184</v>
      </c>
    </row>
    <row r="152" spans="1:23" x14ac:dyDescent="0.25">
      <c r="A152" s="169" t="s">
        <v>889</v>
      </c>
      <c r="B152" s="61" t="s">
        <v>396</v>
      </c>
      <c r="C152" s="61" t="s">
        <v>591</v>
      </c>
      <c r="D152" s="61" t="s">
        <v>592</v>
      </c>
      <c r="E152" s="1" t="s">
        <v>870</v>
      </c>
      <c r="F152" s="62" t="str">
        <f t="shared" si="38"/>
        <v>20121</v>
      </c>
      <c r="G152" s="1">
        <v>10620121</v>
      </c>
      <c r="H152" s="1" t="s">
        <v>388</v>
      </c>
      <c r="I152" s="61">
        <v>74</v>
      </c>
      <c r="J152" s="61">
        <v>3.4</v>
      </c>
      <c r="K152" s="61">
        <v>8</v>
      </c>
      <c r="L152" s="69">
        <f t="shared" si="28"/>
        <v>2.516</v>
      </c>
      <c r="M152" s="69">
        <f t="shared" si="29"/>
        <v>5.92</v>
      </c>
      <c r="N152" s="56">
        <f>INDEX(Rate_Chart!$A$1:$AK$127,MATCH(Data!J152,Rate_Chart!$A$1:$A$127,0),MATCH(Data!K152,Rate_Chart!$A$1:$AK$1,0))</f>
        <v>36.419112000000005</v>
      </c>
      <c r="O152" s="57">
        <f t="shared" si="30"/>
        <v>2695.0142880000003</v>
      </c>
      <c r="P152" s="58">
        <f t="shared" si="31"/>
        <v>417.01273282442747</v>
      </c>
      <c r="Q152" s="58">
        <f t="shared" si="32"/>
        <v>278.00848854961833</v>
      </c>
      <c r="R152" s="66">
        <f t="shared" si="39"/>
        <v>47.162750040000013</v>
      </c>
      <c r="S152" s="64">
        <f t="shared" si="33"/>
        <v>277.5</v>
      </c>
      <c r="T152" s="66">
        <f t="shared" si="34"/>
        <v>3019.6770380400003</v>
      </c>
      <c r="U152" s="68">
        <f t="shared" si="35"/>
        <v>40.806446460000004</v>
      </c>
      <c r="V152" s="68">
        <f t="shared" si="36"/>
        <v>467.24938694656487</v>
      </c>
      <c r="W152" s="68">
        <f t="shared" si="37"/>
        <v>311.49959129770991</v>
      </c>
    </row>
    <row r="153" spans="1:23" x14ac:dyDescent="0.25">
      <c r="A153" s="169" t="s">
        <v>889</v>
      </c>
      <c r="B153" s="61" t="s">
        <v>397</v>
      </c>
      <c r="C153" s="61" t="s">
        <v>591</v>
      </c>
      <c r="D153" s="61" t="s">
        <v>592</v>
      </c>
      <c r="E153" s="1" t="s">
        <v>870</v>
      </c>
      <c r="F153" s="62" t="str">
        <f t="shared" si="38"/>
        <v>20121</v>
      </c>
      <c r="G153" s="1">
        <v>10620121</v>
      </c>
      <c r="H153" s="1" t="s">
        <v>387</v>
      </c>
      <c r="I153" s="61">
        <v>18</v>
      </c>
      <c r="J153" s="61">
        <v>6.2</v>
      </c>
      <c r="K153" s="61">
        <v>9</v>
      </c>
      <c r="L153" s="69">
        <f t="shared" si="28"/>
        <v>1.1160000000000001</v>
      </c>
      <c r="M153" s="69">
        <f t="shared" si="29"/>
        <v>1.62</v>
      </c>
      <c r="N153" s="56">
        <f>INDEX(Rate_Chart!$A$1:$AK$127,MATCH(Data!J153,Rate_Chart!$A$1:$A$127,0),MATCH(Data!K153,Rate_Chart!$A$1:$AK$1,0))</f>
        <v>51.77</v>
      </c>
      <c r="O153" s="57">
        <f t="shared" si="30"/>
        <v>931.86</v>
      </c>
      <c r="P153" s="58">
        <f t="shared" si="31"/>
        <v>424.34426229508199</v>
      </c>
      <c r="Q153" s="58">
        <f t="shared" si="32"/>
        <v>282.89617486338801</v>
      </c>
      <c r="R153" s="66">
        <f t="shared" si="39"/>
        <v>16.307550000000003</v>
      </c>
      <c r="S153" s="64">
        <f t="shared" si="33"/>
        <v>67.5</v>
      </c>
      <c r="T153" s="66">
        <f t="shared" si="34"/>
        <v>1015.66755</v>
      </c>
      <c r="U153" s="68">
        <f t="shared" si="35"/>
        <v>56.425975000000001</v>
      </c>
      <c r="V153" s="68">
        <f t="shared" si="36"/>
        <v>462.50799180327868</v>
      </c>
      <c r="W153" s="68">
        <f t="shared" si="37"/>
        <v>308.33866120218579</v>
      </c>
    </row>
    <row r="154" spans="1:23" x14ac:dyDescent="0.25">
      <c r="A154" s="169" t="s">
        <v>889</v>
      </c>
      <c r="B154" s="61" t="s">
        <v>397</v>
      </c>
      <c r="C154" s="61" t="s">
        <v>591</v>
      </c>
      <c r="D154" s="61" t="s">
        <v>592</v>
      </c>
      <c r="E154" s="1" t="s">
        <v>870</v>
      </c>
      <c r="F154" s="62" t="str">
        <f t="shared" si="38"/>
        <v>20121</v>
      </c>
      <c r="G154" s="1">
        <v>10620121</v>
      </c>
      <c r="H154" s="1" t="s">
        <v>388</v>
      </c>
      <c r="I154" s="61">
        <v>66</v>
      </c>
      <c r="J154" s="61">
        <v>4</v>
      </c>
      <c r="K154" s="61">
        <v>8.1</v>
      </c>
      <c r="L154" s="69">
        <f t="shared" si="28"/>
        <v>2.64</v>
      </c>
      <c r="M154" s="69">
        <f t="shared" si="29"/>
        <v>5.3460000000000001</v>
      </c>
      <c r="N154" s="56">
        <f>INDEX(Rate_Chart!$A$1:$AK$127,MATCH(Data!J154,Rate_Chart!$A$1:$A$127,0),MATCH(Data!K154,Rate_Chart!$A$1:$AK$1,0))</f>
        <v>39.199125899999999</v>
      </c>
      <c r="O154" s="57">
        <f t="shared" si="30"/>
        <v>2587.1423093999997</v>
      </c>
      <c r="P154" s="58">
        <f t="shared" si="31"/>
        <v>417.01197765957443</v>
      </c>
      <c r="Q154" s="58">
        <f t="shared" si="32"/>
        <v>278.00798510638293</v>
      </c>
      <c r="R154" s="66">
        <f t="shared" si="39"/>
        <v>45.274990414499996</v>
      </c>
      <c r="S154" s="64">
        <f t="shared" si="33"/>
        <v>247.5</v>
      </c>
      <c r="T154" s="66">
        <f t="shared" si="34"/>
        <v>2879.9172998144995</v>
      </c>
      <c r="U154" s="68">
        <f t="shared" si="35"/>
        <v>43.635110603249991</v>
      </c>
      <c r="V154" s="68">
        <f t="shared" si="36"/>
        <v>464.20330428989354</v>
      </c>
      <c r="W154" s="68">
        <f t="shared" si="37"/>
        <v>309.46886952659571</v>
      </c>
    </row>
    <row r="155" spans="1:23" x14ac:dyDescent="0.25">
      <c r="A155" s="169" t="s">
        <v>890</v>
      </c>
      <c r="B155" s="61" t="s">
        <v>396</v>
      </c>
      <c r="C155" s="61" t="s">
        <v>591</v>
      </c>
      <c r="D155" s="61" t="s">
        <v>592</v>
      </c>
      <c r="E155" s="1" t="s">
        <v>870</v>
      </c>
      <c r="F155" s="62" t="str">
        <f t="shared" si="38"/>
        <v>20121</v>
      </c>
      <c r="G155" s="1">
        <v>10620121</v>
      </c>
      <c r="H155" s="1" t="s">
        <v>387</v>
      </c>
      <c r="I155" s="61">
        <v>12</v>
      </c>
      <c r="J155" s="61">
        <v>7.3</v>
      </c>
      <c r="K155" s="61">
        <v>9</v>
      </c>
      <c r="L155" s="69">
        <f t="shared" si="28"/>
        <v>0.87599999999999989</v>
      </c>
      <c r="M155" s="69">
        <f t="shared" si="29"/>
        <v>1.08</v>
      </c>
      <c r="N155" s="56">
        <f>INDEX(Rate_Chart!$A$1:$AK$127,MATCH(Data!J155,Rate_Chart!$A$1:$A$127,0),MATCH(Data!K155,Rate_Chart!$A$1:$AK$1,0))</f>
        <v>60.954999999999998</v>
      </c>
      <c r="O155" s="57">
        <f t="shared" si="30"/>
        <v>731.46</v>
      </c>
      <c r="P155" s="58">
        <f t="shared" si="31"/>
        <v>458.30827067669168</v>
      </c>
      <c r="Q155" s="58">
        <f t="shared" si="32"/>
        <v>305.53884711779443</v>
      </c>
      <c r="R155" s="66">
        <f t="shared" si="39"/>
        <v>12.800550000000001</v>
      </c>
      <c r="S155" s="64">
        <f t="shared" si="33"/>
        <v>45</v>
      </c>
      <c r="T155" s="66">
        <f t="shared" si="34"/>
        <v>789.26055000000008</v>
      </c>
      <c r="U155" s="68">
        <f t="shared" si="35"/>
        <v>65.771712500000007</v>
      </c>
      <c r="V155" s="68">
        <f t="shared" si="36"/>
        <v>494.52415413533839</v>
      </c>
      <c r="W155" s="68">
        <f t="shared" si="37"/>
        <v>329.68276942355891</v>
      </c>
    </row>
    <row r="156" spans="1:23" x14ac:dyDescent="0.25">
      <c r="A156" s="169" t="s">
        <v>890</v>
      </c>
      <c r="B156" s="61" t="s">
        <v>396</v>
      </c>
      <c r="C156" s="61" t="s">
        <v>591</v>
      </c>
      <c r="D156" s="61" t="s">
        <v>592</v>
      </c>
      <c r="E156" s="1" t="s">
        <v>870</v>
      </c>
      <c r="F156" s="62" t="str">
        <f t="shared" si="38"/>
        <v>20121</v>
      </c>
      <c r="G156" s="1">
        <v>10620121</v>
      </c>
      <c r="H156" s="1" t="s">
        <v>388</v>
      </c>
      <c r="I156" s="61">
        <v>59</v>
      </c>
      <c r="J156" s="61">
        <v>3.6</v>
      </c>
      <c r="K156" s="61">
        <v>8.1999999999999993</v>
      </c>
      <c r="L156" s="69">
        <f t="shared" si="28"/>
        <v>2.1240000000000001</v>
      </c>
      <c r="M156" s="69">
        <f t="shared" si="29"/>
        <v>4.8379999999999992</v>
      </c>
      <c r="N156" s="56">
        <f>INDEX(Rate_Chart!$A$1:$AK$127,MATCH(Data!J156,Rate_Chart!$A$1:$A$127,0),MATCH(Data!K156,Rate_Chart!$A$1:$AK$1,0))</f>
        <v>37.809139800000004</v>
      </c>
      <c r="O156" s="57">
        <f t="shared" si="30"/>
        <v>2230.7392482</v>
      </c>
      <c r="P156" s="58">
        <f t="shared" si="31"/>
        <v>417.01257132352941</v>
      </c>
      <c r="Q156" s="58">
        <f t="shared" si="32"/>
        <v>278.00838088235292</v>
      </c>
      <c r="R156" s="66">
        <f t="shared" si="39"/>
        <v>39.037936843500006</v>
      </c>
      <c r="S156" s="64">
        <f t="shared" si="33"/>
        <v>221.25</v>
      </c>
      <c r="T156" s="66">
        <f t="shared" si="34"/>
        <v>2491.0271850435001</v>
      </c>
      <c r="U156" s="68">
        <f t="shared" si="35"/>
        <v>42.220799746499999</v>
      </c>
      <c r="V156" s="68">
        <f t="shared" si="36"/>
        <v>465.6705854393382</v>
      </c>
      <c r="W156" s="68">
        <f t="shared" si="37"/>
        <v>310.44705695955878</v>
      </c>
    </row>
    <row r="157" spans="1:23" x14ac:dyDescent="0.25">
      <c r="A157" s="169" t="s">
        <v>890</v>
      </c>
      <c r="B157" s="61" t="s">
        <v>397</v>
      </c>
      <c r="C157" s="61" t="s">
        <v>591</v>
      </c>
      <c r="D157" s="61" t="s">
        <v>592</v>
      </c>
      <c r="E157" s="1" t="s">
        <v>870</v>
      </c>
      <c r="F157" s="62" t="str">
        <f t="shared" si="38"/>
        <v>20121</v>
      </c>
      <c r="G157" s="1">
        <v>10620121</v>
      </c>
      <c r="H157" s="1" t="s">
        <v>387</v>
      </c>
      <c r="I157" s="61">
        <v>16</v>
      </c>
      <c r="J157" s="61">
        <v>5.6</v>
      </c>
      <c r="K157" s="61">
        <v>8.8000000000000007</v>
      </c>
      <c r="L157" s="69">
        <f t="shared" si="28"/>
        <v>0.89599999999999991</v>
      </c>
      <c r="M157" s="69">
        <f t="shared" si="29"/>
        <v>1.4080000000000001</v>
      </c>
      <c r="N157" s="56">
        <f>INDEX(Rate_Chart!$A$1:$AK$127,MATCH(Data!J157,Rate_Chart!$A$1:$A$127,0),MATCH(Data!K157,Rate_Chart!$A$1:$AK$1,0))</f>
        <v>46.292400000000001</v>
      </c>
      <c r="O157" s="57">
        <f t="shared" si="30"/>
        <v>740.67840000000001</v>
      </c>
      <c r="P157" s="58">
        <f t="shared" si="31"/>
        <v>403.71279069767445</v>
      </c>
      <c r="Q157" s="58">
        <f t="shared" si="32"/>
        <v>269.14186046511628</v>
      </c>
      <c r="R157" s="66">
        <f t="shared" si="39"/>
        <v>12.961872000000001</v>
      </c>
      <c r="S157" s="64">
        <f t="shared" si="33"/>
        <v>60</v>
      </c>
      <c r="T157" s="66">
        <f t="shared" si="34"/>
        <v>813.64027199999998</v>
      </c>
      <c r="U157" s="68">
        <f t="shared" si="35"/>
        <v>50.852516999999999</v>
      </c>
      <c r="V157" s="68">
        <f t="shared" si="36"/>
        <v>443.48125290697675</v>
      </c>
      <c r="W157" s="68">
        <f t="shared" si="37"/>
        <v>295.65416860465115</v>
      </c>
    </row>
    <row r="158" spans="1:23" x14ac:dyDescent="0.25">
      <c r="A158" s="169" t="s">
        <v>890</v>
      </c>
      <c r="B158" s="61" t="s">
        <v>397</v>
      </c>
      <c r="C158" s="61" t="s">
        <v>591</v>
      </c>
      <c r="D158" s="61" t="s">
        <v>592</v>
      </c>
      <c r="E158" s="1" t="s">
        <v>870</v>
      </c>
      <c r="F158" s="62" t="str">
        <f t="shared" si="38"/>
        <v>20121</v>
      </c>
      <c r="G158" s="1">
        <v>10620121</v>
      </c>
      <c r="H158" s="1" t="s">
        <v>388</v>
      </c>
      <c r="I158" s="61">
        <v>54</v>
      </c>
      <c r="J158" s="61">
        <v>3.7</v>
      </c>
      <c r="K158" s="61">
        <v>8.1999999999999993</v>
      </c>
      <c r="L158" s="69">
        <f t="shared" si="28"/>
        <v>1.9980000000000002</v>
      </c>
      <c r="M158" s="69">
        <f t="shared" si="29"/>
        <v>4.4279999999999999</v>
      </c>
      <c r="N158" s="56">
        <f>INDEX(Rate_Chart!$A$1:$AK$127,MATCH(Data!J158,Rate_Chart!$A$1:$A$127,0),MATCH(Data!K158,Rate_Chart!$A$1:$AK$1,0))</f>
        <v>38.226139799999999</v>
      </c>
      <c r="O158" s="57">
        <f t="shared" si="30"/>
        <v>2064.2115491999998</v>
      </c>
      <c r="P158" s="58">
        <f t="shared" si="31"/>
        <v>417.01243418181815</v>
      </c>
      <c r="Q158" s="58">
        <f t="shared" si="32"/>
        <v>278.00828945454543</v>
      </c>
      <c r="R158" s="66">
        <f t="shared" si="39"/>
        <v>36.123702111</v>
      </c>
      <c r="S158" s="64">
        <f t="shared" si="33"/>
        <v>202.5</v>
      </c>
      <c r="T158" s="66">
        <f t="shared" si="34"/>
        <v>2302.8352513109999</v>
      </c>
      <c r="U158" s="68">
        <f t="shared" si="35"/>
        <v>42.645097246500001</v>
      </c>
      <c r="V158" s="68">
        <f t="shared" si="36"/>
        <v>465.21924268909089</v>
      </c>
      <c r="W158" s="68">
        <f t="shared" si="37"/>
        <v>310.14616179272724</v>
      </c>
    </row>
    <row r="159" spans="1:23" x14ac:dyDescent="0.25">
      <c r="A159" s="169" t="s">
        <v>891</v>
      </c>
      <c r="B159" s="61" t="s">
        <v>396</v>
      </c>
      <c r="C159" s="61" t="s">
        <v>591</v>
      </c>
      <c r="D159" s="61" t="s">
        <v>592</v>
      </c>
      <c r="E159" s="1" t="s">
        <v>870</v>
      </c>
      <c r="F159" s="62" t="str">
        <f t="shared" si="38"/>
        <v>20121</v>
      </c>
      <c r="G159" s="1">
        <v>10620121</v>
      </c>
      <c r="H159" s="1" t="s">
        <v>387</v>
      </c>
      <c r="I159" s="61">
        <v>18</v>
      </c>
      <c r="J159" s="61">
        <v>6.6</v>
      </c>
      <c r="K159" s="61">
        <v>9</v>
      </c>
      <c r="L159" s="69">
        <f t="shared" si="28"/>
        <v>1.1879999999999999</v>
      </c>
      <c r="M159" s="69">
        <f t="shared" si="29"/>
        <v>1.62</v>
      </c>
      <c r="N159" s="56">
        <f>INDEX(Rate_Chart!$A$1:$AK$127,MATCH(Data!J159,Rate_Chart!$A$1:$A$127,0),MATCH(Data!K159,Rate_Chart!$A$1:$AK$1,0))</f>
        <v>55.11</v>
      </c>
      <c r="O159" s="57">
        <f t="shared" si="30"/>
        <v>991.98</v>
      </c>
      <c r="P159" s="58">
        <f t="shared" si="31"/>
        <v>437.38095238095235</v>
      </c>
      <c r="Q159" s="58">
        <f t="shared" si="32"/>
        <v>291.58730158730157</v>
      </c>
      <c r="R159" s="66">
        <f t="shared" si="39"/>
        <v>17.359650000000002</v>
      </c>
      <c r="S159" s="64">
        <f t="shared" si="33"/>
        <v>67.5</v>
      </c>
      <c r="T159" s="66">
        <f t="shared" si="34"/>
        <v>1076.8396500000001</v>
      </c>
      <c r="U159" s="68">
        <f t="shared" si="35"/>
        <v>59.824425000000005</v>
      </c>
      <c r="V159" s="68">
        <f t="shared" si="36"/>
        <v>474.79702380952386</v>
      </c>
      <c r="W159" s="68">
        <f t="shared" si="37"/>
        <v>316.53134920634926</v>
      </c>
    </row>
    <row r="160" spans="1:23" x14ac:dyDescent="0.25">
      <c r="A160" s="169" t="s">
        <v>891</v>
      </c>
      <c r="B160" s="61" t="s">
        <v>396</v>
      </c>
      <c r="C160" s="61" t="s">
        <v>591</v>
      </c>
      <c r="D160" s="61" t="s">
        <v>592</v>
      </c>
      <c r="E160" s="1" t="s">
        <v>870</v>
      </c>
      <c r="F160" s="62" t="str">
        <f t="shared" si="38"/>
        <v>20121</v>
      </c>
      <c r="G160" s="1">
        <v>10620121</v>
      </c>
      <c r="H160" s="1" t="s">
        <v>388</v>
      </c>
      <c r="I160" s="61">
        <v>68</v>
      </c>
      <c r="J160" s="61">
        <v>3.6</v>
      </c>
      <c r="K160" s="61">
        <v>8.1999999999999993</v>
      </c>
      <c r="L160" s="69">
        <f t="shared" si="28"/>
        <v>2.448</v>
      </c>
      <c r="M160" s="69">
        <f t="shared" si="29"/>
        <v>5.5759999999999987</v>
      </c>
      <c r="N160" s="56">
        <f>INDEX(Rate_Chart!$A$1:$AK$127,MATCH(Data!J160,Rate_Chart!$A$1:$A$127,0),MATCH(Data!K160,Rate_Chart!$A$1:$AK$1,0))</f>
        <v>37.809139800000004</v>
      </c>
      <c r="O160" s="57">
        <f t="shared" si="30"/>
        <v>2571.0215064000004</v>
      </c>
      <c r="P160" s="58">
        <f t="shared" si="31"/>
        <v>417.01257132352941</v>
      </c>
      <c r="Q160" s="58">
        <f t="shared" si="32"/>
        <v>278.00838088235292</v>
      </c>
      <c r="R160" s="66">
        <f t="shared" si="39"/>
        <v>44.992876362000011</v>
      </c>
      <c r="S160" s="64">
        <f t="shared" si="33"/>
        <v>255</v>
      </c>
      <c r="T160" s="66">
        <f t="shared" si="34"/>
        <v>2871.0143827620004</v>
      </c>
      <c r="U160" s="68">
        <f t="shared" si="35"/>
        <v>42.220799746500006</v>
      </c>
      <c r="V160" s="68">
        <f t="shared" si="36"/>
        <v>465.67058543933825</v>
      </c>
      <c r="W160" s="68">
        <f t="shared" si="37"/>
        <v>310.44705695955884</v>
      </c>
    </row>
    <row r="161" spans="1:23" x14ac:dyDescent="0.25">
      <c r="A161" s="169" t="s">
        <v>891</v>
      </c>
      <c r="B161" s="61" t="s">
        <v>397</v>
      </c>
      <c r="C161" s="61" t="s">
        <v>591</v>
      </c>
      <c r="D161" s="61" t="s">
        <v>592</v>
      </c>
      <c r="E161" s="1" t="s">
        <v>870</v>
      </c>
      <c r="F161" s="62" t="str">
        <f t="shared" si="38"/>
        <v>20121</v>
      </c>
      <c r="G161" s="1">
        <v>10620121</v>
      </c>
      <c r="H161" s="1" t="s">
        <v>387</v>
      </c>
      <c r="I161" s="61">
        <v>11</v>
      </c>
      <c r="J161" s="61">
        <v>6</v>
      </c>
      <c r="K161" s="61">
        <v>8.8000000000000007</v>
      </c>
      <c r="L161" s="69">
        <f t="shared" ref="L161:L224" si="40">J161*I161/100</f>
        <v>0.66</v>
      </c>
      <c r="M161" s="69">
        <f t="shared" ref="M161:M224" si="41">K161*I161/100</f>
        <v>0.96800000000000008</v>
      </c>
      <c r="N161" s="56">
        <f>INDEX(Rate_Chart!$A$1:$AK$127,MATCH(Data!J161,Rate_Chart!$A$1:$A$127,0),MATCH(Data!K161,Rate_Chart!$A$1:$AK$1,0))</f>
        <v>49.599000000000004</v>
      </c>
      <c r="O161" s="57">
        <f t="shared" ref="O161:O224" si="42">N161*I161</f>
        <v>545.58900000000006</v>
      </c>
      <c r="P161" s="58">
        <f t="shared" ref="P161:P224" si="43">N161/(J161%+K161%*2/3)</f>
        <v>417.96910112359552</v>
      </c>
      <c r="Q161" s="58">
        <f t="shared" ref="Q161:Q224" si="44">P161*2/3</f>
        <v>278.64606741573033</v>
      </c>
      <c r="R161" s="66">
        <f t="shared" si="39"/>
        <v>9.5478075000000011</v>
      </c>
      <c r="S161" s="64">
        <f t="shared" ref="S161:S224" si="45">I161*3.75</f>
        <v>41.25</v>
      </c>
      <c r="T161" s="66">
        <f t="shared" ref="T161:T224" si="46">R161+S161+O161</f>
        <v>596.38680750000003</v>
      </c>
      <c r="U161" s="68">
        <f t="shared" ref="U161:U224" si="47">T161/I161</f>
        <v>54.2169825</v>
      </c>
      <c r="V161" s="68">
        <f t="shared" ref="V161:V224" si="48">U161/(J161%+K161%*2/3)</f>
        <v>456.88468398876404</v>
      </c>
      <c r="W161" s="68">
        <f t="shared" ref="W161:W224" si="49">V161*2/3</f>
        <v>304.58978932584267</v>
      </c>
    </row>
    <row r="162" spans="1:23" x14ac:dyDescent="0.25">
      <c r="A162" s="169" t="s">
        <v>891</v>
      </c>
      <c r="B162" s="61" t="s">
        <v>397</v>
      </c>
      <c r="C162" s="61" t="s">
        <v>591</v>
      </c>
      <c r="D162" s="61" t="s">
        <v>592</v>
      </c>
      <c r="E162" s="1" t="s">
        <v>870</v>
      </c>
      <c r="F162" s="62" t="str">
        <f t="shared" si="38"/>
        <v>20121</v>
      </c>
      <c r="G162" s="1">
        <v>10620121</v>
      </c>
      <c r="H162" s="1" t="s">
        <v>388</v>
      </c>
      <c r="I162" s="61">
        <v>64</v>
      </c>
      <c r="J162" s="61">
        <v>3.5</v>
      </c>
      <c r="K162" s="61">
        <v>8.1</v>
      </c>
      <c r="L162" s="69">
        <f t="shared" si="40"/>
        <v>2.2400000000000002</v>
      </c>
      <c r="M162" s="69">
        <f t="shared" si="41"/>
        <v>5.1840000000000002</v>
      </c>
      <c r="N162" s="56">
        <f>INDEX(Rate_Chart!$A$1:$AK$127,MATCH(Data!J162,Rate_Chart!$A$1:$A$127,0),MATCH(Data!K162,Rate_Chart!$A$1:$AK$1,0))</f>
        <v>37.114125900000005</v>
      </c>
      <c r="O162" s="57">
        <f t="shared" si="42"/>
        <v>2375.3040576000003</v>
      </c>
      <c r="P162" s="58">
        <f t="shared" si="43"/>
        <v>417.01265056179784</v>
      </c>
      <c r="Q162" s="58">
        <f t="shared" si="44"/>
        <v>278.00843370786521</v>
      </c>
      <c r="R162" s="66">
        <f t="shared" si="39"/>
        <v>41.56782100800001</v>
      </c>
      <c r="S162" s="64">
        <f t="shared" si="45"/>
        <v>240</v>
      </c>
      <c r="T162" s="66">
        <f t="shared" si="46"/>
        <v>2656.8718786080003</v>
      </c>
      <c r="U162" s="68">
        <f t="shared" si="47"/>
        <v>41.513623103250005</v>
      </c>
      <c r="V162" s="68">
        <f t="shared" si="48"/>
        <v>466.44520340730344</v>
      </c>
      <c r="W162" s="68">
        <f t="shared" si="49"/>
        <v>310.96346893820231</v>
      </c>
    </row>
    <row r="163" spans="1:23" x14ac:dyDescent="0.25">
      <c r="A163" s="169" t="s">
        <v>892</v>
      </c>
      <c r="B163" s="61" t="s">
        <v>396</v>
      </c>
      <c r="C163" s="61" t="s">
        <v>591</v>
      </c>
      <c r="D163" s="61" t="s">
        <v>592</v>
      </c>
      <c r="E163" s="1" t="s">
        <v>870</v>
      </c>
      <c r="F163" s="62" t="str">
        <f t="shared" si="38"/>
        <v>20121</v>
      </c>
      <c r="G163" s="1">
        <v>10620121</v>
      </c>
      <c r="H163" s="1" t="s">
        <v>387</v>
      </c>
      <c r="I163" s="61">
        <v>17</v>
      </c>
      <c r="J163" s="61">
        <v>7.3</v>
      </c>
      <c r="K163" s="61">
        <v>9</v>
      </c>
      <c r="L163" s="69">
        <f t="shared" si="40"/>
        <v>1.2409999999999999</v>
      </c>
      <c r="M163" s="69">
        <f t="shared" si="41"/>
        <v>1.53</v>
      </c>
      <c r="N163" s="56">
        <f>INDEX(Rate_Chart!$A$1:$AK$127,MATCH(Data!J163,Rate_Chart!$A$1:$A$127,0),MATCH(Data!K163,Rate_Chart!$A$1:$AK$1,0))</f>
        <v>60.954999999999998</v>
      </c>
      <c r="O163" s="57">
        <f t="shared" si="42"/>
        <v>1036.2349999999999</v>
      </c>
      <c r="P163" s="58">
        <f t="shared" si="43"/>
        <v>458.30827067669168</v>
      </c>
      <c r="Q163" s="58">
        <f t="shared" si="44"/>
        <v>305.53884711779443</v>
      </c>
      <c r="R163" s="66">
        <f t="shared" si="39"/>
        <v>18.134112500000001</v>
      </c>
      <c r="S163" s="64">
        <f t="shared" si="45"/>
        <v>63.75</v>
      </c>
      <c r="T163" s="66">
        <f t="shared" si="46"/>
        <v>1118.1191124999998</v>
      </c>
      <c r="U163" s="68">
        <f t="shared" si="47"/>
        <v>65.771712499999992</v>
      </c>
      <c r="V163" s="68">
        <f t="shared" si="48"/>
        <v>494.52415413533828</v>
      </c>
      <c r="W163" s="68">
        <f t="shared" si="49"/>
        <v>329.68276942355885</v>
      </c>
    </row>
    <row r="164" spans="1:23" x14ac:dyDescent="0.25">
      <c r="A164" s="169" t="s">
        <v>892</v>
      </c>
      <c r="B164" s="61" t="s">
        <v>396</v>
      </c>
      <c r="C164" s="61" t="s">
        <v>591</v>
      </c>
      <c r="D164" s="61" t="s">
        <v>592</v>
      </c>
      <c r="E164" s="1" t="s">
        <v>870</v>
      </c>
      <c r="F164" s="62" t="str">
        <f t="shared" si="38"/>
        <v>20121</v>
      </c>
      <c r="G164" s="1">
        <v>10620121</v>
      </c>
      <c r="H164" s="1" t="s">
        <v>388</v>
      </c>
      <c r="I164" s="61">
        <v>59</v>
      </c>
      <c r="J164" s="61">
        <v>4</v>
      </c>
      <c r="K164" s="61">
        <v>8.1999999999999993</v>
      </c>
      <c r="L164" s="69">
        <f t="shared" si="40"/>
        <v>2.36</v>
      </c>
      <c r="M164" s="69">
        <f t="shared" si="41"/>
        <v>4.8379999999999992</v>
      </c>
      <c r="N164" s="56">
        <f>INDEX(Rate_Chart!$A$1:$AK$127,MATCH(Data!J164,Rate_Chart!$A$1:$A$127,0),MATCH(Data!K164,Rate_Chart!$A$1:$AK$1,0))</f>
        <v>39.477139800000003</v>
      </c>
      <c r="O164" s="57">
        <f t="shared" si="42"/>
        <v>2329.1512482000003</v>
      </c>
      <c r="P164" s="58">
        <f t="shared" si="43"/>
        <v>417.0120401408451</v>
      </c>
      <c r="Q164" s="58">
        <f t="shared" si="44"/>
        <v>278.00802676056338</v>
      </c>
      <c r="R164" s="66">
        <f t="shared" si="39"/>
        <v>40.76014684350001</v>
      </c>
      <c r="S164" s="64">
        <f t="shared" si="45"/>
        <v>221.25</v>
      </c>
      <c r="T164" s="66">
        <f t="shared" si="46"/>
        <v>2591.1613950435003</v>
      </c>
      <c r="U164" s="68">
        <f t="shared" si="47"/>
        <v>43.917989746500005</v>
      </c>
      <c r="V164" s="68">
        <f t="shared" si="48"/>
        <v>463.92242689964797</v>
      </c>
      <c r="W164" s="68">
        <f t="shared" si="49"/>
        <v>309.28161793309863</v>
      </c>
    </row>
    <row r="165" spans="1:23" x14ac:dyDescent="0.25">
      <c r="A165" s="169" t="s">
        <v>892</v>
      </c>
      <c r="B165" s="61" t="s">
        <v>397</v>
      </c>
      <c r="C165" s="61" t="s">
        <v>591</v>
      </c>
      <c r="D165" s="61" t="s">
        <v>592</v>
      </c>
      <c r="E165" s="1" t="s">
        <v>870</v>
      </c>
      <c r="F165" s="62" t="str">
        <f t="shared" si="38"/>
        <v>20121</v>
      </c>
      <c r="G165" s="1">
        <v>10620121</v>
      </c>
      <c r="H165" s="1" t="s">
        <v>387</v>
      </c>
      <c r="I165" s="61">
        <v>15</v>
      </c>
      <c r="J165" s="61">
        <v>5.8</v>
      </c>
      <c r="K165" s="61">
        <v>8.8000000000000007</v>
      </c>
      <c r="L165" s="69">
        <f t="shared" si="40"/>
        <v>0.87</v>
      </c>
      <c r="M165" s="69">
        <f t="shared" si="41"/>
        <v>1.32</v>
      </c>
      <c r="N165" s="56">
        <f>INDEX(Rate_Chart!$A$1:$AK$127,MATCH(Data!J165,Rate_Chart!$A$1:$A$127,0),MATCH(Data!K165,Rate_Chart!$A$1:$AK$1,0))</f>
        <v>47.945700000000002</v>
      </c>
      <c r="O165" s="57">
        <f t="shared" si="42"/>
        <v>719.18550000000005</v>
      </c>
      <c r="P165" s="58">
        <f t="shared" si="43"/>
        <v>410.96314285714288</v>
      </c>
      <c r="Q165" s="58">
        <f t="shared" si="44"/>
        <v>273.97542857142861</v>
      </c>
      <c r="R165" s="66">
        <f t="shared" si="39"/>
        <v>12.585746250000001</v>
      </c>
      <c r="S165" s="64">
        <f t="shared" si="45"/>
        <v>56.25</v>
      </c>
      <c r="T165" s="66">
        <f t="shared" si="46"/>
        <v>788.0212462500001</v>
      </c>
      <c r="U165" s="68">
        <f t="shared" si="47"/>
        <v>52.53474975000001</v>
      </c>
      <c r="V165" s="68">
        <f t="shared" si="48"/>
        <v>450.29785500000008</v>
      </c>
      <c r="W165" s="68">
        <f t="shared" si="49"/>
        <v>300.19857000000007</v>
      </c>
    </row>
    <row r="166" spans="1:23" x14ac:dyDescent="0.25">
      <c r="A166" s="169" t="s">
        <v>892</v>
      </c>
      <c r="B166" s="61" t="s">
        <v>397</v>
      </c>
      <c r="C166" s="61" t="s">
        <v>591</v>
      </c>
      <c r="D166" s="61" t="s">
        <v>592</v>
      </c>
      <c r="E166" s="1" t="s">
        <v>870</v>
      </c>
      <c r="F166" s="62" t="str">
        <f t="shared" si="38"/>
        <v>20121</v>
      </c>
      <c r="G166" s="1">
        <v>10620121</v>
      </c>
      <c r="H166" s="1" t="s">
        <v>388</v>
      </c>
      <c r="I166" s="61">
        <v>56</v>
      </c>
      <c r="J166" s="61">
        <v>3.7</v>
      </c>
      <c r="K166" s="61">
        <v>8.4</v>
      </c>
      <c r="L166" s="69">
        <f t="shared" si="40"/>
        <v>2.0720000000000001</v>
      </c>
      <c r="M166" s="69">
        <f t="shared" si="41"/>
        <v>4.7040000000000006</v>
      </c>
      <c r="N166" s="56">
        <f>INDEX(Rate_Chart!$A$1:$AK$127,MATCH(Data!J166,Rate_Chart!$A$1:$A$127,0),MATCH(Data!K166,Rate_Chart!$A$1:$AK$1,0))</f>
        <v>38.782167600000008</v>
      </c>
      <c r="O166" s="57">
        <f t="shared" si="42"/>
        <v>2171.8013856000007</v>
      </c>
      <c r="P166" s="58">
        <f t="shared" si="43"/>
        <v>417.01255483870978</v>
      </c>
      <c r="Q166" s="58">
        <f t="shared" si="44"/>
        <v>278.00836989247318</v>
      </c>
      <c r="R166" s="66">
        <f t="shared" si="39"/>
        <v>38.006524248000012</v>
      </c>
      <c r="S166" s="64">
        <f t="shared" si="45"/>
        <v>210</v>
      </c>
      <c r="T166" s="66">
        <f t="shared" si="46"/>
        <v>2419.8079098480007</v>
      </c>
      <c r="U166" s="68">
        <f t="shared" si="47"/>
        <v>43.210855533000014</v>
      </c>
      <c r="V166" s="68">
        <f t="shared" si="48"/>
        <v>464.63285519354855</v>
      </c>
      <c r="W166" s="68">
        <f t="shared" si="49"/>
        <v>309.75523679569903</v>
      </c>
    </row>
    <row r="167" spans="1:23" x14ac:dyDescent="0.25">
      <c r="A167" s="169" t="s">
        <v>893</v>
      </c>
      <c r="B167" s="61" t="s">
        <v>396</v>
      </c>
      <c r="C167" s="61" t="s">
        <v>591</v>
      </c>
      <c r="D167" s="61" t="s">
        <v>592</v>
      </c>
      <c r="E167" s="1" t="s">
        <v>870</v>
      </c>
      <c r="F167" s="62" t="str">
        <f t="shared" si="38"/>
        <v>20121</v>
      </c>
      <c r="G167" s="1">
        <v>10620121</v>
      </c>
      <c r="H167" s="1" t="s">
        <v>387</v>
      </c>
      <c r="I167" s="61">
        <v>12</v>
      </c>
      <c r="J167" s="61">
        <v>6.7</v>
      </c>
      <c r="K167" s="61">
        <v>9</v>
      </c>
      <c r="L167" s="69">
        <f t="shared" si="40"/>
        <v>0.80400000000000005</v>
      </c>
      <c r="M167" s="69">
        <f t="shared" si="41"/>
        <v>1.08</v>
      </c>
      <c r="N167" s="56">
        <f>INDEX(Rate_Chart!$A$1:$AK$127,MATCH(Data!J167,Rate_Chart!$A$1:$A$127,0),MATCH(Data!K167,Rate_Chart!$A$1:$AK$1,0))</f>
        <v>55.945</v>
      </c>
      <c r="O167" s="57">
        <f t="shared" si="42"/>
        <v>671.34</v>
      </c>
      <c r="P167" s="58">
        <f t="shared" si="43"/>
        <v>440.51181102362204</v>
      </c>
      <c r="Q167" s="58">
        <f t="shared" si="44"/>
        <v>293.67454068241472</v>
      </c>
      <c r="R167" s="66">
        <f t="shared" si="39"/>
        <v>11.748450000000002</v>
      </c>
      <c r="S167" s="64">
        <f t="shared" si="45"/>
        <v>45</v>
      </c>
      <c r="T167" s="66">
        <f t="shared" si="46"/>
        <v>728.08845000000008</v>
      </c>
      <c r="U167" s="68">
        <f t="shared" si="47"/>
        <v>60.674037500000004</v>
      </c>
      <c r="V167" s="68">
        <f t="shared" si="48"/>
        <v>477.74832677165358</v>
      </c>
      <c r="W167" s="68">
        <f t="shared" si="49"/>
        <v>318.4988845144357</v>
      </c>
    </row>
    <row r="168" spans="1:23" x14ac:dyDescent="0.25">
      <c r="A168" s="169" t="s">
        <v>893</v>
      </c>
      <c r="B168" s="61" t="s">
        <v>396</v>
      </c>
      <c r="C168" s="61" t="s">
        <v>591</v>
      </c>
      <c r="D168" s="61" t="s">
        <v>592</v>
      </c>
      <c r="E168" s="1" t="s">
        <v>870</v>
      </c>
      <c r="F168" s="62" t="str">
        <f t="shared" si="38"/>
        <v>20121</v>
      </c>
      <c r="G168" s="1">
        <v>10620121</v>
      </c>
      <c r="H168" s="1" t="s">
        <v>388</v>
      </c>
      <c r="I168" s="61">
        <v>73</v>
      </c>
      <c r="J168" s="61">
        <v>3.7</v>
      </c>
      <c r="K168" s="61">
        <v>8.1</v>
      </c>
      <c r="L168" s="69">
        <f t="shared" si="40"/>
        <v>2.7010000000000001</v>
      </c>
      <c r="M168" s="69">
        <f t="shared" si="41"/>
        <v>5.9129999999999994</v>
      </c>
      <c r="N168" s="56">
        <f>INDEX(Rate_Chart!$A$1:$AK$127,MATCH(Data!J168,Rate_Chart!$A$1:$A$127,0),MATCH(Data!K168,Rate_Chart!$A$1:$AK$1,0))</f>
        <v>37.948125900000008</v>
      </c>
      <c r="O168" s="57">
        <f t="shared" si="42"/>
        <v>2770.2131907000007</v>
      </c>
      <c r="P168" s="58">
        <f t="shared" si="43"/>
        <v>417.01237252747262</v>
      </c>
      <c r="Q168" s="58">
        <f t="shared" si="44"/>
        <v>278.00824835164843</v>
      </c>
      <c r="R168" s="66">
        <f t="shared" si="39"/>
        <v>48.478730837250019</v>
      </c>
      <c r="S168" s="64">
        <f t="shared" si="45"/>
        <v>273.75</v>
      </c>
      <c r="T168" s="66">
        <f t="shared" si="46"/>
        <v>3092.4419215372509</v>
      </c>
      <c r="U168" s="68">
        <f t="shared" si="47"/>
        <v>42.362218103250015</v>
      </c>
      <c r="V168" s="68">
        <f t="shared" si="48"/>
        <v>465.51888025549471</v>
      </c>
      <c r="W168" s="68">
        <f t="shared" si="49"/>
        <v>310.3459201703298</v>
      </c>
    </row>
    <row r="169" spans="1:23" x14ac:dyDescent="0.25">
      <c r="A169" s="169" t="s">
        <v>893</v>
      </c>
      <c r="B169" s="61" t="s">
        <v>397</v>
      </c>
      <c r="C169" s="61" t="s">
        <v>591</v>
      </c>
      <c r="D169" s="61" t="s">
        <v>592</v>
      </c>
      <c r="E169" s="1" t="s">
        <v>870</v>
      </c>
      <c r="F169" s="62" t="str">
        <f t="shared" si="38"/>
        <v>20121</v>
      </c>
      <c r="G169" s="1">
        <v>10620121</v>
      </c>
      <c r="H169" s="1" t="s">
        <v>387</v>
      </c>
      <c r="I169" s="61">
        <v>6</v>
      </c>
      <c r="J169" s="61">
        <v>6.2</v>
      </c>
      <c r="K169" s="61">
        <v>9</v>
      </c>
      <c r="L169" s="69">
        <f t="shared" si="40"/>
        <v>0.37200000000000005</v>
      </c>
      <c r="M169" s="69">
        <f t="shared" si="41"/>
        <v>0.54</v>
      </c>
      <c r="N169" s="56">
        <f>INDEX(Rate_Chart!$A$1:$AK$127,MATCH(Data!J169,Rate_Chart!$A$1:$A$127,0),MATCH(Data!K169,Rate_Chart!$A$1:$AK$1,0))</f>
        <v>51.77</v>
      </c>
      <c r="O169" s="57">
        <f t="shared" si="42"/>
        <v>310.62</v>
      </c>
      <c r="P169" s="58">
        <f t="shared" si="43"/>
        <v>424.34426229508199</v>
      </c>
      <c r="Q169" s="58">
        <f t="shared" si="44"/>
        <v>282.89617486338801</v>
      </c>
      <c r="R169" s="66">
        <f t="shared" si="39"/>
        <v>5.4358500000000003</v>
      </c>
      <c r="S169" s="64">
        <f t="shared" si="45"/>
        <v>22.5</v>
      </c>
      <c r="T169" s="66">
        <f t="shared" si="46"/>
        <v>338.55585000000002</v>
      </c>
      <c r="U169" s="68">
        <f t="shared" si="47"/>
        <v>56.425975000000001</v>
      </c>
      <c r="V169" s="68">
        <f t="shared" si="48"/>
        <v>462.50799180327868</v>
      </c>
      <c r="W169" s="68">
        <f t="shared" si="49"/>
        <v>308.33866120218579</v>
      </c>
    </row>
    <row r="170" spans="1:23" x14ac:dyDescent="0.25">
      <c r="A170" s="169" t="s">
        <v>893</v>
      </c>
      <c r="B170" s="61" t="s">
        <v>397</v>
      </c>
      <c r="C170" s="61" t="s">
        <v>591</v>
      </c>
      <c r="D170" s="61" t="s">
        <v>592</v>
      </c>
      <c r="E170" s="1" t="s">
        <v>870</v>
      </c>
      <c r="F170" s="62" t="str">
        <f t="shared" si="38"/>
        <v>20121</v>
      </c>
      <c r="G170" s="1">
        <v>10620121</v>
      </c>
      <c r="H170" s="1" t="s">
        <v>388</v>
      </c>
      <c r="I170" s="61">
        <v>52</v>
      </c>
      <c r="J170" s="61">
        <v>3.4</v>
      </c>
      <c r="K170" s="61">
        <v>8</v>
      </c>
      <c r="L170" s="69">
        <f t="shared" si="40"/>
        <v>1.7679999999999998</v>
      </c>
      <c r="M170" s="69">
        <f t="shared" si="41"/>
        <v>4.16</v>
      </c>
      <c r="N170" s="56">
        <f>INDEX(Rate_Chart!$A$1:$AK$127,MATCH(Data!J170,Rate_Chart!$A$1:$A$127,0),MATCH(Data!K170,Rate_Chart!$A$1:$AK$1,0))</f>
        <v>36.419112000000005</v>
      </c>
      <c r="O170" s="57">
        <f t="shared" si="42"/>
        <v>1893.7938240000003</v>
      </c>
      <c r="P170" s="58">
        <f t="shared" si="43"/>
        <v>417.01273282442747</v>
      </c>
      <c r="Q170" s="58">
        <f t="shared" si="44"/>
        <v>278.00848854961833</v>
      </c>
      <c r="R170" s="66">
        <f t="shared" si="39"/>
        <v>33.141391920000011</v>
      </c>
      <c r="S170" s="64">
        <f t="shared" si="45"/>
        <v>195</v>
      </c>
      <c r="T170" s="66">
        <f t="shared" si="46"/>
        <v>2121.9352159200002</v>
      </c>
      <c r="U170" s="68">
        <f t="shared" si="47"/>
        <v>40.806446460000004</v>
      </c>
      <c r="V170" s="68">
        <f t="shared" si="48"/>
        <v>467.24938694656487</v>
      </c>
      <c r="W170" s="68">
        <f t="shared" si="49"/>
        <v>311.49959129770991</v>
      </c>
    </row>
    <row r="171" spans="1:23" x14ac:dyDescent="0.25">
      <c r="A171" s="169" t="s">
        <v>894</v>
      </c>
      <c r="B171" s="61" t="s">
        <v>396</v>
      </c>
      <c r="C171" s="61" t="s">
        <v>591</v>
      </c>
      <c r="D171" s="61" t="s">
        <v>592</v>
      </c>
      <c r="E171" s="1" t="s">
        <v>870</v>
      </c>
      <c r="F171" s="62" t="str">
        <f t="shared" si="38"/>
        <v>20121</v>
      </c>
      <c r="G171" s="1">
        <v>10620121</v>
      </c>
      <c r="H171" s="1" t="s">
        <v>387</v>
      </c>
      <c r="I171" s="61">
        <v>14</v>
      </c>
      <c r="J171" s="61">
        <v>6.9</v>
      </c>
      <c r="K171" s="61">
        <v>9</v>
      </c>
      <c r="L171" s="69">
        <f t="shared" si="40"/>
        <v>0.96600000000000008</v>
      </c>
      <c r="M171" s="69">
        <f t="shared" si="41"/>
        <v>1.26</v>
      </c>
      <c r="N171" s="56">
        <f>INDEX(Rate_Chart!$A$1:$AK$127,MATCH(Data!J171,Rate_Chart!$A$1:$A$127,0),MATCH(Data!K171,Rate_Chart!$A$1:$AK$1,0))</f>
        <v>57.615000000000002</v>
      </c>
      <c r="O171" s="57">
        <f t="shared" si="42"/>
        <v>806.61</v>
      </c>
      <c r="P171" s="58">
        <f t="shared" si="43"/>
        <v>446.62790697674421</v>
      </c>
      <c r="Q171" s="58">
        <f t="shared" si="44"/>
        <v>297.75193798449612</v>
      </c>
      <c r="R171" s="66">
        <f t="shared" si="39"/>
        <v>14.115675000000001</v>
      </c>
      <c r="S171" s="64">
        <f t="shared" si="45"/>
        <v>52.5</v>
      </c>
      <c r="T171" s="66">
        <f t="shared" si="46"/>
        <v>873.22567500000002</v>
      </c>
      <c r="U171" s="68">
        <f t="shared" si="47"/>
        <v>62.373262500000003</v>
      </c>
      <c r="V171" s="68">
        <f t="shared" si="48"/>
        <v>483.51366279069771</v>
      </c>
      <c r="W171" s="68">
        <f t="shared" si="49"/>
        <v>322.34244186046516</v>
      </c>
    </row>
    <row r="172" spans="1:23" x14ac:dyDescent="0.25">
      <c r="A172" s="169" t="s">
        <v>894</v>
      </c>
      <c r="B172" s="61" t="s">
        <v>396</v>
      </c>
      <c r="C172" s="61" t="s">
        <v>591</v>
      </c>
      <c r="D172" s="61" t="s">
        <v>592</v>
      </c>
      <c r="E172" s="1" t="s">
        <v>870</v>
      </c>
      <c r="F172" s="62" t="str">
        <f t="shared" si="38"/>
        <v>20121</v>
      </c>
      <c r="G172" s="1">
        <v>10620121</v>
      </c>
      <c r="H172" s="1" t="s">
        <v>388</v>
      </c>
      <c r="I172" s="61">
        <v>72</v>
      </c>
      <c r="J172" s="61">
        <v>3.7</v>
      </c>
      <c r="K172" s="61">
        <v>8.1999999999999993</v>
      </c>
      <c r="L172" s="69">
        <f t="shared" si="40"/>
        <v>2.6640000000000001</v>
      </c>
      <c r="M172" s="69">
        <f t="shared" si="41"/>
        <v>5.9039999999999999</v>
      </c>
      <c r="N172" s="56">
        <f>INDEX(Rate_Chart!$A$1:$AK$127,MATCH(Data!J172,Rate_Chart!$A$1:$A$127,0),MATCH(Data!K172,Rate_Chart!$A$1:$AK$1,0))</f>
        <v>38.226139799999999</v>
      </c>
      <c r="O172" s="57">
        <f t="shared" si="42"/>
        <v>2752.2820655999999</v>
      </c>
      <c r="P172" s="58">
        <f t="shared" si="43"/>
        <v>417.01243418181815</v>
      </c>
      <c r="Q172" s="58">
        <f t="shared" si="44"/>
        <v>278.00828945454543</v>
      </c>
      <c r="R172" s="66">
        <f t="shared" si="39"/>
        <v>48.164936148000002</v>
      </c>
      <c r="S172" s="64">
        <f t="shared" si="45"/>
        <v>270</v>
      </c>
      <c r="T172" s="66">
        <f t="shared" si="46"/>
        <v>3070.4470017479998</v>
      </c>
      <c r="U172" s="68">
        <f t="shared" si="47"/>
        <v>42.645097246500001</v>
      </c>
      <c r="V172" s="68">
        <f t="shared" si="48"/>
        <v>465.21924268909089</v>
      </c>
      <c r="W172" s="68">
        <f t="shared" si="49"/>
        <v>310.14616179272724</v>
      </c>
    </row>
    <row r="173" spans="1:23" x14ac:dyDescent="0.25">
      <c r="A173" s="169" t="s">
        <v>894</v>
      </c>
      <c r="B173" s="61" t="s">
        <v>397</v>
      </c>
      <c r="C173" s="61" t="s">
        <v>591</v>
      </c>
      <c r="D173" s="61" t="s">
        <v>592</v>
      </c>
      <c r="E173" s="1" t="s">
        <v>870</v>
      </c>
      <c r="F173" s="62" t="str">
        <f t="shared" si="38"/>
        <v>20121</v>
      </c>
      <c r="G173" s="1">
        <v>10620121</v>
      </c>
      <c r="H173" s="1" t="s">
        <v>387</v>
      </c>
      <c r="I173" s="61">
        <v>10</v>
      </c>
      <c r="J173" s="61">
        <v>6.5</v>
      </c>
      <c r="K173" s="61">
        <v>9</v>
      </c>
      <c r="L173" s="69">
        <f t="shared" si="40"/>
        <v>0.65</v>
      </c>
      <c r="M173" s="69">
        <f t="shared" si="41"/>
        <v>0.9</v>
      </c>
      <c r="N173" s="56">
        <f>INDEX(Rate_Chart!$A$1:$AK$127,MATCH(Data!J173,Rate_Chart!$A$1:$A$127,0),MATCH(Data!K173,Rate_Chart!$A$1:$AK$1,0))</f>
        <v>54.274999999999999</v>
      </c>
      <c r="O173" s="57">
        <f t="shared" si="42"/>
        <v>542.75</v>
      </c>
      <c r="P173" s="58">
        <f t="shared" si="43"/>
        <v>434.2</v>
      </c>
      <c r="Q173" s="58">
        <f t="shared" si="44"/>
        <v>289.46666666666664</v>
      </c>
      <c r="R173" s="66">
        <f t="shared" si="39"/>
        <v>9.4981250000000017</v>
      </c>
      <c r="S173" s="64">
        <f t="shared" si="45"/>
        <v>37.5</v>
      </c>
      <c r="T173" s="66">
        <f t="shared" si="46"/>
        <v>589.74812499999996</v>
      </c>
      <c r="U173" s="68">
        <f t="shared" si="47"/>
        <v>58.974812499999999</v>
      </c>
      <c r="V173" s="68">
        <f t="shared" si="48"/>
        <v>471.79849999999999</v>
      </c>
      <c r="W173" s="68">
        <f t="shared" si="49"/>
        <v>314.53233333333333</v>
      </c>
    </row>
    <row r="174" spans="1:23" x14ac:dyDescent="0.25">
      <c r="A174" s="169" t="s">
        <v>894</v>
      </c>
      <c r="B174" s="61" t="s">
        <v>397</v>
      </c>
      <c r="C174" s="61" t="s">
        <v>591</v>
      </c>
      <c r="D174" s="61" t="s">
        <v>592</v>
      </c>
      <c r="E174" s="1" t="s">
        <v>870</v>
      </c>
      <c r="F174" s="62" t="str">
        <f t="shared" si="38"/>
        <v>20121</v>
      </c>
      <c r="G174" s="1">
        <v>10620121</v>
      </c>
      <c r="H174" s="1" t="s">
        <v>388</v>
      </c>
      <c r="I174" s="61">
        <v>57</v>
      </c>
      <c r="J174" s="61">
        <v>3.8</v>
      </c>
      <c r="K174" s="61">
        <v>8.4</v>
      </c>
      <c r="L174" s="69">
        <f t="shared" si="40"/>
        <v>2.1659999999999999</v>
      </c>
      <c r="M174" s="69">
        <f t="shared" si="41"/>
        <v>4.7880000000000003</v>
      </c>
      <c r="N174" s="56">
        <f>INDEX(Rate_Chart!$A$1:$AK$127,MATCH(Data!J174,Rate_Chart!$A$1:$A$127,0),MATCH(Data!K174,Rate_Chart!$A$1:$AK$1,0))</f>
        <v>39.19916760000001</v>
      </c>
      <c r="O174" s="57">
        <f t="shared" si="42"/>
        <v>2234.3525532000003</v>
      </c>
      <c r="P174" s="58">
        <f t="shared" si="43"/>
        <v>417.01242127659583</v>
      </c>
      <c r="Q174" s="58">
        <f t="shared" si="44"/>
        <v>278.00828085106389</v>
      </c>
      <c r="R174" s="66">
        <f t="shared" si="39"/>
        <v>39.101169681000009</v>
      </c>
      <c r="S174" s="64">
        <f t="shared" si="45"/>
        <v>213.75</v>
      </c>
      <c r="T174" s="66">
        <f t="shared" si="46"/>
        <v>2487.2037228810004</v>
      </c>
      <c r="U174" s="68">
        <f t="shared" si="47"/>
        <v>43.635153033000009</v>
      </c>
      <c r="V174" s="68">
        <f t="shared" si="48"/>
        <v>464.20375567021284</v>
      </c>
      <c r="W174" s="68">
        <f t="shared" si="49"/>
        <v>309.46917044680856</v>
      </c>
    </row>
    <row r="175" spans="1:23" x14ac:dyDescent="0.25">
      <c r="A175" s="169" t="s">
        <v>888</v>
      </c>
      <c r="B175" s="61" t="s">
        <v>396</v>
      </c>
      <c r="C175" s="61" t="s">
        <v>591</v>
      </c>
      <c r="D175" s="61" t="s">
        <v>594</v>
      </c>
      <c r="E175" s="1" t="s">
        <v>859</v>
      </c>
      <c r="F175" s="62" t="str">
        <f t="shared" si="38"/>
        <v>20122</v>
      </c>
      <c r="G175" s="1">
        <v>10620122</v>
      </c>
      <c r="H175" s="1" t="s">
        <v>388</v>
      </c>
      <c r="I175" s="61">
        <v>18</v>
      </c>
      <c r="J175" s="61">
        <v>3</v>
      </c>
      <c r="K175" s="61">
        <v>8</v>
      </c>
      <c r="L175" s="69">
        <f t="shared" si="40"/>
        <v>0.54</v>
      </c>
      <c r="M175" s="69">
        <f t="shared" si="41"/>
        <v>1.44</v>
      </c>
      <c r="N175" s="56">
        <f>INDEX(Rate_Chart!$A$1:$AK$127,MATCH(Data!J175,Rate_Chart!$A$1:$A$127,0),MATCH(Data!K175,Rate_Chart!$A$1:$AK$1,0))</f>
        <v>34.751112000000006</v>
      </c>
      <c r="O175" s="57">
        <f t="shared" si="42"/>
        <v>625.52001600000017</v>
      </c>
      <c r="P175" s="58">
        <f t="shared" si="43"/>
        <v>417.01334400000002</v>
      </c>
      <c r="Q175" s="58">
        <f t="shared" si="44"/>
        <v>278.00889599999999</v>
      </c>
      <c r="R175" s="66">
        <f t="shared" si="39"/>
        <v>10.946600280000004</v>
      </c>
      <c r="S175" s="64">
        <f t="shared" si="45"/>
        <v>67.5</v>
      </c>
      <c r="T175" s="66">
        <f t="shared" si="46"/>
        <v>703.96661628000015</v>
      </c>
      <c r="U175" s="68">
        <f t="shared" si="47"/>
        <v>39.109256460000012</v>
      </c>
      <c r="V175" s="68">
        <f t="shared" si="48"/>
        <v>469.31107752000008</v>
      </c>
      <c r="W175" s="68">
        <f t="shared" si="49"/>
        <v>312.87405168000004</v>
      </c>
    </row>
    <row r="176" spans="1:23" x14ac:dyDescent="0.25">
      <c r="A176" s="169" t="s">
        <v>889</v>
      </c>
      <c r="B176" s="61" t="s">
        <v>396</v>
      </c>
      <c r="C176" s="61" t="s">
        <v>591</v>
      </c>
      <c r="D176" s="61" t="s">
        <v>594</v>
      </c>
      <c r="E176" s="1" t="s">
        <v>859</v>
      </c>
      <c r="F176" s="62" t="str">
        <f t="shared" si="38"/>
        <v>20122</v>
      </c>
      <c r="G176" s="1">
        <v>10620122</v>
      </c>
      <c r="H176" s="1" t="s">
        <v>388</v>
      </c>
      <c r="I176" s="61">
        <v>15</v>
      </c>
      <c r="J176" s="61">
        <v>3</v>
      </c>
      <c r="K176" s="61">
        <v>8</v>
      </c>
      <c r="L176" s="69">
        <f t="shared" si="40"/>
        <v>0.45</v>
      </c>
      <c r="M176" s="69">
        <f t="shared" si="41"/>
        <v>1.2</v>
      </c>
      <c r="N176" s="56">
        <f>INDEX(Rate_Chart!$A$1:$AK$127,MATCH(Data!J176,Rate_Chart!$A$1:$A$127,0),MATCH(Data!K176,Rate_Chart!$A$1:$AK$1,0))</f>
        <v>34.751112000000006</v>
      </c>
      <c r="O176" s="57">
        <f t="shared" si="42"/>
        <v>521.26668000000006</v>
      </c>
      <c r="P176" s="58">
        <f t="shared" si="43"/>
        <v>417.01334400000002</v>
      </c>
      <c r="Q176" s="58">
        <f t="shared" si="44"/>
        <v>278.00889599999999</v>
      </c>
      <c r="R176" s="66">
        <f t="shared" si="39"/>
        <v>9.1221669000000016</v>
      </c>
      <c r="S176" s="64">
        <f t="shared" si="45"/>
        <v>56.25</v>
      </c>
      <c r="T176" s="66">
        <f t="shared" si="46"/>
        <v>586.63884690000009</v>
      </c>
      <c r="U176" s="68">
        <f t="shared" si="47"/>
        <v>39.109256460000005</v>
      </c>
      <c r="V176" s="68">
        <f t="shared" si="48"/>
        <v>469.31107752000003</v>
      </c>
      <c r="W176" s="68">
        <f t="shared" si="49"/>
        <v>312.87405168000004</v>
      </c>
    </row>
    <row r="177" spans="1:23" x14ac:dyDescent="0.25">
      <c r="A177" s="169" t="s">
        <v>890</v>
      </c>
      <c r="B177" s="61" t="s">
        <v>396</v>
      </c>
      <c r="C177" s="61" t="s">
        <v>591</v>
      </c>
      <c r="D177" s="61" t="s">
        <v>594</v>
      </c>
      <c r="E177" s="1" t="s">
        <v>859</v>
      </c>
      <c r="F177" s="62" t="str">
        <f t="shared" si="38"/>
        <v>20122</v>
      </c>
      <c r="G177" s="1">
        <v>10620122</v>
      </c>
      <c r="H177" s="1" t="s">
        <v>388</v>
      </c>
      <c r="I177" s="61">
        <v>15</v>
      </c>
      <c r="J177" s="61">
        <v>3</v>
      </c>
      <c r="K177" s="61">
        <v>8</v>
      </c>
      <c r="L177" s="69">
        <f t="shared" si="40"/>
        <v>0.45</v>
      </c>
      <c r="M177" s="69">
        <f t="shared" si="41"/>
        <v>1.2</v>
      </c>
      <c r="N177" s="56">
        <f>INDEX(Rate_Chart!$A$1:$AK$127,MATCH(Data!J177,Rate_Chart!$A$1:$A$127,0),MATCH(Data!K177,Rate_Chart!$A$1:$AK$1,0))</f>
        <v>34.751112000000006</v>
      </c>
      <c r="O177" s="57">
        <f t="shared" si="42"/>
        <v>521.26668000000006</v>
      </c>
      <c r="P177" s="58">
        <f t="shared" si="43"/>
        <v>417.01334400000002</v>
      </c>
      <c r="Q177" s="58">
        <f t="shared" si="44"/>
        <v>278.00889599999999</v>
      </c>
      <c r="R177" s="66">
        <f t="shared" si="39"/>
        <v>9.1221669000000016</v>
      </c>
      <c r="S177" s="64">
        <f t="shared" si="45"/>
        <v>56.25</v>
      </c>
      <c r="T177" s="66">
        <f t="shared" si="46"/>
        <v>586.63884690000009</v>
      </c>
      <c r="U177" s="68">
        <f t="shared" si="47"/>
        <v>39.109256460000005</v>
      </c>
      <c r="V177" s="68">
        <f t="shared" si="48"/>
        <v>469.31107752000003</v>
      </c>
      <c r="W177" s="68">
        <f t="shared" si="49"/>
        <v>312.87405168000004</v>
      </c>
    </row>
    <row r="178" spans="1:23" x14ac:dyDescent="0.25">
      <c r="A178" s="169" t="s">
        <v>891</v>
      </c>
      <c r="B178" s="61" t="s">
        <v>396</v>
      </c>
      <c r="C178" s="61" t="s">
        <v>591</v>
      </c>
      <c r="D178" s="61" t="s">
        <v>594</v>
      </c>
      <c r="E178" s="1" t="s">
        <v>859</v>
      </c>
      <c r="F178" s="62" t="str">
        <f t="shared" si="38"/>
        <v>20122</v>
      </c>
      <c r="G178" s="1">
        <v>10620122</v>
      </c>
      <c r="H178" s="1" t="s">
        <v>388</v>
      </c>
      <c r="I178" s="61">
        <v>15</v>
      </c>
      <c r="J178" s="61">
        <v>3</v>
      </c>
      <c r="K178" s="61">
        <v>8</v>
      </c>
      <c r="L178" s="69">
        <f t="shared" si="40"/>
        <v>0.45</v>
      </c>
      <c r="M178" s="69">
        <f t="shared" si="41"/>
        <v>1.2</v>
      </c>
      <c r="N178" s="56">
        <f>INDEX(Rate_Chart!$A$1:$AK$127,MATCH(Data!J178,Rate_Chart!$A$1:$A$127,0),MATCH(Data!K178,Rate_Chart!$A$1:$AK$1,0))</f>
        <v>34.751112000000006</v>
      </c>
      <c r="O178" s="57">
        <f t="shared" si="42"/>
        <v>521.26668000000006</v>
      </c>
      <c r="P178" s="58">
        <f t="shared" si="43"/>
        <v>417.01334400000002</v>
      </c>
      <c r="Q178" s="58">
        <f t="shared" si="44"/>
        <v>278.00889599999999</v>
      </c>
      <c r="R178" s="66">
        <f t="shared" si="39"/>
        <v>9.1221669000000016</v>
      </c>
      <c r="S178" s="64">
        <f t="shared" si="45"/>
        <v>56.25</v>
      </c>
      <c r="T178" s="66">
        <f t="shared" si="46"/>
        <v>586.63884690000009</v>
      </c>
      <c r="U178" s="68">
        <f t="shared" si="47"/>
        <v>39.109256460000005</v>
      </c>
      <c r="V178" s="68">
        <f t="shared" si="48"/>
        <v>469.31107752000003</v>
      </c>
      <c r="W178" s="68">
        <f t="shared" si="49"/>
        <v>312.87405168000004</v>
      </c>
    </row>
    <row r="179" spans="1:23" x14ac:dyDescent="0.25">
      <c r="A179" s="169" t="s">
        <v>892</v>
      </c>
      <c r="B179" s="61" t="s">
        <v>396</v>
      </c>
      <c r="C179" s="61" t="s">
        <v>591</v>
      </c>
      <c r="D179" s="61" t="s">
        <v>594</v>
      </c>
      <c r="E179" s="1" t="s">
        <v>859</v>
      </c>
      <c r="F179" s="62" t="str">
        <f t="shared" si="38"/>
        <v>20122</v>
      </c>
      <c r="G179" s="1">
        <v>10620122</v>
      </c>
      <c r="H179" s="1" t="s">
        <v>388</v>
      </c>
      <c r="I179" s="61">
        <v>15</v>
      </c>
      <c r="J179" s="61">
        <v>3</v>
      </c>
      <c r="K179" s="61">
        <v>8</v>
      </c>
      <c r="L179" s="69">
        <f t="shared" si="40"/>
        <v>0.45</v>
      </c>
      <c r="M179" s="69">
        <f t="shared" si="41"/>
        <v>1.2</v>
      </c>
      <c r="N179" s="56">
        <f>INDEX(Rate_Chart!$A$1:$AK$127,MATCH(Data!J179,Rate_Chart!$A$1:$A$127,0),MATCH(Data!K179,Rate_Chart!$A$1:$AK$1,0))</f>
        <v>34.751112000000006</v>
      </c>
      <c r="O179" s="57">
        <f t="shared" si="42"/>
        <v>521.26668000000006</v>
      </c>
      <c r="P179" s="58">
        <f t="shared" si="43"/>
        <v>417.01334400000002</v>
      </c>
      <c r="Q179" s="58">
        <f t="shared" si="44"/>
        <v>278.00889599999999</v>
      </c>
      <c r="R179" s="66">
        <f t="shared" si="39"/>
        <v>9.1221669000000016</v>
      </c>
      <c r="S179" s="64">
        <f t="shared" si="45"/>
        <v>56.25</v>
      </c>
      <c r="T179" s="66">
        <f t="shared" si="46"/>
        <v>586.63884690000009</v>
      </c>
      <c r="U179" s="68">
        <f t="shared" si="47"/>
        <v>39.109256460000005</v>
      </c>
      <c r="V179" s="68">
        <f t="shared" si="48"/>
        <v>469.31107752000003</v>
      </c>
      <c r="W179" s="68">
        <f t="shared" si="49"/>
        <v>312.87405168000004</v>
      </c>
    </row>
    <row r="180" spans="1:23" x14ac:dyDescent="0.25">
      <c r="A180" s="169" t="s">
        <v>893</v>
      </c>
      <c r="B180" s="61" t="s">
        <v>396</v>
      </c>
      <c r="C180" s="61" t="s">
        <v>591</v>
      </c>
      <c r="D180" s="61" t="s">
        <v>594</v>
      </c>
      <c r="E180" s="1" t="s">
        <v>859</v>
      </c>
      <c r="F180" s="62" t="str">
        <f t="shared" si="38"/>
        <v>20122</v>
      </c>
      <c r="G180" s="1">
        <v>10620122</v>
      </c>
      <c r="H180" s="1" t="s">
        <v>388</v>
      </c>
      <c r="I180" s="61">
        <v>11</v>
      </c>
      <c r="J180" s="61">
        <v>3</v>
      </c>
      <c r="K180" s="61">
        <v>8</v>
      </c>
      <c r="L180" s="69">
        <f t="shared" si="40"/>
        <v>0.33</v>
      </c>
      <c r="M180" s="69">
        <f t="shared" si="41"/>
        <v>0.88</v>
      </c>
      <c r="N180" s="56">
        <f>INDEX(Rate_Chart!$A$1:$AK$127,MATCH(Data!J180,Rate_Chart!$A$1:$A$127,0),MATCH(Data!K180,Rate_Chart!$A$1:$AK$1,0))</f>
        <v>34.751112000000006</v>
      </c>
      <c r="O180" s="57">
        <f t="shared" si="42"/>
        <v>382.26223200000004</v>
      </c>
      <c r="P180" s="58">
        <f t="shared" si="43"/>
        <v>417.01334400000002</v>
      </c>
      <c r="Q180" s="58">
        <f t="shared" si="44"/>
        <v>278.00889599999999</v>
      </c>
      <c r="R180" s="66">
        <f t="shared" si="39"/>
        <v>6.6895890600000012</v>
      </c>
      <c r="S180" s="64">
        <f t="shared" si="45"/>
        <v>41.25</v>
      </c>
      <c r="T180" s="66">
        <f t="shared" si="46"/>
        <v>430.20182106000004</v>
      </c>
      <c r="U180" s="68">
        <f t="shared" si="47"/>
        <v>39.109256460000005</v>
      </c>
      <c r="V180" s="68">
        <f t="shared" si="48"/>
        <v>469.31107752000003</v>
      </c>
      <c r="W180" s="68">
        <f t="shared" si="49"/>
        <v>312.87405168000004</v>
      </c>
    </row>
    <row r="181" spans="1:23" x14ac:dyDescent="0.25">
      <c r="A181" s="169" t="s">
        <v>894</v>
      </c>
      <c r="B181" s="61" t="s">
        <v>396</v>
      </c>
      <c r="C181" s="61" t="s">
        <v>591</v>
      </c>
      <c r="D181" s="61" t="s">
        <v>594</v>
      </c>
      <c r="E181" s="1" t="s">
        <v>859</v>
      </c>
      <c r="F181" s="62" t="str">
        <f t="shared" si="38"/>
        <v>20122</v>
      </c>
      <c r="G181" s="1">
        <v>10620122</v>
      </c>
      <c r="H181" s="1" t="s">
        <v>388</v>
      </c>
      <c r="I181" s="61">
        <v>16</v>
      </c>
      <c r="J181" s="61">
        <v>3</v>
      </c>
      <c r="K181" s="61">
        <v>8</v>
      </c>
      <c r="L181" s="69">
        <f t="shared" si="40"/>
        <v>0.48</v>
      </c>
      <c r="M181" s="69">
        <f t="shared" si="41"/>
        <v>1.28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556.0177920000001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9.7303113600000035</v>
      </c>
      <c r="S181" s="64">
        <f t="shared" si="45"/>
        <v>60</v>
      </c>
      <c r="T181" s="66">
        <f t="shared" si="46"/>
        <v>625.74810336000007</v>
      </c>
      <c r="U181" s="68">
        <f t="shared" si="47"/>
        <v>39.109256460000005</v>
      </c>
      <c r="V181" s="68">
        <f t="shared" si="48"/>
        <v>469.31107752000003</v>
      </c>
      <c r="W181" s="68">
        <f t="shared" si="49"/>
        <v>312.87405168000004</v>
      </c>
    </row>
    <row r="182" spans="1:23" x14ac:dyDescent="0.25">
      <c r="A182" s="169" t="s">
        <v>888</v>
      </c>
      <c r="B182" s="61" t="s">
        <v>396</v>
      </c>
      <c r="C182" s="61" t="s">
        <v>591</v>
      </c>
      <c r="D182" s="61" t="s">
        <v>593</v>
      </c>
      <c r="E182" s="1" t="s">
        <v>878</v>
      </c>
      <c r="F182" s="62" t="str">
        <f t="shared" si="38"/>
        <v>20123</v>
      </c>
      <c r="G182" s="1">
        <v>10620123</v>
      </c>
      <c r="H182" s="1" t="s">
        <v>388</v>
      </c>
      <c r="I182" s="61">
        <v>23</v>
      </c>
      <c r="J182" s="61">
        <v>3.5</v>
      </c>
      <c r="K182" s="61">
        <v>8</v>
      </c>
      <c r="L182" s="69">
        <f t="shared" si="40"/>
        <v>0.80500000000000005</v>
      </c>
      <c r="M182" s="69">
        <f t="shared" si="41"/>
        <v>1.84</v>
      </c>
      <c r="N182" s="56">
        <f>INDEX(Rate_Chart!$A$1:$AK$127,MATCH(Data!J182,Rate_Chart!$A$1:$A$127,0),MATCH(Data!K182,Rate_Chart!$A$1:$AK$1,0))</f>
        <v>36.836112000000007</v>
      </c>
      <c r="O182" s="57">
        <f t="shared" si="42"/>
        <v>847.23057600000016</v>
      </c>
      <c r="P182" s="58">
        <f t="shared" si="43"/>
        <v>417.01258867924531</v>
      </c>
      <c r="Q182" s="58">
        <f t="shared" si="44"/>
        <v>278.00839245283021</v>
      </c>
      <c r="R182" s="66">
        <f t="shared" si="39"/>
        <v>14.826535080000005</v>
      </c>
      <c r="S182" s="64">
        <f t="shared" si="45"/>
        <v>86.25</v>
      </c>
      <c r="T182" s="66">
        <f t="shared" si="46"/>
        <v>948.30711108000014</v>
      </c>
      <c r="U182" s="68">
        <f t="shared" si="47"/>
        <v>41.230743960000005</v>
      </c>
      <c r="V182" s="68">
        <f t="shared" si="48"/>
        <v>466.76313916981132</v>
      </c>
      <c r="W182" s="68">
        <f t="shared" si="49"/>
        <v>311.17542611320755</v>
      </c>
    </row>
    <row r="183" spans="1:23" x14ac:dyDescent="0.25">
      <c r="A183" s="169" t="s">
        <v>888</v>
      </c>
      <c r="B183" s="61" t="s">
        <v>397</v>
      </c>
      <c r="C183" s="61" t="s">
        <v>591</v>
      </c>
      <c r="D183" s="61" t="s">
        <v>593</v>
      </c>
      <c r="E183" s="1" t="s">
        <v>878</v>
      </c>
      <c r="F183" s="62" t="str">
        <f t="shared" si="38"/>
        <v>20123</v>
      </c>
      <c r="G183" s="1">
        <v>10620123</v>
      </c>
      <c r="H183" s="1" t="s">
        <v>388</v>
      </c>
      <c r="I183" s="61">
        <v>10</v>
      </c>
      <c r="J183" s="61">
        <v>3.1</v>
      </c>
      <c r="K183" s="61">
        <v>8</v>
      </c>
      <c r="L183" s="69">
        <f t="shared" si="40"/>
        <v>0.31</v>
      </c>
      <c r="M183" s="69">
        <f t="shared" si="41"/>
        <v>0.8</v>
      </c>
      <c r="N183" s="56">
        <f>INDEX(Rate_Chart!$A$1:$AK$127,MATCH(Data!J183,Rate_Chart!$A$1:$A$127,0),MATCH(Data!K183,Rate_Chart!$A$1:$AK$1,0))</f>
        <v>35.168112000000008</v>
      </c>
      <c r="O183" s="57">
        <f t="shared" si="42"/>
        <v>351.68112000000008</v>
      </c>
      <c r="P183" s="58">
        <f t="shared" si="43"/>
        <v>417.01318577075102</v>
      </c>
      <c r="Q183" s="58">
        <f t="shared" si="44"/>
        <v>278.00879051383401</v>
      </c>
      <c r="R183" s="66">
        <f t="shared" si="39"/>
        <v>6.1544196000000015</v>
      </c>
      <c r="S183" s="64">
        <f t="shared" si="45"/>
        <v>37.5</v>
      </c>
      <c r="T183" s="66">
        <f t="shared" si="46"/>
        <v>395.33553960000006</v>
      </c>
      <c r="U183" s="68">
        <f t="shared" si="47"/>
        <v>39.533553960000006</v>
      </c>
      <c r="V183" s="68">
        <f t="shared" si="48"/>
        <v>468.77731968379447</v>
      </c>
      <c r="W183" s="68">
        <f t="shared" si="49"/>
        <v>312.51821312252963</v>
      </c>
    </row>
    <row r="184" spans="1:23" x14ac:dyDescent="0.25">
      <c r="A184" s="169" t="s">
        <v>889</v>
      </c>
      <c r="B184" s="61" t="s">
        <v>396</v>
      </c>
      <c r="C184" s="61" t="s">
        <v>591</v>
      </c>
      <c r="D184" s="61" t="s">
        <v>593</v>
      </c>
      <c r="E184" s="1" t="s">
        <v>878</v>
      </c>
      <c r="F184" s="62" t="str">
        <f t="shared" si="38"/>
        <v>20123</v>
      </c>
      <c r="G184" s="1">
        <v>10620123</v>
      </c>
      <c r="H184" s="1" t="s">
        <v>388</v>
      </c>
      <c r="I184" s="61">
        <v>20</v>
      </c>
      <c r="J184" s="61">
        <v>4</v>
      </c>
      <c r="K184" s="61">
        <v>8</v>
      </c>
      <c r="L184" s="69">
        <f t="shared" si="40"/>
        <v>0.8</v>
      </c>
      <c r="M184" s="69">
        <f t="shared" si="41"/>
        <v>1.6</v>
      </c>
      <c r="N184" s="56">
        <f>INDEX(Rate_Chart!$A$1:$AK$127,MATCH(Data!J184,Rate_Chart!$A$1:$A$127,0),MATCH(Data!K184,Rate_Chart!$A$1:$AK$1,0))</f>
        <v>38.921112000000008</v>
      </c>
      <c r="O184" s="57">
        <f t="shared" si="42"/>
        <v>778.4222400000001</v>
      </c>
      <c r="P184" s="58">
        <f t="shared" si="43"/>
        <v>417.01191428571434</v>
      </c>
      <c r="Q184" s="58">
        <f t="shared" si="44"/>
        <v>278.00794285714289</v>
      </c>
      <c r="R184" s="66">
        <f t="shared" si="39"/>
        <v>13.622389200000002</v>
      </c>
      <c r="S184" s="64">
        <f t="shared" si="45"/>
        <v>75</v>
      </c>
      <c r="T184" s="66">
        <f t="shared" si="46"/>
        <v>867.04462920000014</v>
      </c>
      <c r="U184" s="68">
        <f t="shared" si="47"/>
        <v>43.352231460000006</v>
      </c>
      <c r="V184" s="68">
        <f t="shared" si="48"/>
        <v>464.48819421428578</v>
      </c>
      <c r="W184" s="68">
        <f t="shared" si="49"/>
        <v>309.65879614285717</v>
      </c>
    </row>
    <row r="185" spans="1:23" x14ac:dyDescent="0.25">
      <c r="A185" s="169" t="s">
        <v>889</v>
      </c>
      <c r="B185" s="61" t="s">
        <v>397</v>
      </c>
      <c r="C185" s="61" t="s">
        <v>591</v>
      </c>
      <c r="D185" s="61" t="s">
        <v>593</v>
      </c>
      <c r="E185" s="1" t="s">
        <v>878</v>
      </c>
      <c r="F185" s="62" t="str">
        <f t="shared" si="38"/>
        <v>20123</v>
      </c>
      <c r="G185" s="1">
        <v>10620123</v>
      </c>
      <c r="H185" s="1" t="s">
        <v>388</v>
      </c>
      <c r="I185" s="61">
        <v>11</v>
      </c>
      <c r="J185" s="61">
        <v>3.3</v>
      </c>
      <c r="K185" s="61">
        <v>8</v>
      </c>
      <c r="L185" s="69">
        <f t="shared" si="40"/>
        <v>0.36299999999999999</v>
      </c>
      <c r="M185" s="69">
        <f t="shared" si="41"/>
        <v>0.88</v>
      </c>
      <c r="N185" s="56">
        <f>INDEX(Rate_Chart!$A$1:$AK$127,MATCH(Data!J185,Rate_Chart!$A$1:$A$127,0),MATCH(Data!K185,Rate_Chart!$A$1:$AK$1,0))</f>
        <v>36.002112000000004</v>
      </c>
      <c r="O185" s="57">
        <f t="shared" si="42"/>
        <v>396.02323200000006</v>
      </c>
      <c r="P185" s="58">
        <f t="shared" si="43"/>
        <v>417.01288030888031</v>
      </c>
      <c r="Q185" s="58">
        <f t="shared" si="44"/>
        <v>278.00858687258687</v>
      </c>
      <c r="R185" s="66">
        <f t="shared" si="39"/>
        <v>6.9304065600000015</v>
      </c>
      <c r="S185" s="64">
        <f t="shared" si="45"/>
        <v>41.25</v>
      </c>
      <c r="T185" s="66">
        <f t="shared" si="46"/>
        <v>444.20363856000006</v>
      </c>
      <c r="U185" s="68">
        <f t="shared" si="47"/>
        <v>40.382148960000002</v>
      </c>
      <c r="V185" s="68">
        <f t="shared" si="48"/>
        <v>467.74689915057911</v>
      </c>
      <c r="W185" s="68">
        <f t="shared" si="49"/>
        <v>311.83126610038607</v>
      </c>
    </row>
    <row r="186" spans="1:23" x14ac:dyDescent="0.25">
      <c r="A186" s="169" t="s">
        <v>890</v>
      </c>
      <c r="B186" s="61" t="s">
        <v>396</v>
      </c>
      <c r="C186" s="61" t="s">
        <v>591</v>
      </c>
      <c r="D186" s="61" t="s">
        <v>593</v>
      </c>
      <c r="E186" s="1" t="s">
        <v>878</v>
      </c>
      <c r="F186" s="62" t="str">
        <f t="shared" si="38"/>
        <v>20123</v>
      </c>
      <c r="G186" s="1">
        <v>10620123</v>
      </c>
      <c r="H186" s="1" t="s">
        <v>388</v>
      </c>
      <c r="I186" s="61">
        <v>21</v>
      </c>
      <c r="J186" s="61">
        <v>3.9</v>
      </c>
      <c r="K186" s="61">
        <v>8</v>
      </c>
      <c r="L186" s="69">
        <f t="shared" si="40"/>
        <v>0.81899999999999995</v>
      </c>
      <c r="M186" s="69">
        <f t="shared" si="41"/>
        <v>1.68</v>
      </c>
      <c r="N186" s="56">
        <f>INDEX(Rate_Chart!$A$1:$AK$127,MATCH(Data!J186,Rate_Chart!$A$1:$A$127,0),MATCH(Data!K186,Rate_Chart!$A$1:$AK$1,0))</f>
        <v>38.504112000000006</v>
      </c>
      <c r="O186" s="57">
        <f t="shared" si="42"/>
        <v>808.58635200000015</v>
      </c>
      <c r="P186" s="58">
        <f t="shared" si="43"/>
        <v>417.0120433212997</v>
      </c>
      <c r="Q186" s="58">
        <f t="shared" si="44"/>
        <v>278.00802888086645</v>
      </c>
      <c r="R186" s="66">
        <f t="shared" si="39"/>
        <v>14.150261160000005</v>
      </c>
      <c r="S186" s="64">
        <f t="shared" si="45"/>
        <v>78.75</v>
      </c>
      <c r="T186" s="66">
        <f t="shared" si="46"/>
        <v>901.48661316000016</v>
      </c>
      <c r="U186" s="68">
        <f t="shared" si="47"/>
        <v>42.927933960000004</v>
      </c>
      <c r="V186" s="68">
        <f t="shared" si="48"/>
        <v>464.92347249097475</v>
      </c>
      <c r="W186" s="68">
        <f t="shared" si="49"/>
        <v>309.94898166064985</v>
      </c>
    </row>
    <row r="187" spans="1:23" x14ac:dyDescent="0.25">
      <c r="A187" s="169" t="s">
        <v>890</v>
      </c>
      <c r="B187" s="61" t="s">
        <v>397</v>
      </c>
      <c r="C187" s="61" t="s">
        <v>591</v>
      </c>
      <c r="D187" s="61" t="s">
        <v>593</v>
      </c>
      <c r="E187" s="1" t="s">
        <v>878</v>
      </c>
      <c r="F187" s="62" t="str">
        <f t="shared" si="38"/>
        <v>20123</v>
      </c>
      <c r="G187" s="1">
        <v>10620123</v>
      </c>
      <c r="H187" s="1" t="s">
        <v>388</v>
      </c>
      <c r="I187" s="61">
        <v>12</v>
      </c>
      <c r="J187" s="61">
        <v>3.4</v>
      </c>
      <c r="K187" s="61">
        <v>8</v>
      </c>
      <c r="L187" s="69">
        <f t="shared" si="40"/>
        <v>0.40799999999999997</v>
      </c>
      <c r="M187" s="69">
        <f t="shared" si="41"/>
        <v>0.96</v>
      </c>
      <c r="N187" s="56">
        <f>INDEX(Rate_Chart!$A$1:$AK$127,MATCH(Data!J187,Rate_Chart!$A$1:$A$127,0),MATCH(Data!K187,Rate_Chart!$A$1:$AK$1,0))</f>
        <v>36.419112000000005</v>
      </c>
      <c r="O187" s="57">
        <f t="shared" si="42"/>
        <v>437.02934400000004</v>
      </c>
      <c r="P187" s="58">
        <f t="shared" si="43"/>
        <v>417.01273282442747</v>
      </c>
      <c r="Q187" s="58">
        <f t="shared" si="44"/>
        <v>278.00848854961833</v>
      </c>
      <c r="R187" s="66">
        <f t="shared" si="39"/>
        <v>7.648013520000001</v>
      </c>
      <c r="S187" s="64">
        <f t="shared" si="45"/>
        <v>45</v>
      </c>
      <c r="T187" s="66">
        <f t="shared" si="46"/>
        <v>489.67735752000004</v>
      </c>
      <c r="U187" s="68">
        <f t="shared" si="47"/>
        <v>40.806446460000004</v>
      </c>
      <c r="V187" s="68">
        <f t="shared" si="48"/>
        <v>467.24938694656487</v>
      </c>
      <c r="W187" s="68">
        <f t="shared" si="49"/>
        <v>311.49959129770991</v>
      </c>
    </row>
    <row r="188" spans="1:23" x14ac:dyDescent="0.25">
      <c r="A188" s="169" t="s">
        <v>891</v>
      </c>
      <c r="B188" s="61" t="s">
        <v>396</v>
      </c>
      <c r="C188" s="61" t="s">
        <v>591</v>
      </c>
      <c r="D188" s="61" t="s">
        <v>593</v>
      </c>
      <c r="E188" s="1" t="s">
        <v>878</v>
      </c>
      <c r="F188" s="62" t="str">
        <f t="shared" si="38"/>
        <v>20123</v>
      </c>
      <c r="G188" s="1">
        <v>10620123</v>
      </c>
      <c r="H188" s="1" t="s">
        <v>388</v>
      </c>
      <c r="I188" s="61">
        <v>24</v>
      </c>
      <c r="J188" s="61">
        <v>3.9</v>
      </c>
      <c r="K188" s="61">
        <v>8</v>
      </c>
      <c r="L188" s="69">
        <f t="shared" si="40"/>
        <v>0.93599999999999994</v>
      </c>
      <c r="M188" s="69">
        <f t="shared" si="41"/>
        <v>1.92</v>
      </c>
      <c r="N188" s="56">
        <f>INDEX(Rate_Chart!$A$1:$AK$127,MATCH(Data!J188,Rate_Chart!$A$1:$A$127,0),MATCH(Data!K188,Rate_Chart!$A$1:$AK$1,0))</f>
        <v>38.504112000000006</v>
      </c>
      <c r="O188" s="57">
        <f t="shared" si="42"/>
        <v>924.09868800000015</v>
      </c>
      <c r="P188" s="58">
        <f t="shared" si="43"/>
        <v>417.0120433212997</v>
      </c>
      <c r="Q188" s="58">
        <f t="shared" si="44"/>
        <v>278.00802888086645</v>
      </c>
      <c r="R188" s="66">
        <f t="shared" si="39"/>
        <v>16.171727040000004</v>
      </c>
      <c r="S188" s="64">
        <f t="shared" si="45"/>
        <v>90</v>
      </c>
      <c r="T188" s="66">
        <f t="shared" si="46"/>
        <v>1030.2704150400002</v>
      </c>
      <c r="U188" s="68">
        <f t="shared" si="47"/>
        <v>42.927933960000011</v>
      </c>
      <c r="V188" s="68">
        <f t="shared" si="48"/>
        <v>464.92347249097486</v>
      </c>
      <c r="W188" s="68">
        <f t="shared" si="49"/>
        <v>309.94898166064991</v>
      </c>
    </row>
    <row r="189" spans="1:23" x14ac:dyDescent="0.25">
      <c r="A189" s="169" t="s">
        <v>891</v>
      </c>
      <c r="B189" s="61" t="s">
        <v>397</v>
      </c>
      <c r="C189" s="61" t="s">
        <v>591</v>
      </c>
      <c r="D189" s="61" t="s">
        <v>593</v>
      </c>
      <c r="E189" s="1" t="s">
        <v>878</v>
      </c>
      <c r="F189" s="62" t="str">
        <f t="shared" si="38"/>
        <v>20123</v>
      </c>
      <c r="G189" s="1">
        <v>10620123</v>
      </c>
      <c r="H189" s="1" t="s">
        <v>388</v>
      </c>
      <c r="I189" s="61">
        <v>7</v>
      </c>
      <c r="J189" s="61">
        <v>3.1</v>
      </c>
      <c r="K189" s="61">
        <v>8.1</v>
      </c>
      <c r="L189" s="69">
        <f t="shared" si="40"/>
        <v>0.217</v>
      </c>
      <c r="M189" s="69">
        <f t="shared" si="41"/>
        <v>0.56699999999999995</v>
      </c>
      <c r="N189" s="56">
        <f>INDEX(Rate_Chart!$A$1:$AK$127,MATCH(Data!J189,Rate_Chart!$A$1:$A$127,0),MATCH(Data!K189,Rate_Chart!$A$1:$AK$1,0))</f>
        <v>35.446125899999998</v>
      </c>
      <c r="O189" s="57">
        <f t="shared" si="42"/>
        <v>248.12288129999999</v>
      </c>
      <c r="P189" s="58">
        <f t="shared" si="43"/>
        <v>417.01324588235298</v>
      </c>
      <c r="Q189" s="58">
        <f t="shared" si="44"/>
        <v>278.0088305882353</v>
      </c>
      <c r="R189" s="66">
        <f t="shared" si="39"/>
        <v>4.3421504227500005</v>
      </c>
      <c r="S189" s="64">
        <f t="shared" si="45"/>
        <v>26.25</v>
      </c>
      <c r="T189" s="66">
        <f t="shared" si="46"/>
        <v>278.71503172274998</v>
      </c>
      <c r="U189" s="68">
        <f t="shared" si="47"/>
        <v>39.816433103249999</v>
      </c>
      <c r="V189" s="68">
        <f t="shared" si="48"/>
        <v>468.42862474411766</v>
      </c>
      <c r="W189" s="68">
        <f t="shared" si="49"/>
        <v>312.28574982941177</v>
      </c>
    </row>
    <row r="190" spans="1:23" x14ac:dyDescent="0.25">
      <c r="A190" s="169" t="s">
        <v>892</v>
      </c>
      <c r="B190" s="61" t="s">
        <v>396</v>
      </c>
      <c r="C190" s="61" t="s">
        <v>591</v>
      </c>
      <c r="D190" s="61" t="s">
        <v>593</v>
      </c>
      <c r="E190" s="1" t="s">
        <v>878</v>
      </c>
      <c r="F190" s="62" t="str">
        <f t="shared" si="38"/>
        <v>20123</v>
      </c>
      <c r="G190" s="1">
        <v>10620123</v>
      </c>
      <c r="H190" s="1" t="s">
        <v>388</v>
      </c>
      <c r="I190" s="61">
        <v>25</v>
      </c>
      <c r="J190" s="61">
        <v>4.0999999999999996</v>
      </c>
      <c r="K190" s="61">
        <v>8.1</v>
      </c>
      <c r="L190" s="69">
        <f t="shared" si="40"/>
        <v>1.0249999999999999</v>
      </c>
      <c r="M190" s="69">
        <f t="shared" si="41"/>
        <v>2.0249999999999999</v>
      </c>
      <c r="N190" s="56">
        <f>INDEX(Rate_Chart!$A$1:$AK$127,MATCH(Data!J190,Rate_Chart!$A$1:$A$127,0),MATCH(Data!K190,Rate_Chart!$A$1:$AK$1,0))</f>
        <v>39.6161259</v>
      </c>
      <c r="O190" s="57">
        <f t="shared" si="42"/>
        <v>990.40314750000005</v>
      </c>
      <c r="P190" s="58">
        <f t="shared" si="43"/>
        <v>417.01185157894736</v>
      </c>
      <c r="Q190" s="58">
        <f t="shared" si="44"/>
        <v>278.00790105263155</v>
      </c>
      <c r="R190" s="66">
        <f t="shared" si="39"/>
        <v>17.332055081250001</v>
      </c>
      <c r="S190" s="64">
        <f t="shared" si="45"/>
        <v>93.75</v>
      </c>
      <c r="T190" s="66">
        <f t="shared" si="46"/>
        <v>1101.48520258125</v>
      </c>
      <c r="U190" s="68">
        <f t="shared" si="47"/>
        <v>44.05940810325</v>
      </c>
      <c r="V190" s="68">
        <f t="shared" si="48"/>
        <v>463.78324319210526</v>
      </c>
      <c r="W190" s="68">
        <f t="shared" si="49"/>
        <v>309.18882879473682</v>
      </c>
    </row>
    <row r="191" spans="1:23" x14ac:dyDescent="0.25">
      <c r="A191" s="169" t="s">
        <v>892</v>
      </c>
      <c r="B191" s="61" t="s">
        <v>397</v>
      </c>
      <c r="C191" s="61" t="s">
        <v>591</v>
      </c>
      <c r="D191" s="61" t="s">
        <v>593</v>
      </c>
      <c r="E191" s="1" t="s">
        <v>878</v>
      </c>
      <c r="F191" s="62" t="str">
        <f t="shared" si="38"/>
        <v>20123</v>
      </c>
      <c r="G191" s="1">
        <v>10620123</v>
      </c>
      <c r="H191" s="1" t="s">
        <v>388</v>
      </c>
      <c r="I191" s="61">
        <v>11</v>
      </c>
      <c r="J191" s="61">
        <v>3</v>
      </c>
      <c r="K191" s="61">
        <v>8.1</v>
      </c>
      <c r="L191" s="69">
        <f t="shared" si="40"/>
        <v>0.33</v>
      </c>
      <c r="M191" s="69">
        <f t="shared" si="41"/>
        <v>0.8909999999999999</v>
      </c>
      <c r="N191" s="56">
        <f>INDEX(Rate_Chart!$A$1:$AK$127,MATCH(Data!J191,Rate_Chart!$A$1:$A$127,0),MATCH(Data!K191,Rate_Chart!$A$1:$AK$1,0))</f>
        <v>35.029125900000004</v>
      </c>
      <c r="O191" s="57">
        <f t="shared" si="42"/>
        <v>385.32038490000002</v>
      </c>
      <c r="P191" s="58">
        <f t="shared" si="43"/>
        <v>417.01340357142868</v>
      </c>
      <c r="Q191" s="58">
        <f t="shared" si="44"/>
        <v>278.00893571428577</v>
      </c>
      <c r="R191" s="66">
        <f t="shared" si="39"/>
        <v>6.7431067357500014</v>
      </c>
      <c r="S191" s="64">
        <f t="shared" si="45"/>
        <v>41.25</v>
      </c>
      <c r="T191" s="66">
        <f t="shared" si="46"/>
        <v>433.31349163575004</v>
      </c>
      <c r="U191" s="68">
        <f t="shared" si="47"/>
        <v>39.392135603250004</v>
      </c>
      <c r="V191" s="68">
        <f t="shared" si="48"/>
        <v>468.9539952767858</v>
      </c>
      <c r="W191" s="68">
        <f t="shared" si="49"/>
        <v>312.63599685119055</v>
      </c>
    </row>
    <row r="192" spans="1:23" x14ac:dyDescent="0.25">
      <c r="A192" s="169" t="s">
        <v>893</v>
      </c>
      <c r="B192" s="61" t="s">
        <v>396</v>
      </c>
      <c r="C192" s="61" t="s">
        <v>591</v>
      </c>
      <c r="D192" s="61" t="s">
        <v>593</v>
      </c>
      <c r="E192" s="1" t="s">
        <v>878</v>
      </c>
      <c r="F192" s="62" t="str">
        <f t="shared" si="38"/>
        <v>20123</v>
      </c>
      <c r="G192" s="1">
        <v>10620123</v>
      </c>
      <c r="H192" s="1" t="s">
        <v>388</v>
      </c>
      <c r="I192" s="61">
        <v>32</v>
      </c>
      <c r="J192" s="61">
        <v>4.5</v>
      </c>
      <c r="K192" s="61">
        <v>8.1</v>
      </c>
      <c r="L192" s="69">
        <f t="shared" si="40"/>
        <v>1.44</v>
      </c>
      <c r="M192" s="69">
        <f t="shared" si="41"/>
        <v>2.5920000000000001</v>
      </c>
      <c r="N192" s="56">
        <f>INDEX(Rate_Chart!$A$1:$AK$127,MATCH(Data!J192,Rate_Chart!$A$1:$A$127,0),MATCH(Data!K192,Rate_Chart!$A$1:$AK$1,0))</f>
        <v>41.284125900000006</v>
      </c>
      <c r="O192" s="57">
        <f t="shared" si="42"/>
        <v>1321.0920288000002</v>
      </c>
      <c r="P192" s="58">
        <f t="shared" si="43"/>
        <v>417.01137272727277</v>
      </c>
      <c r="Q192" s="58">
        <f t="shared" si="44"/>
        <v>278.00758181818185</v>
      </c>
      <c r="R192" s="66">
        <f t="shared" si="39"/>
        <v>23.119110504000005</v>
      </c>
      <c r="S192" s="64">
        <f t="shared" si="45"/>
        <v>120</v>
      </c>
      <c r="T192" s="66">
        <f t="shared" si="46"/>
        <v>1464.2111393040002</v>
      </c>
      <c r="U192" s="68">
        <f t="shared" si="47"/>
        <v>45.756598103250006</v>
      </c>
      <c r="V192" s="68">
        <f t="shared" si="48"/>
        <v>462.18785962878792</v>
      </c>
      <c r="W192" s="68">
        <f t="shared" si="49"/>
        <v>308.12523975252526</v>
      </c>
    </row>
    <row r="193" spans="1:23" x14ac:dyDescent="0.25">
      <c r="A193" s="169" t="s">
        <v>893</v>
      </c>
      <c r="B193" s="61" t="s">
        <v>397</v>
      </c>
      <c r="C193" s="61" t="s">
        <v>591</v>
      </c>
      <c r="D193" s="61" t="s">
        <v>593</v>
      </c>
      <c r="E193" s="1" t="s">
        <v>878</v>
      </c>
      <c r="F193" s="62" t="str">
        <f t="shared" si="38"/>
        <v>20123</v>
      </c>
      <c r="G193" s="1">
        <v>10620123</v>
      </c>
      <c r="H193" s="1" t="s">
        <v>388</v>
      </c>
      <c r="I193" s="61">
        <v>12</v>
      </c>
      <c r="J193" s="61">
        <v>3</v>
      </c>
      <c r="K193" s="61">
        <v>8.1</v>
      </c>
      <c r="L193" s="69">
        <f t="shared" si="40"/>
        <v>0.36</v>
      </c>
      <c r="M193" s="69">
        <f t="shared" si="41"/>
        <v>0.97199999999999986</v>
      </c>
      <c r="N193" s="56">
        <f>INDEX(Rate_Chart!$A$1:$AK$127,MATCH(Data!J193,Rate_Chart!$A$1:$A$127,0),MATCH(Data!K193,Rate_Chart!$A$1:$AK$1,0))</f>
        <v>35.029125900000004</v>
      </c>
      <c r="O193" s="57">
        <f t="shared" si="42"/>
        <v>420.34951080000008</v>
      </c>
      <c r="P193" s="58">
        <f t="shared" si="43"/>
        <v>417.01340357142868</v>
      </c>
      <c r="Q193" s="58">
        <f t="shared" si="44"/>
        <v>278.00893571428577</v>
      </c>
      <c r="R193" s="66">
        <f t="shared" si="39"/>
        <v>7.3561164390000018</v>
      </c>
      <c r="S193" s="64">
        <f t="shared" si="45"/>
        <v>45</v>
      </c>
      <c r="T193" s="66">
        <f t="shared" si="46"/>
        <v>472.70562723900008</v>
      </c>
      <c r="U193" s="68">
        <f t="shared" si="47"/>
        <v>39.392135603250004</v>
      </c>
      <c r="V193" s="68">
        <f t="shared" si="48"/>
        <v>468.9539952767858</v>
      </c>
      <c r="W193" s="68">
        <f t="shared" si="49"/>
        <v>312.63599685119055</v>
      </c>
    </row>
    <row r="194" spans="1:23" x14ac:dyDescent="0.25">
      <c r="A194" s="169" t="s">
        <v>894</v>
      </c>
      <c r="B194" s="61" t="s">
        <v>396</v>
      </c>
      <c r="C194" s="61" t="s">
        <v>591</v>
      </c>
      <c r="D194" s="61" t="s">
        <v>593</v>
      </c>
      <c r="E194" s="1" t="s">
        <v>878</v>
      </c>
      <c r="F194" s="62" t="str">
        <f t="shared" si="38"/>
        <v>20123</v>
      </c>
      <c r="G194" s="1">
        <v>10620123</v>
      </c>
      <c r="H194" s="1" t="s">
        <v>388</v>
      </c>
      <c r="I194" s="61">
        <v>28</v>
      </c>
      <c r="J194" s="61">
        <v>4.0999999999999996</v>
      </c>
      <c r="K194" s="61">
        <v>8.1</v>
      </c>
      <c r="L194" s="69">
        <f t="shared" si="40"/>
        <v>1.1479999999999999</v>
      </c>
      <c r="M194" s="69">
        <f t="shared" si="41"/>
        <v>2.2679999999999998</v>
      </c>
      <c r="N194" s="56">
        <f>INDEX(Rate_Chart!$A$1:$AK$127,MATCH(Data!J194,Rate_Chart!$A$1:$A$127,0),MATCH(Data!K194,Rate_Chart!$A$1:$AK$1,0))</f>
        <v>39.6161259</v>
      </c>
      <c r="O194" s="57">
        <f t="shared" si="42"/>
        <v>1109.2515252000001</v>
      </c>
      <c r="P194" s="58">
        <f t="shared" si="43"/>
        <v>417.01185157894736</v>
      </c>
      <c r="Q194" s="58">
        <f t="shared" si="44"/>
        <v>278.00790105263155</v>
      </c>
      <c r="R194" s="66">
        <f t="shared" si="39"/>
        <v>19.411901691000004</v>
      </c>
      <c r="S194" s="64">
        <f t="shared" si="45"/>
        <v>105</v>
      </c>
      <c r="T194" s="66">
        <f t="shared" si="46"/>
        <v>1233.663426891</v>
      </c>
      <c r="U194" s="68">
        <f t="shared" si="47"/>
        <v>44.05940810325</v>
      </c>
      <c r="V194" s="68">
        <f t="shared" si="48"/>
        <v>463.78324319210526</v>
      </c>
      <c r="W194" s="68">
        <f t="shared" si="49"/>
        <v>309.18882879473682</v>
      </c>
    </row>
    <row r="195" spans="1:23" x14ac:dyDescent="0.25">
      <c r="A195" s="169" t="s">
        <v>894</v>
      </c>
      <c r="B195" s="61" t="s">
        <v>397</v>
      </c>
      <c r="C195" s="61" t="s">
        <v>591</v>
      </c>
      <c r="D195" s="61" t="s">
        <v>593</v>
      </c>
      <c r="E195" s="1" t="s">
        <v>878</v>
      </c>
      <c r="F195" s="62" t="str">
        <f t="shared" si="38"/>
        <v>20123</v>
      </c>
      <c r="G195" s="1">
        <v>10620123</v>
      </c>
      <c r="H195" s="1" t="s">
        <v>388</v>
      </c>
      <c r="I195" s="61">
        <v>11</v>
      </c>
      <c r="J195" s="61">
        <v>3.1</v>
      </c>
      <c r="K195" s="61">
        <v>8</v>
      </c>
      <c r="L195" s="69">
        <f t="shared" si="40"/>
        <v>0.34100000000000003</v>
      </c>
      <c r="M195" s="69">
        <f t="shared" si="41"/>
        <v>0.88</v>
      </c>
      <c r="N195" s="56">
        <f>INDEX(Rate_Chart!$A$1:$AK$127,MATCH(Data!J195,Rate_Chart!$A$1:$A$127,0),MATCH(Data!K195,Rate_Chart!$A$1:$AK$1,0))</f>
        <v>35.168112000000008</v>
      </c>
      <c r="O195" s="57">
        <f t="shared" si="42"/>
        <v>386.84923200000009</v>
      </c>
      <c r="P195" s="58">
        <f t="shared" si="43"/>
        <v>417.01318577075102</v>
      </c>
      <c r="Q195" s="58">
        <f t="shared" si="44"/>
        <v>278.00879051383401</v>
      </c>
      <c r="R195" s="66">
        <f t="shared" si="39"/>
        <v>6.7698615600000025</v>
      </c>
      <c r="S195" s="64">
        <f t="shared" si="45"/>
        <v>41.25</v>
      </c>
      <c r="T195" s="66">
        <f t="shared" si="46"/>
        <v>434.86909356000007</v>
      </c>
      <c r="U195" s="68">
        <f t="shared" si="47"/>
        <v>39.533553960000006</v>
      </c>
      <c r="V195" s="68">
        <f t="shared" si="48"/>
        <v>468.77731968379447</v>
      </c>
      <c r="W195" s="68">
        <f t="shared" si="49"/>
        <v>312.51821312252963</v>
      </c>
    </row>
    <row r="196" spans="1:23" x14ac:dyDescent="0.25">
      <c r="A196" s="169" t="s">
        <v>888</v>
      </c>
      <c r="B196" s="61" t="s">
        <v>396</v>
      </c>
      <c r="C196" s="61" t="s">
        <v>591</v>
      </c>
      <c r="D196" s="61" t="s">
        <v>592</v>
      </c>
      <c r="E196" s="1" t="s">
        <v>342</v>
      </c>
      <c r="F196" s="62" t="str">
        <f t="shared" si="38"/>
        <v>60526</v>
      </c>
      <c r="G196" s="1">
        <v>10620072</v>
      </c>
      <c r="H196" s="1" t="s">
        <v>387</v>
      </c>
      <c r="I196" s="61">
        <v>4</v>
      </c>
      <c r="J196" s="61">
        <v>8.8000000000000007</v>
      </c>
      <c r="K196" s="61">
        <v>9</v>
      </c>
      <c r="L196" s="69">
        <f t="shared" si="40"/>
        <v>0.35200000000000004</v>
      </c>
      <c r="M196" s="69">
        <f t="shared" si="41"/>
        <v>0.36</v>
      </c>
      <c r="N196" s="56">
        <f>INDEX(Rate_Chart!$A$1:$AK$127,MATCH(Data!J196,Rate_Chart!$A$1:$A$127,0),MATCH(Data!K196,Rate_Chart!$A$1:$AK$1,0))</f>
        <v>73.48</v>
      </c>
      <c r="O196" s="57">
        <f t="shared" si="42"/>
        <v>293.92</v>
      </c>
      <c r="P196" s="58">
        <f t="shared" si="43"/>
        <v>496.48648648648646</v>
      </c>
      <c r="Q196" s="58">
        <f t="shared" si="44"/>
        <v>330.99099099099095</v>
      </c>
      <c r="R196" s="66">
        <f t="shared" si="39"/>
        <v>5.1436000000000011</v>
      </c>
      <c r="S196" s="64">
        <f t="shared" si="45"/>
        <v>15</v>
      </c>
      <c r="T196" s="66">
        <f t="shared" si="46"/>
        <v>314.06360000000001</v>
      </c>
      <c r="U196" s="68">
        <f t="shared" si="47"/>
        <v>78.515900000000002</v>
      </c>
      <c r="V196" s="68">
        <f t="shared" si="48"/>
        <v>530.51283783783776</v>
      </c>
      <c r="W196" s="68">
        <f t="shared" si="49"/>
        <v>353.67522522522518</v>
      </c>
    </row>
    <row r="197" spans="1:23" x14ac:dyDescent="0.25">
      <c r="A197" s="169" t="s">
        <v>888</v>
      </c>
      <c r="B197" s="61" t="s">
        <v>397</v>
      </c>
      <c r="C197" s="61" t="s">
        <v>591</v>
      </c>
      <c r="D197" s="61" t="s">
        <v>592</v>
      </c>
      <c r="E197" s="1" t="s">
        <v>342</v>
      </c>
      <c r="F197" s="62" t="str">
        <f t="shared" ref="F197:F260" si="50">MID(E197,2,5)</f>
        <v>60526</v>
      </c>
      <c r="G197" s="1">
        <v>10620072</v>
      </c>
      <c r="H197" s="1" t="s">
        <v>388</v>
      </c>
      <c r="I197" s="61">
        <v>9</v>
      </c>
      <c r="J197" s="61">
        <v>4.2</v>
      </c>
      <c r="K197" s="61">
        <v>8.1</v>
      </c>
      <c r="L197" s="69">
        <f t="shared" si="40"/>
        <v>0.37800000000000006</v>
      </c>
      <c r="M197" s="69">
        <f t="shared" si="41"/>
        <v>0.72899999999999987</v>
      </c>
      <c r="N197" s="56">
        <f>INDEX(Rate_Chart!$A$1:$AK$127,MATCH(Data!J197,Rate_Chart!$A$1:$A$127,0),MATCH(Data!K197,Rate_Chart!$A$1:$AK$1,0))</f>
        <v>40.033125900000002</v>
      </c>
      <c r="O197" s="57">
        <f t="shared" si="42"/>
        <v>360.29813310000003</v>
      </c>
      <c r="P197" s="58">
        <f t="shared" si="43"/>
        <v>417.01172812499999</v>
      </c>
      <c r="Q197" s="58">
        <f t="shared" si="44"/>
        <v>278.00781875000001</v>
      </c>
      <c r="R197" s="66">
        <f t="shared" ref="R197:R259" si="51">O197*1.75%</f>
        <v>6.3052173292500013</v>
      </c>
      <c r="S197" s="64">
        <f t="shared" si="45"/>
        <v>33.75</v>
      </c>
      <c r="T197" s="66">
        <f t="shared" si="46"/>
        <v>400.35335042925004</v>
      </c>
      <c r="U197" s="68">
        <f t="shared" si="47"/>
        <v>44.483705603250002</v>
      </c>
      <c r="V197" s="68">
        <f t="shared" si="48"/>
        <v>463.37193336718752</v>
      </c>
      <c r="W197" s="68">
        <f t="shared" si="49"/>
        <v>308.9146222447917</v>
      </c>
    </row>
    <row r="198" spans="1:23" x14ac:dyDescent="0.25">
      <c r="A198" s="169" t="s">
        <v>889</v>
      </c>
      <c r="B198" s="61" t="s">
        <v>397</v>
      </c>
      <c r="C198" s="61" t="s">
        <v>591</v>
      </c>
      <c r="D198" s="61" t="s">
        <v>592</v>
      </c>
      <c r="E198" s="1" t="s">
        <v>342</v>
      </c>
      <c r="F198" s="62" t="str">
        <f t="shared" si="50"/>
        <v>60526</v>
      </c>
      <c r="G198" s="1">
        <v>10620072</v>
      </c>
      <c r="H198" s="1" t="s">
        <v>388</v>
      </c>
      <c r="I198" s="61">
        <v>7</v>
      </c>
      <c r="J198" s="61">
        <v>3</v>
      </c>
      <c r="K198" s="61">
        <v>8</v>
      </c>
      <c r="L198" s="69">
        <f t="shared" si="40"/>
        <v>0.21</v>
      </c>
      <c r="M198" s="69">
        <f t="shared" si="41"/>
        <v>0.56000000000000005</v>
      </c>
      <c r="N198" s="56">
        <f>INDEX(Rate_Chart!$A$1:$AK$127,MATCH(Data!J198,Rate_Chart!$A$1:$A$127,0),MATCH(Data!K198,Rate_Chart!$A$1:$AK$1,0))</f>
        <v>34.751112000000006</v>
      </c>
      <c r="O198" s="57">
        <f t="shared" si="42"/>
        <v>243.25778400000004</v>
      </c>
      <c r="P198" s="58">
        <f t="shared" si="43"/>
        <v>417.01334400000002</v>
      </c>
      <c r="Q198" s="58">
        <f t="shared" si="44"/>
        <v>278.00889599999999</v>
      </c>
      <c r="R198" s="66">
        <f t="shared" si="51"/>
        <v>4.2570112200000008</v>
      </c>
      <c r="S198" s="64">
        <f t="shared" si="45"/>
        <v>26.25</v>
      </c>
      <c r="T198" s="66">
        <f t="shared" si="46"/>
        <v>273.76479522000005</v>
      </c>
      <c r="U198" s="68">
        <f t="shared" si="47"/>
        <v>39.109256460000005</v>
      </c>
      <c r="V198" s="68">
        <f t="shared" si="48"/>
        <v>469.31107752000003</v>
      </c>
      <c r="W198" s="68">
        <f t="shared" si="49"/>
        <v>312.87405168000004</v>
      </c>
    </row>
    <row r="199" spans="1:23" x14ac:dyDescent="0.25">
      <c r="A199" s="169" t="s">
        <v>890</v>
      </c>
      <c r="B199" s="61" t="s">
        <v>396</v>
      </c>
      <c r="C199" s="61" t="s">
        <v>591</v>
      </c>
      <c r="D199" s="61" t="s">
        <v>592</v>
      </c>
      <c r="E199" s="1" t="s">
        <v>342</v>
      </c>
      <c r="F199" s="62" t="str">
        <f t="shared" si="50"/>
        <v>60526</v>
      </c>
      <c r="G199" s="1">
        <v>10620072</v>
      </c>
      <c r="H199" s="1" t="s">
        <v>387</v>
      </c>
      <c r="I199" s="61">
        <v>3</v>
      </c>
      <c r="J199" s="61">
        <v>9.1999999999999993</v>
      </c>
      <c r="K199" s="61">
        <v>9</v>
      </c>
      <c r="L199" s="69">
        <f t="shared" si="40"/>
        <v>0.27599999999999997</v>
      </c>
      <c r="M199" s="69">
        <f t="shared" si="41"/>
        <v>0.27</v>
      </c>
      <c r="N199" s="56">
        <f>INDEX(Rate_Chart!$A$1:$AK$127,MATCH(Data!J199,Rate_Chart!$A$1:$A$127,0),MATCH(Data!K199,Rate_Chart!$A$1:$AK$1,0))</f>
        <v>76.819999999999993</v>
      </c>
      <c r="O199" s="57">
        <f t="shared" si="42"/>
        <v>230.45999999999998</v>
      </c>
      <c r="P199" s="58">
        <f t="shared" si="43"/>
        <v>505.3947368421052</v>
      </c>
      <c r="Q199" s="58">
        <f t="shared" si="44"/>
        <v>336.92982456140345</v>
      </c>
      <c r="R199" s="66">
        <f t="shared" si="51"/>
        <v>4.0330500000000002</v>
      </c>
      <c r="S199" s="64">
        <f t="shared" si="45"/>
        <v>11.25</v>
      </c>
      <c r="T199" s="66">
        <f t="shared" si="46"/>
        <v>245.74304999999998</v>
      </c>
      <c r="U199" s="68">
        <f t="shared" si="47"/>
        <v>81.914349999999999</v>
      </c>
      <c r="V199" s="68">
        <f t="shared" si="48"/>
        <v>538.91019736842111</v>
      </c>
      <c r="W199" s="68">
        <f t="shared" si="49"/>
        <v>359.27346491228076</v>
      </c>
    </row>
    <row r="200" spans="1:23" x14ac:dyDescent="0.25">
      <c r="A200" s="169" t="s">
        <v>890</v>
      </c>
      <c r="B200" s="61" t="s">
        <v>397</v>
      </c>
      <c r="C200" s="61" t="s">
        <v>591</v>
      </c>
      <c r="D200" s="61" t="s">
        <v>592</v>
      </c>
      <c r="E200" s="1" t="s">
        <v>342</v>
      </c>
      <c r="F200" s="62" t="str">
        <f t="shared" si="50"/>
        <v>60526</v>
      </c>
      <c r="G200" s="1">
        <v>10620072</v>
      </c>
      <c r="H200" s="1" t="s">
        <v>388</v>
      </c>
      <c r="I200" s="61">
        <v>9</v>
      </c>
      <c r="J200" s="61">
        <v>4.3</v>
      </c>
      <c r="K200" s="61">
        <v>8.1</v>
      </c>
      <c r="L200" s="69">
        <f t="shared" si="40"/>
        <v>0.38699999999999996</v>
      </c>
      <c r="M200" s="69">
        <f t="shared" si="41"/>
        <v>0.72899999999999987</v>
      </c>
      <c r="N200" s="56">
        <f>INDEX(Rate_Chart!$A$1:$AK$127,MATCH(Data!J200,Rate_Chart!$A$1:$A$127,0),MATCH(Data!K200,Rate_Chart!$A$1:$AK$1,0))</f>
        <v>40.450125900000003</v>
      </c>
      <c r="O200" s="57">
        <f t="shared" si="42"/>
        <v>364.05113310000002</v>
      </c>
      <c r="P200" s="58">
        <f t="shared" si="43"/>
        <v>417.01160721649489</v>
      </c>
      <c r="Q200" s="58">
        <f t="shared" si="44"/>
        <v>278.00773814432995</v>
      </c>
      <c r="R200" s="66">
        <f t="shared" si="51"/>
        <v>6.3708948292500009</v>
      </c>
      <c r="S200" s="64">
        <f t="shared" si="45"/>
        <v>33.75</v>
      </c>
      <c r="T200" s="66">
        <f t="shared" si="46"/>
        <v>404.17202792925002</v>
      </c>
      <c r="U200" s="68">
        <f t="shared" si="47"/>
        <v>44.908003103250003</v>
      </c>
      <c r="V200" s="68">
        <f t="shared" si="48"/>
        <v>462.96910415721652</v>
      </c>
      <c r="W200" s="68">
        <f t="shared" si="49"/>
        <v>308.64606943814437</v>
      </c>
    </row>
    <row r="201" spans="1:23" x14ac:dyDescent="0.25">
      <c r="A201" s="169" t="s">
        <v>891</v>
      </c>
      <c r="B201" s="61" t="s">
        <v>397</v>
      </c>
      <c r="C201" s="61" t="s">
        <v>591</v>
      </c>
      <c r="D201" s="61" t="s">
        <v>592</v>
      </c>
      <c r="E201" s="1" t="s">
        <v>342</v>
      </c>
      <c r="F201" s="62" t="str">
        <f t="shared" si="50"/>
        <v>60526</v>
      </c>
      <c r="G201" s="1">
        <v>10620072</v>
      </c>
      <c r="H201" s="1" t="s">
        <v>388</v>
      </c>
      <c r="I201" s="61">
        <v>7</v>
      </c>
      <c r="J201" s="61">
        <v>3</v>
      </c>
      <c r="K201" s="61">
        <v>8.1</v>
      </c>
      <c r="L201" s="69">
        <f t="shared" si="40"/>
        <v>0.21</v>
      </c>
      <c r="M201" s="69">
        <f t="shared" si="41"/>
        <v>0.56699999999999995</v>
      </c>
      <c r="N201" s="56">
        <f>INDEX(Rate_Chart!$A$1:$AK$127,MATCH(Data!J201,Rate_Chart!$A$1:$A$127,0),MATCH(Data!K201,Rate_Chart!$A$1:$AK$1,0))</f>
        <v>35.029125900000004</v>
      </c>
      <c r="O201" s="57">
        <f t="shared" si="42"/>
        <v>245.20388130000003</v>
      </c>
      <c r="P201" s="58">
        <f t="shared" si="43"/>
        <v>417.01340357142868</v>
      </c>
      <c r="Q201" s="58">
        <f t="shared" si="44"/>
        <v>278.00893571428577</v>
      </c>
      <c r="R201" s="66">
        <f t="shared" si="51"/>
        <v>4.2910679227500008</v>
      </c>
      <c r="S201" s="64">
        <f t="shared" si="45"/>
        <v>26.25</v>
      </c>
      <c r="T201" s="66">
        <f t="shared" si="46"/>
        <v>275.74494922275005</v>
      </c>
      <c r="U201" s="68">
        <f t="shared" si="47"/>
        <v>39.392135603250004</v>
      </c>
      <c r="V201" s="68">
        <f t="shared" si="48"/>
        <v>468.9539952767858</v>
      </c>
      <c r="W201" s="68">
        <f t="shared" si="49"/>
        <v>312.63599685119055</v>
      </c>
    </row>
    <row r="202" spans="1:23" x14ac:dyDescent="0.25">
      <c r="A202" s="169" t="s">
        <v>892</v>
      </c>
      <c r="B202" s="61" t="s">
        <v>396</v>
      </c>
      <c r="C202" s="61" t="s">
        <v>591</v>
      </c>
      <c r="D202" s="61" t="s">
        <v>592</v>
      </c>
      <c r="E202" s="1" t="s">
        <v>342</v>
      </c>
      <c r="F202" s="62" t="str">
        <f t="shared" si="50"/>
        <v>60526</v>
      </c>
      <c r="G202" s="1">
        <v>10620072</v>
      </c>
      <c r="H202" s="1" t="s">
        <v>387</v>
      </c>
      <c r="I202" s="61">
        <v>2</v>
      </c>
      <c r="J202" s="61">
        <v>9</v>
      </c>
      <c r="K202" s="61">
        <v>9</v>
      </c>
      <c r="L202" s="69">
        <f t="shared" si="40"/>
        <v>0.18</v>
      </c>
      <c r="M202" s="69">
        <f t="shared" si="41"/>
        <v>0.18</v>
      </c>
      <c r="N202" s="56">
        <f>INDEX(Rate_Chart!$A$1:$AK$127,MATCH(Data!J202,Rate_Chart!$A$1:$A$127,0),MATCH(Data!K202,Rate_Chart!$A$1:$AK$1,0))</f>
        <v>75.149999999999991</v>
      </c>
      <c r="O202" s="57">
        <f t="shared" si="42"/>
        <v>150.29999999999998</v>
      </c>
      <c r="P202" s="58">
        <f t="shared" si="43"/>
        <v>500.99999999999994</v>
      </c>
      <c r="Q202" s="58">
        <f t="shared" si="44"/>
        <v>333.99999999999994</v>
      </c>
      <c r="R202" s="66">
        <f t="shared" si="51"/>
        <v>2.6302499999999998</v>
      </c>
      <c r="S202" s="64">
        <f t="shared" si="45"/>
        <v>7.5</v>
      </c>
      <c r="T202" s="66">
        <f t="shared" si="46"/>
        <v>160.43024999999997</v>
      </c>
      <c r="U202" s="68">
        <f t="shared" si="47"/>
        <v>80.215124999999986</v>
      </c>
      <c r="V202" s="68">
        <f t="shared" si="48"/>
        <v>534.76749999999993</v>
      </c>
      <c r="W202" s="68">
        <f t="shared" si="49"/>
        <v>356.5116666666666</v>
      </c>
    </row>
    <row r="203" spans="1:23" x14ac:dyDescent="0.25">
      <c r="A203" s="169" t="s">
        <v>892</v>
      </c>
      <c r="B203" s="61" t="s">
        <v>397</v>
      </c>
      <c r="C203" s="61" t="s">
        <v>591</v>
      </c>
      <c r="D203" s="61" t="s">
        <v>592</v>
      </c>
      <c r="E203" s="1" t="s">
        <v>342</v>
      </c>
      <c r="F203" s="62" t="str">
        <f t="shared" si="50"/>
        <v>60526</v>
      </c>
      <c r="G203" s="1">
        <v>10620072</v>
      </c>
      <c r="H203" s="1" t="s">
        <v>387</v>
      </c>
      <c r="I203" s="61">
        <v>4</v>
      </c>
      <c r="J203" s="61">
        <v>6</v>
      </c>
      <c r="K203" s="61">
        <v>8.8000000000000007</v>
      </c>
      <c r="L203" s="69">
        <f t="shared" si="40"/>
        <v>0.24</v>
      </c>
      <c r="M203" s="69">
        <f t="shared" si="41"/>
        <v>0.35200000000000004</v>
      </c>
      <c r="N203" s="56">
        <f>INDEX(Rate_Chart!$A$1:$AK$127,MATCH(Data!J203,Rate_Chart!$A$1:$A$127,0),MATCH(Data!K203,Rate_Chart!$A$1:$AK$1,0))</f>
        <v>49.599000000000004</v>
      </c>
      <c r="O203" s="57">
        <f t="shared" si="42"/>
        <v>198.39600000000002</v>
      </c>
      <c r="P203" s="58">
        <f t="shared" si="43"/>
        <v>417.96910112359552</v>
      </c>
      <c r="Q203" s="58">
        <f t="shared" si="44"/>
        <v>278.64606741573033</v>
      </c>
      <c r="R203" s="66">
        <f t="shared" si="51"/>
        <v>3.4719300000000004</v>
      </c>
      <c r="S203" s="64">
        <f t="shared" si="45"/>
        <v>15</v>
      </c>
      <c r="T203" s="66">
        <f t="shared" si="46"/>
        <v>216.86793</v>
      </c>
      <c r="U203" s="68">
        <f t="shared" si="47"/>
        <v>54.2169825</v>
      </c>
      <c r="V203" s="68">
        <f t="shared" si="48"/>
        <v>456.88468398876404</v>
      </c>
      <c r="W203" s="68">
        <f t="shared" si="49"/>
        <v>304.58978932584267</v>
      </c>
    </row>
    <row r="204" spans="1:23" x14ac:dyDescent="0.25">
      <c r="A204" s="169" t="s">
        <v>893</v>
      </c>
      <c r="B204" s="61" t="s">
        <v>397</v>
      </c>
      <c r="C204" s="61" t="s">
        <v>591</v>
      </c>
      <c r="D204" s="61" t="s">
        <v>592</v>
      </c>
      <c r="E204" s="1" t="s">
        <v>342</v>
      </c>
      <c r="F204" s="62" t="str">
        <f t="shared" si="50"/>
        <v>60526</v>
      </c>
      <c r="G204" s="1">
        <v>10620072</v>
      </c>
      <c r="H204" s="1" t="s">
        <v>388</v>
      </c>
      <c r="I204" s="61">
        <v>7</v>
      </c>
      <c r="J204" s="61">
        <v>3</v>
      </c>
      <c r="K204" s="61">
        <v>8</v>
      </c>
      <c r="L204" s="69">
        <f t="shared" si="40"/>
        <v>0.21</v>
      </c>
      <c r="M204" s="69">
        <f t="shared" si="41"/>
        <v>0.56000000000000005</v>
      </c>
      <c r="N204" s="56">
        <f>INDEX(Rate_Chart!$A$1:$AK$127,MATCH(Data!J204,Rate_Chart!$A$1:$A$127,0),MATCH(Data!K204,Rate_Chart!$A$1:$AK$1,0))</f>
        <v>34.751112000000006</v>
      </c>
      <c r="O204" s="57">
        <f t="shared" si="42"/>
        <v>243.25778400000004</v>
      </c>
      <c r="P204" s="58">
        <f t="shared" si="43"/>
        <v>417.01334400000002</v>
      </c>
      <c r="Q204" s="58">
        <f t="shared" si="44"/>
        <v>278.00889599999999</v>
      </c>
      <c r="R204" s="66">
        <f t="shared" si="51"/>
        <v>4.2570112200000008</v>
      </c>
      <c r="S204" s="64">
        <f t="shared" si="45"/>
        <v>26.25</v>
      </c>
      <c r="T204" s="66">
        <f t="shared" si="46"/>
        <v>273.76479522000005</v>
      </c>
      <c r="U204" s="68">
        <f t="shared" si="47"/>
        <v>39.109256460000005</v>
      </c>
      <c r="V204" s="68">
        <f t="shared" si="48"/>
        <v>469.31107752000003</v>
      </c>
      <c r="W204" s="68">
        <f t="shared" si="49"/>
        <v>312.87405168000004</v>
      </c>
    </row>
    <row r="205" spans="1:23" x14ac:dyDescent="0.25">
      <c r="A205" s="169" t="s">
        <v>894</v>
      </c>
      <c r="B205" s="61" t="s">
        <v>396</v>
      </c>
      <c r="C205" s="61" t="s">
        <v>591</v>
      </c>
      <c r="D205" s="61" t="s">
        <v>592</v>
      </c>
      <c r="E205" s="1" t="s">
        <v>342</v>
      </c>
      <c r="F205" s="62" t="str">
        <f t="shared" si="50"/>
        <v>60526</v>
      </c>
      <c r="G205" s="1">
        <v>10620072</v>
      </c>
      <c r="H205" s="1" t="s">
        <v>387</v>
      </c>
      <c r="I205" s="61">
        <v>4</v>
      </c>
      <c r="J205" s="61">
        <v>9</v>
      </c>
      <c r="K205" s="61">
        <v>9</v>
      </c>
      <c r="L205" s="69">
        <f t="shared" si="40"/>
        <v>0.36</v>
      </c>
      <c r="M205" s="69">
        <f t="shared" si="41"/>
        <v>0.36</v>
      </c>
      <c r="N205" s="56">
        <f>INDEX(Rate_Chart!$A$1:$AK$127,MATCH(Data!J205,Rate_Chart!$A$1:$A$127,0),MATCH(Data!K205,Rate_Chart!$A$1:$AK$1,0))</f>
        <v>75.149999999999991</v>
      </c>
      <c r="O205" s="57">
        <f t="shared" si="42"/>
        <v>300.59999999999997</v>
      </c>
      <c r="P205" s="58">
        <f t="shared" si="43"/>
        <v>500.99999999999994</v>
      </c>
      <c r="Q205" s="58">
        <f t="shared" si="44"/>
        <v>333.99999999999994</v>
      </c>
      <c r="R205" s="66">
        <f t="shared" si="51"/>
        <v>5.2604999999999995</v>
      </c>
      <c r="S205" s="64">
        <f t="shared" si="45"/>
        <v>15</v>
      </c>
      <c r="T205" s="66">
        <f t="shared" si="46"/>
        <v>320.86049999999994</v>
      </c>
      <c r="U205" s="68">
        <f t="shared" si="47"/>
        <v>80.215124999999986</v>
      </c>
      <c r="V205" s="68">
        <f t="shared" si="48"/>
        <v>534.76749999999993</v>
      </c>
      <c r="W205" s="68">
        <f t="shared" si="49"/>
        <v>356.5116666666666</v>
      </c>
    </row>
    <row r="206" spans="1:23" x14ac:dyDescent="0.25">
      <c r="A206" s="169" t="s">
        <v>894</v>
      </c>
      <c r="B206" s="61" t="s">
        <v>397</v>
      </c>
      <c r="C206" s="61" t="s">
        <v>591</v>
      </c>
      <c r="D206" s="61" t="s">
        <v>592</v>
      </c>
      <c r="E206" s="1" t="s">
        <v>342</v>
      </c>
      <c r="F206" s="62" t="str">
        <f t="shared" si="50"/>
        <v>60526</v>
      </c>
      <c r="G206" s="1">
        <v>10620072</v>
      </c>
      <c r="H206" s="1" t="s">
        <v>388</v>
      </c>
      <c r="I206" s="61">
        <v>7</v>
      </c>
      <c r="J206" s="61">
        <v>5</v>
      </c>
      <c r="K206" s="61">
        <v>8.5</v>
      </c>
      <c r="L206" s="69">
        <f t="shared" si="40"/>
        <v>0.35</v>
      </c>
      <c r="M206" s="69">
        <f t="shared" si="41"/>
        <v>0.59499999999999997</v>
      </c>
      <c r="N206" s="56">
        <f>INDEX(Rate_Chart!$A$1:$AK$127,MATCH(Data!J206,Rate_Chart!$A$1:$A$127,0),MATCH(Data!K206,Rate_Chart!$A$1:$AK$1,0))</f>
        <v>44.481181500000005</v>
      </c>
      <c r="O206" s="57">
        <f t="shared" si="42"/>
        <v>311.36827050000005</v>
      </c>
      <c r="P206" s="58">
        <f t="shared" si="43"/>
        <v>417.01107656250002</v>
      </c>
      <c r="Q206" s="58">
        <f t="shared" si="44"/>
        <v>278.00738437500002</v>
      </c>
      <c r="R206" s="66">
        <f t="shared" si="51"/>
        <v>5.4489447337500012</v>
      </c>
      <c r="S206" s="64">
        <f t="shared" si="45"/>
        <v>26.25</v>
      </c>
      <c r="T206" s="66">
        <f t="shared" si="46"/>
        <v>343.06721523375006</v>
      </c>
      <c r="U206" s="68">
        <f t="shared" si="47"/>
        <v>49.009602176250006</v>
      </c>
      <c r="V206" s="68">
        <f t="shared" si="48"/>
        <v>459.46502040234378</v>
      </c>
      <c r="W206" s="68">
        <f t="shared" si="49"/>
        <v>306.3100136015625</v>
      </c>
    </row>
    <row r="207" spans="1:23" x14ac:dyDescent="0.25">
      <c r="A207" s="169" t="s">
        <v>888</v>
      </c>
      <c r="B207" s="61" t="s">
        <v>396</v>
      </c>
      <c r="C207" s="61" t="s">
        <v>591</v>
      </c>
      <c r="D207" s="61" t="s">
        <v>592</v>
      </c>
      <c r="E207" s="1" t="s">
        <v>343</v>
      </c>
      <c r="F207" s="62" t="str">
        <f t="shared" si="50"/>
        <v>60553</v>
      </c>
      <c r="G207" s="1">
        <v>10620050</v>
      </c>
      <c r="H207" s="1" t="s">
        <v>388</v>
      </c>
      <c r="I207" s="61">
        <v>3</v>
      </c>
      <c r="J207" s="61">
        <v>3</v>
      </c>
      <c r="K207" s="61">
        <v>8</v>
      </c>
      <c r="L207" s="69">
        <f t="shared" si="40"/>
        <v>0.09</v>
      </c>
      <c r="M207" s="69">
        <f t="shared" si="41"/>
        <v>0.24</v>
      </c>
      <c r="N207" s="56">
        <f>INDEX(Rate_Chart!$A$1:$AK$127,MATCH(Data!J207,Rate_Chart!$A$1:$A$127,0),MATCH(Data!K207,Rate_Chart!$A$1:$AK$1,0))</f>
        <v>34.751112000000006</v>
      </c>
      <c r="O207" s="57">
        <f t="shared" si="42"/>
        <v>104.25333600000002</v>
      </c>
      <c r="P207" s="58">
        <f t="shared" si="43"/>
        <v>417.01334400000002</v>
      </c>
      <c r="Q207" s="58">
        <f t="shared" si="44"/>
        <v>278.00889599999999</v>
      </c>
      <c r="R207" s="66">
        <f t="shared" si="51"/>
        <v>1.8244333800000005</v>
      </c>
      <c r="S207" s="64">
        <f t="shared" si="45"/>
        <v>11.25</v>
      </c>
      <c r="T207" s="66">
        <f t="shared" si="46"/>
        <v>117.32776938000002</v>
      </c>
      <c r="U207" s="68">
        <f t="shared" si="47"/>
        <v>39.109256460000005</v>
      </c>
      <c r="V207" s="68">
        <f t="shared" si="48"/>
        <v>469.31107752000003</v>
      </c>
      <c r="W207" s="68">
        <f t="shared" si="49"/>
        <v>312.87405168000004</v>
      </c>
    </row>
    <row r="208" spans="1:23" x14ac:dyDescent="0.25">
      <c r="A208" s="169" t="s">
        <v>889</v>
      </c>
      <c r="B208" s="61" t="s">
        <v>396</v>
      </c>
      <c r="C208" s="61" t="s">
        <v>591</v>
      </c>
      <c r="D208" s="61" t="s">
        <v>592</v>
      </c>
      <c r="E208" s="1" t="s">
        <v>343</v>
      </c>
      <c r="F208" s="62" t="str">
        <f t="shared" si="50"/>
        <v>60553</v>
      </c>
      <c r="G208" s="1">
        <v>10620050</v>
      </c>
      <c r="H208" s="1" t="s">
        <v>388</v>
      </c>
      <c r="I208" s="61">
        <v>1</v>
      </c>
      <c r="J208" s="61">
        <v>3.7</v>
      </c>
      <c r="K208" s="61">
        <v>8.1</v>
      </c>
      <c r="L208" s="69">
        <f t="shared" si="40"/>
        <v>3.7000000000000005E-2</v>
      </c>
      <c r="M208" s="69">
        <f t="shared" si="41"/>
        <v>8.1000000000000003E-2</v>
      </c>
      <c r="N208" s="56">
        <f>INDEX(Rate_Chart!$A$1:$AK$127,MATCH(Data!J208,Rate_Chart!$A$1:$A$127,0),MATCH(Data!K208,Rate_Chart!$A$1:$AK$1,0))</f>
        <v>37.948125900000008</v>
      </c>
      <c r="O208" s="57">
        <f t="shared" si="42"/>
        <v>37.948125900000008</v>
      </c>
      <c r="P208" s="58">
        <f t="shared" si="43"/>
        <v>417.01237252747262</v>
      </c>
      <c r="Q208" s="58">
        <f t="shared" si="44"/>
        <v>278.00824835164843</v>
      </c>
      <c r="R208" s="66">
        <f t="shared" si="51"/>
        <v>0.66409220325000018</v>
      </c>
      <c r="S208" s="64">
        <f t="shared" si="45"/>
        <v>3.75</v>
      </c>
      <c r="T208" s="66">
        <f t="shared" si="46"/>
        <v>42.362218103250008</v>
      </c>
      <c r="U208" s="68">
        <f t="shared" si="47"/>
        <v>42.362218103250008</v>
      </c>
      <c r="V208" s="68">
        <f t="shared" si="48"/>
        <v>465.51888025549459</v>
      </c>
      <c r="W208" s="68">
        <f t="shared" si="49"/>
        <v>310.34592017032975</v>
      </c>
    </row>
    <row r="209" spans="1:23" x14ac:dyDescent="0.25">
      <c r="A209" s="169" t="s">
        <v>889</v>
      </c>
      <c r="B209" s="61" t="s">
        <v>397</v>
      </c>
      <c r="C209" s="61" t="s">
        <v>591</v>
      </c>
      <c r="D209" s="61" t="s">
        <v>592</v>
      </c>
      <c r="E209" s="1" t="s">
        <v>343</v>
      </c>
      <c r="F209" s="62" t="str">
        <f t="shared" si="50"/>
        <v>60553</v>
      </c>
      <c r="G209" s="1">
        <v>10620050</v>
      </c>
      <c r="H209" s="1" t="s">
        <v>388</v>
      </c>
      <c r="I209" s="61">
        <v>2</v>
      </c>
      <c r="J209" s="61">
        <v>3</v>
      </c>
      <c r="K209" s="61">
        <v>8</v>
      </c>
      <c r="L209" s="69">
        <f t="shared" si="40"/>
        <v>0.06</v>
      </c>
      <c r="M209" s="69">
        <f t="shared" si="41"/>
        <v>0.16</v>
      </c>
      <c r="N209" s="56">
        <f>INDEX(Rate_Chart!$A$1:$AK$127,MATCH(Data!J209,Rate_Chart!$A$1:$A$127,0),MATCH(Data!K209,Rate_Chart!$A$1:$AK$1,0))</f>
        <v>34.751112000000006</v>
      </c>
      <c r="O209" s="57">
        <f t="shared" si="42"/>
        <v>69.502224000000012</v>
      </c>
      <c r="P209" s="58">
        <f t="shared" si="43"/>
        <v>417.01334400000002</v>
      </c>
      <c r="Q209" s="58">
        <f t="shared" si="44"/>
        <v>278.00889599999999</v>
      </c>
      <c r="R209" s="66">
        <f t="shared" si="51"/>
        <v>1.2162889200000004</v>
      </c>
      <c r="S209" s="64">
        <f t="shared" si="45"/>
        <v>7.5</v>
      </c>
      <c r="T209" s="66">
        <f t="shared" si="46"/>
        <v>78.218512920000009</v>
      </c>
      <c r="U209" s="68">
        <f t="shared" si="47"/>
        <v>39.109256460000005</v>
      </c>
      <c r="V209" s="68">
        <f t="shared" si="48"/>
        <v>469.31107752000003</v>
      </c>
      <c r="W209" s="68">
        <f t="shared" si="49"/>
        <v>312.87405168000004</v>
      </c>
    </row>
    <row r="210" spans="1:23" x14ac:dyDescent="0.25">
      <c r="A210" s="169" t="s">
        <v>890</v>
      </c>
      <c r="B210" s="61" t="s">
        <v>396</v>
      </c>
      <c r="C210" s="61" t="s">
        <v>591</v>
      </c>
      <c r="D210" s="61" t="s">
        <v>592</v>
      </c>
      <c r="E210" s="1" t="s">
        <v>343</v>
      </c>
      <c r="F210" s="62" t="str">
        <f t="shared" si="50"/>
        <v>60553</v>
      </c>
      <c r="G210" s="1">
        <v>10620050</v>
      </c>
      <c r="H210" s="1" t="s">
        <v>388</v>
      </c>
      <c r="I210" s="61">
        <v>5</v>
      </c>
      <c r="J210" s="61">
        <v>3.3</v>
      </c>
      <c r="K210" s="61">
        <v>8</v>
      </c>
      <c r="L210" s="69">
        <f t="shared" si="40"/>
        <v>0.16500000000000001</v>
      </c>
      <c r="M210" s="69">
        <f t="shared" si="41"/>
        <v>0.4</v>
      </c>
      <c r="N210" s="56">
        <f>INDEX(Rate_Chart!$A$1:$AK$127,MATCH(Data!J210,Rate_Chart!$A$1:$A$127,0),MATCH(Data!K210,Rate_Chart!$A$1:$AK$1,0))</f>
        <v>36.002112000000004</v>
      </c>
      <c r="O210" s="57">
        <f t="shared" si="42"/>
        <v>180.01056000000003</v>
      </c>
      <c r="P210" s="58">
        <f t="shared" si="43"/>
        <v>417.01288030888031</v>
      </c>
      <c r="Q210" s="58">
        <f t="shared" si="44"/>
        <v>278.00858687258687</v>
      </c>
      <c r="R210" s="66">
        <f t="shared" si="51"/>
        <v>3.1501848000000008</v>
      </c>
      <c r="S210" s="64">
        <f t="shared" si="45"/>
        <v>18.75</v>
      </c>
      <c r="T210" s="66">
        <f t="shared" si="46"/>
        <v>201.91074480000003</v>
      </c>
      <c r="U210" s="68">
        <f t="shared" si="47"/>
        <v>40.382148960000009</v>
      </c>
      <c r="V210" s="68">
        <f t="shared" si="48"/>
        <v>467.74689915057917</v>
      </c>
      <c r="W210" s="68">
        <f t="shared" si="49"/>
        <v>311.83126610038613</v>
      </c>
    </row>
    <row r="211" spans="1:23" x14ac:dyDescent="0.25">
      <c r="A211" s="169" t="s">
        <v>890</v>
      </c>
      <c r="B211" s="61" t="s">
        <v>397</v>
      </c>
      <c r="C211" s="61" t="s">
        <v>591</v>
      </c>
      <c r="D211" s="61" t="s">
        <v>592</v>
      </c>
      <c r="E211" s="1" t="s">
        <v>343</v>
      </c>
      <c r="F211" s="62" t="str">
        <f t="shared" si="50"/>
        <v>60553</v>
      </c>
      <c r="G211" s="1">
        <v>10620050</v>
      </c>
      <c r="H211" s="1" t="s">
        <v>388</v>
      </c>
      <c r="I211" s="61">
        <v>3</v>
      </c>
      <c r="J211" s="61">
        <v>3</v>
      </c>
      <c r="K211" s="61">
        <v>8</v>
      </c>
      <c r="L211" s="69">
        <f t="shared" si="40"/>
        <v>0.09</v>
      </c>
      <c r="M211" s="69">
        <f t="shared" si="41"/>
        <v>0.24</v>
      </c>
      <c r="N211" s="56">
        <f>INDEX(Rate_Chart!$A$1:$AK$127,MATCH(Data!J211,Rate_Chart!$A$1:$A$127,0),MATCH(Data!K211,Rate_Chart!$A$1:$AK$1,0))</f>
        <v>34.751112000000006</v>
      </c>
      <c r="O211" s="57">
        <f t="shared" si="42"/>
        <v>104.25333600000002</v>
      </c>
      <c r="P211" s="58">
        <f t="shared" si="43"/>
        <v>417.01334400000002</v>
      </c>
      <c r="Q211" s="58">
        <f t="shared" si="44"/>
        <v>278.00889599999999</v>
      </c>
      <c r="R211" s="66">
        <f t="shared" si="51"/>
        <v>1.8244333800000005</v>
      </c>
      <c r="S211" s="64">
        <f t="shared" si="45"/>
        <v>11.25</v>
      </c>
      <c r="T211" s="66">
        <f t="shared" si="46"/>
        <v>117.32776938000002</v>
      </c>
      <c r="U211" s="68">
        <f t="shared" si="47"/>
        <v>39.109256460000005</v>
      </c>
      <c r="V211" s="68">
        <f t="shared" si="48"/>
        <v>469.31107752000003</v>
      </c>
      <c r="W211" s="68">
        <f t="shared" si="49"/>
        <v>312.87405168000004</v>
      </c>
    </row>
    <row r="212" spans="1:23" x14ac:dyDescent="0.25">
      <c r="A212" s="169" t="s">
        <v>891</v>
      </c>
      <c r="B212" s="61" t="s">
        <v>396</v>
      </c>
      <c r="C212" s="61" t="s">
        <v>591</v>
      </c>
      <c r="D212" s="61" t="s">
        <v>592</v>
      </c>
      <c r="E212" s="1" t="s">
        <v>343</v>
      </c>
      <c r="F212" s="62" t="str">
        <f t="shared" si="50"/>
        <v>60553</v>
      </c>
      <c r="G212" s="1">
        <v>10620050</v>
      </c>
      <c r="H212" s="1" t="s">
        <v>388</v>
      </c>
      <c r="I212" s="61">
        <v>3</v>
      </c>
      <c r="J212" s="61">
        <v>3</v>
      </c>
      <c r="K212" s="61">
        <v>8</v>
      </c>
      <c r="L212" s="69">
        <f t="shared" si="40"/>
        <v>0.09</v>
      </c>
      <c r="M212" s="69">
        <f t="shared" si="41"/>
        <v>0.24</v>
      </c>
      <c r="N212" s="56">
        <f>INDEX(Rate_Chart!$A$1:$AK$127,MATCH(Data!J212,Rate_Chart!$A$1:$A$127,0),MATCH(Data!K212,Rate_Chart!$A$1:$AK$1,0))</f>
        <v>34.751112000000006</v>
      </c>
      <c r="O212" s="57">
        <f t="shared" si="42"/>
        <v>104.25333600000002</v>
      </c>
      <c r="P212" s="58">
        <f t="shared" si="43"/>
        <v>417.01334400000002</v>
      </c>
      <c r="Q212" s="58">
        <f t="shared" si="44"/>
        <v>278.00889599999999</v>
      </c>
      <c r="R212" s="66">
        <f t="shared" si="51"/>
        <v>1.8244333800000005</v>
      </c>
      <c r="S212" s="64">
        <f t="shared" si="45"/>
        <v>11.25</v>
      </c>
      <c r="T212" s="66">
        <f t="shared" si="46"/>
        <v>117.32776938000002</v>
      </c>
      <c r="U212" s="68">
        <f t="shared" si="47"/>
        <v>39.109256460000005</v>
      </c>
      <c r="V212" s="68">
        <f t="shared" si="48"/>
        <v>469.31107752000003</v>
      </c>
      <c r="W212" s="68">
        <f t="shared" si="49"/>
        <v>312.87405168000004</v>
      </c>
    </row>
    <row r="213" spans="1:23" x14ac:dyDescent="0.25">
      <c r="A213" s="169" t="s">
        <v>891</v>
      </c>
      <c r="B213" s="61" t="s">
        <v>397</v>
      </c>
      <c r="C213" s="61" t="s">
        <v>591</v>
      </c>
      <c r="D213" s="61" t="s">
        <v>592</v>
      </c>
      <c r="E213" s="1" t="s">
        <v>343</v>
      </c>
      <c r="F213" s="62" t="str">
        <f t="shared" si="50"/>
        <v>60553</v>
      </c>
      <c r="G213" s="1">
        <v>10620050</v>
      </c>
      <c r="H213" s="1" t="s">
        <v>388</v>
      </c>
      <c r="I213" s="61">
        <v>2</v>
      </c>
      <c r="J213" s="61">
        <v>3</v>
      </c>
      <c r="K213" s="61">
        <v>8</v>
      </c>
      <c r="L213" s="69">
        <f t="shared" si="40"/>
        <v>0.06</v>
      </c>
      <c r="M213" s="69">
        <f t="shared" si="41"/>
        <v>0.16</v>
      </c>
      <c r="N213" s="56">
        <f>INDEX(Rate_Chart!$A$1:$AK$127,MATCH(Data!J213,Rate_Chart!$A$1:$A$127,0),MATCH(Data!K213,Rate_Chart!$A$1:$AK$1,0))</f>
        <v>34.751112000000006</v>
      </c>
      <c r="O213" s="57">
        <f t="shared" si="42"/>
        <v>69.502224000000012</v>
      </c>
      <c r="P213" s="58">
        <f t="shared" si="43"/>
        <v>417.01334400000002</v>
      </c>
      <c r="Q213" s="58">
        <f t="shared" si="44"/>
        <v>278.00889599999999</v>
      </c>
      <c r="R213" s="66">
        <f t="shared" si="51"/>
        <v>1.2162889200000004</v>
      </c>
      <c r="S213" s="64">
        <f t="shared" si="45"/>
        <v>7.5</v>
      </c>
      <c r="T213" s="66">
        <f t="shared" si="46"/>
        <v>78.218512920000009</v>
      </c>
      <c r="U213" s="68">
        <f t="shared" si="47"/>
        <v>39.109256460000005</v>
      </c>
      <c r="V213" s="68">
        <f t="shared" si="48"/>
        <v>469.31107752000003</v>
      </c>
      <c r="W213" s="68">
        <f t="shared" si="49"/>
        <v>312.87405168000004</v>
      </c>
    </row>
    <row r="214" spans="1:23" x14ac:dyDescent="0.25">
      <c r="A214" s="169" t="s">
        <v>892</v>
      </c>
      <c r="B214" s="61" t="s">
        <v>396</v>
      </c>
      <c r="C214" s="61" t="s">
        <v>591</v>
      </c>
      <c r="D214" s="61" t="s">
        <v>592</v>
      </c>
      <c r="E214" s="1" t="s">
        <v>343</v>
      </c>
      <c r="F214" s="62" t="str">
        <f t="shared" si="50"/>
        <v>60553</v>
      </c>
      <c r="G214" s="1">
        <v>10620050</v>
      </c>
      <c r="H214" s="1" t="s">
        <v>388</v>
      </c>
      <c r="I214" s="61">
        <v>3</v>
      </c>
      <c r="J214" s="61">
        <v>3.4</v>
      </c>
      <c r="K214" s="61">
        <v>8</v>
      </c>
      <c r="L214" s="69">
        <f t="shared" si="40"/>
        <v>0.10199999999999999</v>
      </c>
      <c r="M214" s="69">
        <f t="shared" si="41"/>
        <v>0.24</v>
      </c>
      <c r="N214" s="56">
        <f>INDEX(Rate_Chart!$A$1:$AK$127,MATCH(Data!J214,Rate_Chart!$A$1:$A$127,0),MATCH(Data!K214,Rate_Chart!$A$1:$AK$1,0))</f>
        <v>36.419112000000005</v>
      </c>
      <c r="O214" s="57">
        <f t="shared" si="42"/>
        <v>109.25733600000001</v>
      </c>
      <c r="P214" s="58">
        <f t="shared" si="43"/>
        <v>417.01273282442747</v>
      </c>
      <c r="Q214" s="58">
        <f t="shared" si="44"/>
        <v>278.00848854961833</v>
      </c>
      <c r="R214" s="66">
        <f t="shared" si="51"/>
        <v>1.9120033800000003</v>
      </c>
      <c r="S214" s="64">
        <f t="shared" si="45"/>
        <v>11.25</v>
      </c>
      <c r="T214" s="66">
        <f t="shared" si="46"/>
        <v>122.41933938000001</v>
      </c>
      <c r="U214" s="68">
        <f t="shared" si="47"/>
        <v>40.806446460000004</v>
      </c>
      <c r="V214" s="68">
        <f t="shared" si="48"/>
        <v>467.24938694656487</v>
      </c>
      <c r="W214" s="68">
        <f t="shared" si="49"/>
        <v>311.49959129770991</v>
      </c>
    </row>
    <row r="215" spans="1:23" x14ac:dyDescent="0.25">
      <c r="A215" s="169" t="s">
        <v>893</v>
      </c>
      <c r="B215" s="61" t="s">
        <v>396</v>
      </c>
      <c r="C215" s="61" t="s">
        <v>591</v>
      </c>
      <c r="D215" s="61" t="s">
        <v>592</v>
      </c>
      <c r="E215" s="1" t="s">
        <v>343</v>
      </c>
      <c r="F215" s="62" t="str">
        <f t="shared" si="50"/>
        <v>60553</v>
      </c>
      <c r="G215" s="1">
        <v>10620050</v>
      </c>
      <c r="H215" s="1" t="s">
        <v>388</v>
      </c>
      <c r="I215" s="61">
        <v>5</v>
      </c>
      <c r="J215" s="61">
        <v>3.2</v>
      </c>
      <c r="K215" s="61">
        <v>8</v>
      </c>
      <c r="L215" s="69">
        <f t="shared" si="40"/>
        <v>0.16</v>
      </c>
      <c r="M215" s="69">
        <f t="shared" si="41"/>
        <v>0.4</v>
      </c>
      <c r="N215" s="56">
        <f>INDEX(Rate_Chart!$A$1:$AK$127,MATCH(Data!J215,Rate_Chart!$A$1:$A$127,0),MATCH(Data!K215,Rate_Chart!$A$1:$AK$1,0))</f>
        <v>35.585112000000002</v>
      </c>
      <c r="O215" s="57">
        <f t="shared" si="42"/>
        <v>177.92556000000002</v>
      </c>
      <c r="P215" s="58">
        <f t="shared" si="43"/>
        <v>417.01303124999998</v>
      </c>
      <c r="Q215" s="58">
        <f t="shared" si="44"/>
        <v>278.00868750000001</v>
      </c>
      <c r="R215" s="66">
        <f t="shared" si="51"/>
        <v>3.1136973000000006</v>
      </c>
      <c r="S215" s="64">
        <f t="shared" si="45"/>
        <v>18.75</v>
      </c>
      <c r="T215" s="66">
        <f t="shared" si="46"/>
        <v>199.78925730000003</v>
      </c>
      <c r="U215" s="68">
        <f t="shared" si="47"/>
        <v>39.957851460000008</v>
      </c>
      <c r="V215" s="68">
        <f t="shared" si="48"/>
        <v>468.25607179687501</v>
      </c>
      <c r="W215" s="68">
        <f t="shared" si="49"/>
        <v>312.17071453124998</v>
      </c>
    </row>
    <row r="216" spans="1:23" x14ac:dyDescent="0.25">
      <c r="A216" s="169" t="s">
        <v>894</v>
      </c>
      <c r="B216" s="61" t="s">
        <v>396</v>
      </c>
      <c r="C216" s="61" t="s">
        <v>591</v>
      </c>
      <c r="D216" s="61" t="s">
        <v>592</v>
      </c>
      <c r="E216" s="1" t="s">
        <v>343</v>
      </c>
      <c r="F216" s="62" t="str">
        <f t="shared" si="50"/>
        <v>60553</v>
      </c>
      <c r="G216" s="1">
        <v>10620050</v>
      </c>
      <c r="H216" s="1" t="s">
        <v>388</v>
      </c>
      <c r="I216" s="61">
        <v>4</v>
      </c>
      <c r="J216" s="61">
        <v>3.3</v>
      </c>
      <c r="K216" s="61">
        <v>8</v>
      </c>
      <c r="L216" s="69">
        <f t="shared" si="40"/>
        <v>0.13200000000000001</v>
      </c>
      <c r="M216" s="69">
        <f t="shared" si="41"/>
        <v>0.32</v>
      </c>
      <c r="N216" s="56">
        <f>INDEX(Rate_Chart!$A$1:$AK$127,MATCH(Data!J216,Rate_Chart!$A$1:$A$127,0),MATCH(Data!K216,Rate_Chart!$A$1:$AK$1,0))</f>
        <v>36.002112000000004</v>
      </c>
      <c r="O216" s="57">
        <f t="shared" si="42"/>
        <v>144.00844800000002</v>
      </c>
      <c r="P216" s="58">
        <f t="shared" si="43"/>
        <v>417.01288030888031</v>
      </c>
      <c r="Q216" s="58">
        <f t="shared" si="44"/>
        <v>278.00858687258687</v>
      </c>
      <c r="R216" s="66">
        <f t="shared" si="51"/>
        <v>2.5201478400000004</v>
      </c>
      <c r="S216" s="64">
        <f t="shared" si="45"/>
        <v>15</v>
      </c>
      <c r="T216" s="66">
        <f t="shared" si="46"/>
        <v>161.52859584000001</v>
      </c>
      <c r="U216" s="68">
        <f t="shared" si="47"/>
        <v>40.382148960000002</v>
      </c>
      <c r="V216" s="68">
        <f t="shared" si="48"/>
        <v>467.74689915057911</v>
      </c>
      <c r="W216" s="68">
        <f t="shared" si="49"/>
        <v>311.83126610038607</v>
      </c>
    </row>
    <row r="217" spans="1:23" x14ac:dyDescent="0.25">
      <c r="A217" s="169" t="s">
        <v>888</v>
      </c>
      <c r="B217" s="61" t="s">
        <v>396</v>
      </c>
      <c r="C217" s="61" t="s">
        <v>591</v>
      </c>
      <c r="D217" s="61" t="s">
        <v>592</v>
      </c>
      <c r="E217" s="1" t="s">
        <v>344</v>
      </c>
      <c r="F217" s="62" t="str">
        <f t="shared" si="50"/>
        <v>60566</v>
      </c>
      <c r="G217" s="1">
        <v>10620059</v>
      </c>
      <c r="H217" s="1" t="s">
        <v>387</v>
      </c>
      <c r="I217" s="61">
        <v>19</v>
      </c>
      <c r="J217" s="61">
        <v>7.6</v>
      </c>
      <c r="K217" s="61">
        <v>9</v>
      </c>
      <c r="L217" s="69">
        <f t="shared" si="40"/>
        <v>1.444</v>
      </c>
      <c r="M217" s="69">
        <f t="shared" si="41"/>
        <v>1.71</v>
      </c>
      <c r="N217" s="56">
        <f>INDEX(Rate_Chart!$A$1:$AK$127,MATCH(Data!J217,Rate_Chart!$A$1:$A$127,0),MATCH(Data!K217,Rate_Chart!$A$1:$AK$1,0))</f>
        <v>63.46</v>
      </c>
      <c r="O217" s="57">
        <f t="shared" si="42"/>
        <v>1205.74</v>
      </c>
      <c r="P217" s="58">
        <f t="shared" si="43"/>
        <v>466.61764705882348</v>
      </c>
      <c r="Q217" s="58">
        <f t="shared" si="44"/>
        <v>311.07843137254901</v>
      </c>
      <c r="R217" s="66">
        <f t="shared" si="51"/>
        <v>21.100450000000002</v>
      </c>
      <c r="S217" s="64">
        <f t="shared" si="45"/>
        <v>71.25</v>
      </c>
      <c r="T217" s="66">
        <f t="shared" si="46"/>
        <v>1298.0904499999999</v>
      </c>
      <c r="U217" s="68">
        <f t="shared" si="47"/>
        <v>68.320549999999997</v>
      </c>
      <c r="V217" s="68">
        <f t="shared" si="48"/>
        <v>502.35698529411758</v>
      </c>
      <c r="W217" s="68">
        <f t="shared" si="49"/>
        <v>334.90465686274507</v>
      </c>
    </row>
    <row r="218" spans="1:23" x14ac:dyDescent="0.25">
      <c r="A218" s="169" t="s">
        <v>888</v>
      </c>
      <c r="B218" s="61" t="s">
        <v>397</v>
      </c>
      <c r="C218" s="61" t="s">
        <v>591</v>
      </c>
      <c r="D218" s="61" t="s">
        <v>592</v>
      </c>
      <c r="E218" s="1" t="s">
        <v>344</v>
      </c>
      <c r="F218" s="62" t="str">
        <f t="shared" si="50"/>
        <v>60566</v>
      </c>
      <c r="G218" s="1">
        <v>10620059</v>
      </c>
      <c r="H218" s="1" t="s">
        <v>387</v>
      </c>
      <c r="I218" s="61">
        <v>31</v>
      </c>
      <c r="J218" s="61">
        <v>5.6</v>
      </c>
      <c r="K218" s="61">
        <v>8.4</v>
      </c>
      <c r="L218" s="69">
        <f t="shared" si="40"/>
        <v>1.736</v>
      </c>
      <c r="M218" s="69">
        <f t="shared" si="41"/>
        <v>2.6040000000000005</v>
      </c>
      <c r="N218" s="56">
        <f>INDEX(Rate_Chart!$A$1:$AK$127,MATCH(Data!J218,Rate_Chart!$A$1:$A$127,0),MATCH(Data!K218,Rate_Chart!$A$1:$AK$1,0))</f>
        <v>45.357199999999999</v>
      </c>
      <c r="O218" s="57">
        <f t="shared" si="42"/>
        <v>1406.0732</v>
      </c>
      <c r="P218" s="58">
        <f t="shared" si="43"/>
        <v>404.97500000000002</v>
      </c>
      <c r="Q218" s="58">
        <f t="shared" si="44"/>
        <v>269.98333333333335</v>
      </c>
      <c r="R218" s="66">
        <f t="shared" si="51"/>
        <v>24.606281000000003</v>
      </c>
      <c r="S218" s="64">
        <f t="shared" si="45"/>
        <v>116.25</v>
      </c>
      <c r="T218" s="66">
        <f t="shared" si="46"/>
        <v>1546.9294810000001</v>
      </c>
      <c r="U218" s="68">
        <f t="shared" si="47"/>
        <v>49.900951000000006</v>
      </c>
      <c r="V218" s="68">
        <f t="shared" si="48"/>
        <v>445.54420535714297</v>
      </c>
      <c r="W218" s="68">
        <f t="shared" si="49"/>
        <v>297.02947023809531</v>
      </c>
    </row>
    <row r="219" spans="1:23" x14ac:dyDescent="0.25">
      <c r="A219" s="169" t="s">
        <v>888</v>
      </c>
      <c r="B219" s="61" t="s">
        <v>397</v>
      </c>
      <c r="C219" s="61" t="s">
        <v>591</v>
      </c>
      <c r="D219" s="61" t="s">
        <v>592</v>
      </c>
      <c r="E219" s="1" t="s">
        <v>344</v>
      </c>
      <c r="F219" s="62" t="str">
        <f t="shared" si="50"/>
        <v>60566</v>
      </c>
      <c r="G219" s="1">
        <v>10620059</v>
      </c>
      <c r="H219" s="1" t="s">
        <v>388</v>
      </c>
      <c r="I219" s="61">
        <v>80</v>
      </c>
      <c r="J219" s="61">
        <v>3.2</v>
      </c>
      <c r="K219" s="61">
        <v>8.1</v>
      </c>
      <c r="L219" s="69">
        <f t="shared" si="40"/>
        <v>2.56</v>
      </c>
      <c r="M219" s="69">
        <f t="shared" si="41"/>
        <v>6.48</v>
      </c>
      <c r="N219" s="56">
        <f>INDEX(Rate_Chart!$A$1:$AK$127,MATCH(Data!J219,Rate_Chart!$A$1:$A$127,0),MATCH(Data!K219,Rate_Chart!$A$1:$AK$1,0))</f>
        <v>35.8631259</v>
      </c>
      <c r="O219" s="57">
        <f t="shared" si="42"/>
        <v>2869.050072</v>
      </c>
      <c r="P219" s="58">
        <f t="shared" si="43"/>
        <v>417.01309186046512</v>
      </c>
      <c r="Q219" s="58">
        <f t="shared" si="44"/>
        <v>278.00872790697673</v>
      </c>
      <c r="R219" s="66">
        <f t="shared" si="51"/>
        <v>50.208376260000001</v>
      </c>
      <c r="S219" s="64">
        <f t="shared" si="45"/>
        <v>300</v>
      </c>
      <c r="T219" s="66">
        <f t="shared" si="46"/>
        <v>3219.25844826</v>
      </c>
      <c r="U219" s="68">
        <f t="shared" si="47"/>
        <v>40.24073060325</v>
      </c>
      <c r="V219" s="68">
        <f t="shared" si="48"/>
        <v>467.91547213081401</v>
      </c>
      <c r="W219" s="68">
        <f t="shared" si="49"/>
        <v>311.94364808720934</v>
      </c>
    </row>
    <row r="220" spans="1:23" x14ac:dyDescent="0.25">
      <c r="A220" s="169" t="s">
        <v>889</v>
      </c>
      <c r="B220" s="61" t="s">
        <v>396</v>
      </c>
      <c r="C220" s="61" t="s">
        <v>591</v>
      </c>
      <c r="D220" s="61" t="s">
        <v>592</v>
      </c>
      <c r="E220" s="1" t="s">
        <v>344</v>
      </c>
      <c r="F220" s="62" t="str">
        <f t="shared" si="50"/>
        <v>60566</v>
      </c>
      <c r="G220" s="1">
        <v>10620059</v>
      </c>
      <c r="H220" s="1" t="s">
        <v>387</v>
      </c>
      <c r="I220" s="61">
        <v>20</v>
      </c>
      <c r="J220" s="61">
        <v>7.8</v>
      </c>
      <c r="K220" s="61">
        <v>8.8000000000000007</v>
      </c>
      <c r="L220" s="69">
        <f t="shared" si="40"/>
        <v>1.56</v>
      </c>
      <c r="M220" s="69">
        <f t="shared" si="41"/>
        <v>1.76</v>
      </c>
      <c r="N220" s="56">
        <f>INDEX(Rate_Chart!$A$1:$AK$127,MATCH(Data!J220,Rate_Chart!$A$1:$A$127,0),MATCH(Data!K220,Rate_Chart!$A$1:$AK$1,0))</f>
        <v>64.478699999999989</v>
      </c>
      <c r="O220" s="57">
        <f t="shared" si="42"/>
        <v>1289.5739999999998</v>
      </c>
      <c r="P220" s="58">
        <f t="shared" si="43"/>
        <v>471.7953658536585</v>
      </c>
      <c r="Q220" s="58">
        <f t="shared" si="44"/>
        <v>314.530243902439</v>
      </c>
      <c r="R220" s="66">
        <f t="shared" si="51"/>
        <v>22.567544999999999</v>
      </c>
      <c r="S220" s="64">
        <f t="shared" si="45"/>
        <v>75</v>
      </c>
      <c r="T220" s="66">
        <f t="shared" si="46"/>
        <v>1387.141545</v>
      </c>
      <c r="U220" s="68">
        <f t="shared" si="47"/>
        <v>69.357077250000003</v>
      </c>
      <c r="V220" s="68">
        <f t="shared" si="48"/>
        <v>507.49080914634152</v>
      </c>
      <c r="W220" s="68">
        <f t="shared" si="49"/>
        <v>338.32720609756103</v>
      </c>
    </row>
    <row r="221" spans="1:23" x14ac:dyDescent="0.25">
      <c r="A221" s="169" t="s">
        <v>889</v>
      </c>
      <c r="B221" s="61" t="s">
        <v>397</v>
      </c>
      <c r="C221" s="61" t="s">
        <v>591</v>
      </c>
      <c r="D221" s="61" t="s">
        <v>592</v>
      </c>
      <c r="E221" s="1" t="s">
        <v>344</v>
      </c>
      <c r="F221" s="62" t="str">
        <f t="shared" si="50"/>
        <v>60566</v>
      </c>
      <c r="G221" s="1">
        <v>10620059</v>
      </c>
      <c r="H221" s="1" t="s">
        <v>387</v>
      </c>
      <c r="I221" s="61">
        <v>40</v>
      </c>
      <c r="J221" s="61">
        <v>5.6</v>
      </c>
      <c r="K221" s="61">
        <v>8.4</v>
      </c>
      <c r="L221" s="69">
        <f t="shared" si="40"/>
        <v>2.2400000000000002</v>
      </c>
      <c r="M221" s="69">
        <f t="shared" si="41"/>
        <v>3.36</v>
      </c>
      <c r="N221" s="56">
        <f>INDEX(Rate_Chart!$A$1:$AK$127,MATCH(Data!J221,Rate_Chart!$A$1:$A$127,0),MATCH(Data!K221,Rate_Chart!$A$1:$AK$1,0))</f>
        <v>45.357199999999999</v>
      </c>
      <c r="O221" s="57">
        <f t="shared" si="42"/>
        <v>1814.288</v>
      </c>
      <c r="P221" s="58">
        <f t="shared" si="43"/>
        <v>404.97500000000002</v>
      </c>
      <c r="Q221" s="58">
        <f t="shared" si="44"/>
        <v>269.98333333333335</v>
      </c>
      <c r="R221" s="66">
        <f t="shared" si="51"/>
        <v>31.750040000000002</v>
      </c>
      <c r="S221" s="64">
        <f t="shared" si="45"/>
        <v>150</v>
      </c>
      <c r="T221" s="66">
        <f t="shared" si="46"/>
        <v>1996.0380399999999</v>
      </c>
      <c r="U221" s="68">
        <f t="shared" si="47"/>
        <v>49.900950999999999</v>
      </c>
      <c r="V221" s="68">
        <f t="shared" si="48"/>
        <v>445.54420535714291</v>
      </c>
      <c r="W221" s="68">
        <f t="shared" si="49"/>
        <v>297.02947023809526</v>
      </c>
    </row>
    <row r="222" spans="1:23" x14ac:dyDescent="0.25">
      <c r="A222" s="169" t="s">
        <v>889</v>
      </c>
      <c r="B222" s="61" t="s">
        <v>397</v>
      </c>
      <c r="C222" s="61" t="s">
        <v>591</v>
      </c>
      <c r="D222" s="61" t="s">
        <v>592</v>
      </c>
      <c r="E222" s="1" t="s">
        <v>344</v>
      </c>
      <c r="F222" s="62" t="str">
        <f t="shared" si="50"/>
        <v>60566</v>
      </c>
      <c r="G222" s="1">
        <v>10620059</v>
      </c>
      <c r="H222" s="1" t="s">
        <v>388</v>
      </c>
      <c r="I222" s="61">
        <v>85</v>
      </c>
      <c r="J222" s="61">
        <v>3.1</v>
      </c>
      <c r="K222" s="61">
        <v>8</v>
      </c>
      <c r="L222" s="69">
        <f t="shared" si="40"/>
        <v>2.6349999999999998</v>
      </c>
      <c r="M222" s="69">
        <f t="shared" si="41"/>
        <v>6.8</v>
      </c>
      <c r="N222" s="56">
        <f>INDEX(Rate_Chart!$A$1:$AK$127,MATCH(Data!J222,Rate_Chart!$A$1:$A$127,0),MATCH(Data!K222,Rate_Chart!$A$1:$AK$1,0))</f>
        <v>35.168112000000008</v>
      </c>
      <c r="O222" s="57">
        <f t="shared" si="42"/>
        <v>2989.2895200000007</v>
      </c>
      <c r="P222" s="58">
        <f t="shared" si="43"/>
        <v>417.01318577075102</v>
      </c>
      <c r="Q222" s="58">
        <f t="shared" si="44"/>
        <v>278.00879051383401</v>
      </c>
      <c r="R222" s="66">
        <f t="shared" si="51"/>
        <v>52.312566600000018</v>
      </c>
      <c r="S222" s="64">
        <f t="shared" si="45"/>
        <v>318.75</v>
      </c>
      <c r="T222" s="66">
        <f t="shared" si="46"/>
        <v>3360.3520866000008</v>
      </c>
      <c r="U222" s="68">
        <f t="shared" si="47"/>
        <v>39.533553960000006</v>
      </c>
      <c r="V222" s="68">
        <f t="shared" si="48"/>
        <v>468.77731968379447</v>
      </c>
      <c r="W222" s="68">
        <f t="shared" si="49"/>
        <v>312.51821312252963</v>
      </c>
    </row>
    <row r="223" spans="1:23" x14ac:dyDescent="0.25">
      <c r="A223" s="169" t="s">
        <v>890</v>
      </c>
      <c r="B223" s="61" t="s">
        <v>396</v>
      </c>
      <c r="C223" s="61" t="s">
        <v>591</v>
      </c>
      <c r="D223" s="61" t="s">
        <v>592</v>
      </c>
      <c r="E223" s="1" t="s">
        <v>344</v>
      </c>
      <c r="F223" s="62" t="str">
        <f t="shared" si="50"/>
        <v>60566</v>
      </c>
      <c r="G223" s="1">
        <v>10620059</v>
      </c>
      <c r="H223" s="1" t="s">
        <v>387</v>
      </c>
      <c r="I223" s="61">
        <v>21</v>
      </c>
      <c r="J223" s="61">
        <v>7.3</v>
      </c>
      <c r="K223" s="61">
        <v>8.8000000000000007</v>
      </c>
      <c r="L223" s="69">
        <f t="shared" si="40"/>
        <v>1.5329999999999999</v>
      </c>
      <c r="M223" s="69">
        <f t="shared" si="41"/>
        <v>1.8480000000000001</v>
      </c>
      <c r="N223" s="56">
        <f>INDEX(Rate_Chart!$A$1:$AK$127,MATCH(Data!J223,Rate_Chart!$A$1:$A$127,0),MATCH(Data!K223,Rate_Chart!$A$1:$AK$1,0))</f>
        <v>60.34545</v>
      </c>
      <c r="O223" s="57">
        <f t="shared" si="42"/>
        <v>1267.2544499999999</v>
      </c>
      <c r="P223" s="58">
        <f t="shared" si="43"/>
        <v>458.31987341772157</v>
      </c>
      <c r="Q223" s="58">
        <f t="shared" si="44"/>
        <v>305.54658227848103</v>
      </c>
      <c r="R223" s="66">
        <f t="shared" si="51"/>
        <v>22.176952875000001</v>
      </c>
      <c r="S223" s="64">
        <f t="shared" si="45"/>
        <v>78.75</v>
      </c>
      <c r="T223" s="66">
        <f t="shared" si="46"/>
        <v>1368.181402875</v>
      </c>
      <c r="U223" s="68">
        <f t="shared" si="47"/>
        <v>65.151495374999996</v>
      </c>
      <c r="V223" s="68">
        <f t="shared" si="48"/>
        <v>494.82148386075949</v>
      </c>
      <c r="W223" s="68">
        <f t="shared" si="49"/>
        <v>329.88098924050632</v>
      </c>
    </row>
    <row r="224" spans="1:23" x14ac:dyDescent="0.25">
      <c r="A224" s="169" t="s">
        <v>890</v>
      </c>
      <c r="B224" s="61" t="s">
        <v>397</v>
      </c>
      <c r="C224" s="61" t="s">
        <v>591</v>
      </c>
      <c r="D224" s="61" t="s">
        <v>592</v>
      </c>
      <c r="E224" s="1" t="s">
        <v>344</v>
      </c>
      <c r="F224" s="62" t="str">
        <f t="shared" si="50"/>
        <v>60566</v>
      </c>
      <c r="G224" s="1">
        <v>10620059</v>
      </c>
      <c r="H224" s="1" t="s">
        <v>387</v>
      </c>
      <c r="I224" s="61">
        <v>35</v>
      </c>
      <c r="J224" s="61">
        <v>5.7</v>
      </c>
      <c r="K224" s="61">
        <v>8.6</v>
      </c>
      <c r="L224" s="69">
        <f t="shared" si="40"/>
        <v>1.9950000000000001</v>
      </c>
      <c r="M224" s="69">
        <f t="shared" si="41"/>
        <v>3.01</v>
      </c>
      <c r="N224" s="56">
        <f>INDEX(Rate_Chart!$A$1:$AK$127,MATCH(Data!J224,Rate_Chart!$A$1:$A$127,0),MATCH(Data!K224,Rate_Chart!$A$1:$AK$1,0))</f>
        <v>46.643099999999997</v>
      </c>
      <c r="O224" s="57">
        <f t="shared" si="42"/>
        <v>1632.5084999999999</v>
      </c>
      <c r="P224" s="58">
        <f t="shared" si="43"/>
        <v>407.95714285714286</v>
      </c>
      <c r="Q224" s="58">
        <f t="shared" si="44"/>
        <v>271.97142857142859</v>
      </c>
      <c r="R224" s="66">
        <f t="shared" si="51"/>
        <v>28.568898750000002</v>
      </c>
      <c r="S224" s="64">
        <f t="shared" si="45"/>
        <v>131.25</v>
      </c>
      <c r="T224" s="66">
        <f t="shared" si="46"/>
        <v>1792.3273987499999</v>
      </c>
      <c r="U224" s="68">
        <f t="shared" si="47"/>
        <v>51.209354249999997</v>
      </c>
      <c r="V224" s="68">
        <f t="shared" si="48"/>
        <v>447.89522667638482</v>
      </c>
      <c r="W224" s="68">
        <f t="shared" si="49"/>
        <v>298.59681778425653</v>
      </c>
    </row>
    <row r="225" spans="1:23" x14ac:dyDescent="0.25">
      <c r="A225" s="169" t="s">
        <v>890</v>
      </c>
      <c r="B225" s="61" t="s">
        <v>397</v>
      </c>
      <c r="C225" s="61" t="s">
        <v>591</v>
      </c>
      <c r="D225" s="61" t="s">
        <v>592</v>
      </c>
      <c r="E225" s="1" t="s">
        <v>344</v>
      </c>
      <c r="F225" s="62" t="str">
        <f t="shared" si="50"/>
        <v>60566</v>
      </c>
      <c r="G225" s="1">
        <v>10620059</v>
      </c>
      <c r="H225" s="1" t="s">
        <v>388</v>
      </c>
      <c r="I225" s="61">
        <v>92</v>
      </c>
      <c r="J225" s="61">
        <v>3.1</v>
      </c>
      <c r="K225" s="61">
        <v>8</v>
      </c>
      <c r="L225" s="69">
        <f t="shared" ref="L225:L287" si="52">J225*I225/100</f>
        <v>2.8519999999999999</v>
      </c>
      <c r="M225" s="69">
        <f t="shared" ref="M225:M287" si="53">K225*I225/100</f>
        <v>7.36</v>
      </c>
      <c r="N225" s="56">
        <f>INDEX(Rate_Chart!$A$1:$AK$127,MATCH(Data!J225,Rate_Chart!$A$1:$A$127,0),MATCH(Data!K225,Rate_Chart!$A$1:$AK$1,0))</f>
        <v>35.168112000000008</v>
      </c>
      <c r="O225" s="57">
        <f t="shared" ref="O225:O287" si="54">N225*I225</f>
        <v>3235.4663040000005</v>
      </c>
      <c r="P225" s="58">
        <f t="shared" ref="P225:P287" si="55">N225/(J225%+K225%*2/3)</f>
        <v>417.01318577075102</v>
      </c>
      <c r="Q225" s="58">
        <f t="shared" ref="Q225:Q287" si="56">P225*2/3</f>
        <v>278.00879051383401</v>
      </c>
      <c r="R225" s="66">
        <f t="shared" si="51"/>
        <v>56.620660320000013</v>
      </c>
      <c r="S225" s="64">
        <f t="shared" ref="S225:S287" si="57">I225*3.75</f>
        <v>345</v>
      </c>
      <c r="T225" s="66">
        <f t="shared" ref="T225:T287" si="58">R225+S225+O225</f>
        <v>3637.0869643200003</v>
      </c>
      <c r="U225" s="68">
        <f t="shared" ref="U225:U287" si="59">T225/I225</f>
        <v>39.533553960000006</v>
      </c>
      <c r="V225" s="68">
        <f t="shared" ref="V225:V287" si="60">U225/(J225%+K225%*2/3)</f>
        <v>468.77731968379447</v>
      </c>
      <c r="W225" s="68">
        <f t="shared" ref="W225:W287" si="61">V225*2/3</f>
        <v>312.51821312252963</v>
      </c>
    </row>
    <row r="226" spans="1:23" x14ac:dyDescent="0.25">
      <c r="A226" s="169" t="s">
        <v>891</v>
      </c>
      <c r="B226" s="61" t="s">
        <v>396</v>
      </c>
      <c r="C226" s="61" t="s">
        <v>591</v>
      </c>
      <c r="D226" s="61" t="s">
        <v>592</v>
      </c>
      <c r="E226" s="1" t="s">
        <v>344</v>
      </c>
      <c r="F226" s="62" t="str">
        <f t="shared" si="50"/>
        <v>60566</v>
      </c>
      <c r="G226" s="1">
        <v>10620059</v>
      </c>
      <c r="H226" s="1" t="s">
        <v>387</v>
      </c>
      <c r="I226" s="61">
        <v>21</v>
      </c>
      <c r="J226" s="61">
        <v>7.7</v>
      </c>
      <c r="K226" s="61">
        <v>8.8000000000000007</v>
      </c>
      <c r="L226" s="69">
        <f t="shared" si="52"/>
        <v>1.6170000000000002</v>
      </c>
      <c r="M226" s="69">
        <f t="shared" si="53"/>
        <v>1.8480000000000001</v>
      </c>
      <c r="N226" s="56">
        <f>INDEX(Rate_Chart!$A$1:$AK$127,MATCH(Data!J226,Rate_Chart!$A$1:$A$127,0),MATCH(Data!K226,Rate_Chart!$A$1:$AK$1,0))</f>
        <v>63.652050000000003</v>
      </c>
      <c r="O226" s="57">
        <f t="shared" si="54"/>
        <v>1336.6930500000001</v>
      </c>
      <c r="P226" s="58">
        <f t="shared" si="55"/>
        <v>469.17972972972979</v>
      </c>
      <c r="Q226" s="58">
        <f t="shared" si="56"/>
        <v>312.78648648648652</v>
      </c>
      <c r="R226" s="66">
        <f t="shared" si="51"/>
        <v>23.392128375000002</v>
      </c>
      <c r="S226" s="64">
        <f t="shared" si="57"/>
        <v>78.75</v>
      </c>
      <c r="T226" s="66">
        <f t="shared" si="58"/>
        <v>1438.8351783750002</v>
      </c>
      <c r="U226" s="68">
        <f t="shared" si="59"/>
        <v>68.515960875000005</v>
      </c>
      <c r="V226" s="68">
        <f t="shared" si="60"/>
        <v>505.03165264127773</v>
      </c>
      <c r="W226" s="68">
        <f t="shared" si="61"/>
        <v>336.68776842751851</v>
      </c>
    </row>
    <row r="227" spans="1:23" x14ac:dyDescent="0.25">
      <c r="A227" s="169" t="s">
        <v>891</v>
      </c>
      <c r="B227" s="61" t="s">
        <v>397</v>
      </c>
      <c r="C227" s="61" t="s">
        <v>591</v>
      </c>
      <c r="D227" s="61" t="s">
        <v>592</v>
      </c>
      <c r="E227" s="1" t="s">
        <v>344</v>
      </c>
      <c r="F227" s="62" t="str">
        <f t="shared" si="50"/>
        <v>60566</v>
      </c>
      <c r="G227" s="1">
        <v>10620059</v>
      </c>
      <c r="H227" s="1" t="s">
        <v>387</v>
      </c>
      <c r="I227" s="61">
        <v>41</v>
      </c>
      <c r="J227" s="61">
        <v>6.2</v>
      </c>
      <c r="K227" s="61">
        <v>8.8000000000000007</v>
      </c>
      <c r="L227" s="69">
        <f t="shared" si="52"/>
        <v>2.5420000000000003</v>
      </c>
      <c r="M227" s="69">
        <f t="shared" si="53"/>
        <v>3.6080000000000001</v>
      </c>
      <c r="N227" s="56">
        <f>INDEX(Rate_Chart!$A$1:$AK$127,MATCH(Data!J227,Rate_Chart!$A$1:$A$127,0),MATCH(Data!K227,Rate_Chart!$A$1:$AK$1,0))</f>
        <v>51.252300000000005</v>
      </c>
      <c r="O227" s="57">
        <f t="shared" si="54"/>
        <v>2101.3443000000002</v>
      </c>
      <c r="P227" s="58">
        <f t="shared" si="55"/>
        <v>424.74281767955802</v>
      </c>
      <c r="Q227" s="58">
        <f t="shared" si="56"/>
        <v>283.1618784530387</v>
      </c>
      <c r="R227" s="66">
        <f t="shared" si="51"/>
        <v>36.773525250000006</v>
      </c>
      <c r="S227" s="64">
        <f t="shared" si="57"/>
        <v>153.75</v>
      </c>
      <c r="T227" s="66">
        <f t="shared" si="58"/>
        <v>2291.8678252500004</v>
      </c>
      <c r="U227" s="68">
        <f t="shared" si="59"/>
        <v>55.899215250000012</v>
      </c>
      <c r="V227" s="68">
        <f t="shared" si="60"/>
        <v>463.2531650552487</v>
      </c>
      <c r="W227" s="68">
        <f t="shared" si="61"/>
        <v>308.83544337016582</v>
      </c>
    </row>
    <row r="228" spans="1:23" x14ac:dyDescent="0.25">
      <c r="A228" s="169" t="s">
        <v>891</v>
      </c>
      <c r="B228" s="61" t="s">
        <v>397</v>
      </c>
      <c r="C228" s="61" t="s">
        <v>591</v>
      </c>
      <c r="D228" s="61" t="s">
        <v>592</v>
      </c>
      <c r="E228" s="1" t="s">
        <v>344</v>
      </c>
      <c r="F228" s="62" t="str">
        <f t="shared" si="50"/>
        <v>60566</v>
      </c>
      <c r="G228" s="1">
        <v>10620059</v>
      </c>
      <c r="H228" s="1" t="s">
        <v>388</v>
      </c>
      <c r="I228" s="61">
        <v>60</v>
      </c>
      <c r="J228" s="61">
        <v>3</v>
      </c>
      <c r="K228" s="61">
        <v>8</v>
      </c>
      <c r="L228" s="69">
        <f t="shared" si="52"/>
        <v>1.8</v>
      </c>
      <c r="M228" s="69">
        <f t="shared" si="53"/>
        <v>4.8</v>
      </c>
      <c r="N228" s="56">
        <f>INDEX(Rate_Chart!$A$1:$AK$127,MATCH(Data!J228,Rate_Chart!$A$1:$A$127,0),MATCH(Data!K228,Rate_Chart!$A$1:$AK$1,0))</f>
        <v>34.751112000000006</v>
      </c>
      <c r="O228" s="57">
        <f t="shared" si="54"/>
        <v>2085.0667200000003</v>
      </c>
      <c r="P228" s="58">
        <f t="shared" si="55"/>
        <v>417.01334400000002</v>
      </c>
      <c r="Q228" s="58">
        <f t="shared" si="56"/>
        <v>278.00889599999999</v>
      </c>
      <c r="R228" s="66">
        <f t="shared" si="51"/>
        <v>36.488667600000007</v>
      </c>
      <c r="S228" s="64">
        <f t="shared" si="57"/>
        <v>225</v>
      </c>
      <c r="T228" s="66">
        <f t="shared" si="58"/>
        <v>2346.5553876000004</v>
      </c>
      <c r="U228" s="68">
        <f t="shared" si="59"/>
        <v>39.109256460000005</v>
      </c>
      <c r="V228" s="68">
        <f t="shared" si="60"/>
        <v>469.31107752000003</v>
      </c>
      <c r="W228" s="68">
        <f t="shared" si="61"/>
        <v>312.87405168000004</v>
      </c>
    </row>
    <row r="229" spans="1:23" x14ac:dyDescent="0.25">
      <c r="A229" s="169" t="s">
        <v>892</v>
      </c>
      <c r="B229" s="61" t="s">
        <v>396</v>
      </c>
      <c r="C229" s="61" t="s">
        <v>591</v>
      </c>
      <c r="D229" s="61" t="s">
        <v>592</v>
      </c>
      <c r="E229" s="1" t="s">
        <v>344</v>
      </c>
      <c r="F229" s="62" t="str">
        <f t="shared" si="50"/>
        <v>60566</v>
      </c>
      <c r="G229" s="1">
        <v>10620059</v>
      </c>
      <c r="H229" s="1" t="s">
        <v>387</v>
      </c>
      <c r="I229" s="61">
        <v>26</v>
      </c>
      <c r="J229" s="61">
        <v>7.2</v>
      </c>
      <c r="K229" s="61">
        <v>8.8000000000000007</v>
      </c>
      <c r="L229" s="69">
        <f t="shared" si="52"/>
        <v>1.8720000000000001</v>
      </c>
      <c r="M229" s="69">
        <f t="shared" si="53"/>
        <v>2.2880000000000003</v>
      </c>
      <c r="N229" s="56">
        <f>INDEX(Rate_Chart!$A$1:$AK$127,MATCH(Data!J229,Rate_Chart!$A$1:$A$127,0),MATCH(Data!K229,Rate_Chart!$A$1:$AK$1,0))</f>
        <v>59.518800000000006</v>
      </c>
      <c r="O229" s="57">
        <f t="shared" si="54"/>
        <v>1547.4888000000001</v>
      </c>
      <c r="P229" s="58">
        <f t="shared" si="55"/>
        <v>455.50102040816324</v>
      </c>
      <c r="Q229" s="58">
        <f t="shared" si="56"/>
        <v>303.66734693877549</v>
      </c>
      <c r="R229" s="66">
        <f t="shared" si="51"/>
        <v>27.081054000000005</v>
      </c>
      <c r="S229" s="64">
        <f t="shared" si="57"/>
        <v>97.5</v>
      </c>
      <c r="T229" s="66">
        <f t="shared" si="58"/>
        <v>1672.0698540000001</v>
      </c>
      <c r="U229" s="68">
        <f t="shared" si="59"/>
        <v>64.310378999999998</v>
      </c>
      <c r="V229" s="68">
        <f t="shared" si="60"/>
        <v>492.17126785714277</v>
      </c>
      <c r="W229" s="68">
        <f t="shared" si="61"/>
        <v>328.11417857142851</v>
      </c>
    </row>
    <row r="230" spans="1:23" x14ac:dyDescent="0.25">
      <c r="A230" s="169" t="s">
        <v>892</v>
      </c>
      <c r="B230" s="61" t="s">
        <v>397</v>
      </c>
      <c r="C230" s="61" t="s">
        <v>591</v>
      </c>
      <c r="D230" s="61" t="s">
        <v>592</v>
      </c>
      <c r="E230" s="1" t="s">
        <v>344</v>
      </c>
      <c r="F230" s="62" t="str">
        <f t="shared" si="50"/>
        <v>60566</v>
      </c>
      <c r="G230" s="1">
        <v>10620059</v>
      </c>
      <c r="H230" s="1" t="s">
        <v>388</v>
      </c>
      <c r="I230" s="61">
        <v>100</v>
      </c>
      <c r="J230" s="61">
        <v>3.8</v>
      </c>
      <c r="K230" s="61">
        <v>8</v>
      </c>
      <c r="L230" s="69">
        <f t="shared" si="52"/>
        <v>3.8</v>
      </c>
      <c r="M230" s="69">
        <f t="shared" si="53"/>
        <v>8</v>
      </c>
      <c r="N230" s="56">
        <f>INDEX(Rate_Chart!$A$1:$AK$127,MATCH(Data!J230,Rate_Chart!$A$1:$A$127,0),MATCH(Data!K230,Rate_Chart!$A$1:$AK$1,0))</f>
        <v>38.087112000000005</v>
      </c>
      <c r="O230" s="57">
        <f t="shared" si="54"/>
        <v>3808.7112000000006</v>
      </c>
      <c r="P230" s="58">
        <f t="shared" si="55"/>
        <v>417.01217518248177</v>
      </c>
      <c r="Q230" s="58">
        <f t="shared" si="56"/>
        <v>278.00811678832116</v>
      </c>
      <c r="R230" s="66">
        <f t="shared" si="51"/>
        <v>66.652446000000012</v>
      </c>
      <c r="S230" s="64">
        <f t="shared" si="57"/>
        <v>375</v>
      </c>
      <c r="T230" s="66">
        <f t="shared" si="58"/>
        <v>4250.3636460000007</v>
      </c>
      <c r="U230" s="68">
        <f t="shared" si="59"/>
        <v>42.50363646000001</v>
      </c>
      <c r="V230" s="68">
        <f t="shared" si="60"/>
        <v>465.36828240875923</v>
      </c>
      <c r="W230" s="68">
        <f t="shared" si="61"/>
        <v>310.24552160583949</v>
      </c>
    </row>
    <row r="231" spans="1:23" x14ac:dyDescent="0.25">
      <c r="A231" s="169" t="s">
        <v>893</v>
      </c>
      <c r="B231" s="61" t="s">
        <v>396</v>
      </c>
      <c r="C231" s="61" t="s">
        <v>591</v>
      </c>
      <c r="D231" s="61" t="s">
        <v>592</v>
      </c>
      <c r="E231" s="1" t="s">
        <v>344</v>
      </c>
      <c r="F231" s="62" t="str">
        <f t="shared" si="50"/>
        <v>60566</v>
      </c>
      <c r="G231" s="1">
        <v>10620059</v>
      </c>
      <c r="H231" s="1" t="s">
        <v>387</v>
      </c>
      <c r="I231" s="61">
        <v>25</v>
      </c>
      <c r="J231" s="61">
        <v>7.3</v>
      </c>
      <c r="K231" s="61">
        <v>8.8000000000000007</v>
      </c>
      <c r="L231" s="69">
        <f t="shared" si="52"/>
        <v>1.825</v>
      </c>
      <c r="M231" s="69">
        <f t="shared" si="53"/>
        <v>2.2000000000000002</v>
      </c>
      <c r="N231" s="56">
        <f>INDEX(Rate_Chart!$A$1:$AK$127,MATCH(Data!J231,Rate_Chart!$A$1:$A$127,0),MATCH(Data!K231,Rate_Chart!$A$1:$AK$1,0))</f>
        <v>60.34545</v>
      </c>
      <c r="O231" s="57">
        <f t="shared" si="54"/>
        <v>1508.63625</v>
      </c>
      <c r="P231" s="58">
        <f t="shared" si="55"/>
        <v>458.31987341772157</v>
      </c>
      <c r="Q231" s="58">
        <f t="shared" si="56"/>
        <v>305.54658227848103</v>
      </c>
      <c r="R231" s="66">
        <f t="shared" si="51"/>
        <v>26.401134375000002</v>
      </c>
      <c r="S231" s="64">
        <f t="shared" si="57"/>
        <v>93.75</v>
      </c>
      <c r="T231" s="66">
        <f t="shared" si="58"/>
        <v>1628.7873843750001</v>
      </c>
      <c r="U231" s="68">
        <f t="shared" si="59"/>
        <v>65.15149537500001</v>
      </c>
      <c r="V231" s="68">
        <f t="shared" si="60"/>
        <v>494.8214838607596</v>
      </c>
      <c r="W231" s="68">
        <f t="shared" si="61"/>
        <v>329.88098924050638</v>
      </c>
    </row>
    <row r="232" spans="1:23" x14ac:dyDescent="0.25">
      <c r="A232" s="169" t="s">
        <v>893</v>
      </c>
      <c r="B232" s="61" t="s">
        <v>396</v>
      </c>
      <c r="C232" s="61" t="s">
        <v>591</v>
      </c>
      <c r="D232" s="61" t="s">
        <v>592</v>
      </c>
      <c r="E232" s="1" t="s">
        <v>344</v>
      </c>
      <c r="F232" s="62" t="str">
        <f t="shared" si="50"/>
        <v>60566</v>
      </c>
      <c r="G232" s="1">
        <v>10620059</v>
      </c>
      <c r="H232" s="1" t="s">
        <v>388</v>
      </c>
      <c r="I232" s="61">
        <v>3</v>
      </c>
      <c r="J232" s="61">
        <v>3.1</v>
      </c>
      <c r="K232" s="61">
        <v>8.1</v>
      </c>
      <c r="L232" s="69">
        <f t="shared" si="52"/>
        <v>9.3000000000000013E-2</v>
      </c>
      <c r="M232" s="69">
        <f t="shared" si="53"/>
        <v>0.24299999999999997</v>
      </c>
      <c r="N232" s="56">
        <f>INDEX(Rate_Chart!$A$1:$AK$127,MATCH(Data!J232,Rate_Chart!$A$1:$A$127,0),MATCH(Data!K232,Rate_Chart!$A$1:$AK$1,0))</f>
        <v>35.446125899999998</v>
      </c>
      <c r="O232" s="57">
        <f t="shared" si="54"/>
        <v>106.3383777</v>
      </c>
      <c r="P232" s="58">
        <f t="shared" si="55"/>
        <v>417.01324588235298</v>
      </c>
      <c r="Q232" s="58">
        <f t="shared" si="56"/>
        <v>278.0088305882353</v>
      </c>
      <c r="R232" s="66">
        <f t="shared" si="51"/>
        <v>1.8609216097500001</v>
      </c>
      <c r="S232" s="64">
        <f t="shared" si="57"/>
        <v>11.25</v>
      </c>
      <c r="T232" s="66">
        <f t="shared" si="58"/>
        <v>119.44929930974999</v>
      </c>
      <c r="U232" s="68">
        <f t="shared" si="59"/>
        <v>39.816433103249999</v>
      </c>
      <c r="V232" s="68">
        <f t="shared" si="60"/>
        <v>468.42862474411766</v>
      </c>
      <c r="W232" s="68">
        <f t="shared" si="61"/>
        <v>312.28574982941177</v>
      </c>
    </row>
    <row r="233" spans="1:23" x14ac:dyDescent="0.25">
      <c r="A233" s="169" t="s">
        <v>893</v>
      </c>
      <c r="B233" s="61" t="s">
        <v>397</v>
      </c>
      <c r="C233" s="61" t="s">
        <v>591</v>
      </c>
      <c r="D233" s="61" t="s">
        <v>592</v>
      </c>
      <c r="E233" s="1" t="s">
        <v>344</v>
      </c>
      <c r="F233" s="62" t="str">
        <f t="shared" si="50"/>
        <v>60566</v>
      </c>
      <c r="G233" s="1">
        <v>10620059</v>
      </c>
      <c r="H233" s="1" t="s">
        <v>387</v>
      </c>
      <c r="I233" s="61">
        <v>41</v>
      </c>
      <c r="J233" s="61">
        <v>5.6</v>
      </c>
      <c r="K233" s="61">
        <v>8.4</v>
      </c>
      <c r="L233" s="69">
        <f t="shared" si="52"/>
        <v>2.2959999999999998</v>
      </c>
      <c r="M233" s="69">
        <f t="shared" si="53"/>
        <v>3.4440000000000004</v>
      </c>
      <c r="N233" s="56">
        <f>INDEX(Rate_Chart!$A$1:$AK$127,MATCH(Data!J233,Rate_Chart!$A$1:$A$127,0),MATCH(Data!K233,Rate_Chart!$A$1:$AK$1,0))</f>
        <v>45.357199999999999</v>
      </c>
      <c r="O233" s="57">
        <f t="shared" si="54"/>
        <v>1859.6451999999999</v>
      </c>
      <c r="P233" s="58">
        <f t="shared" si="55"/>
        <v>404.97500000000002</v>
      </c>
      <c r="Q233" s="58">
        <f t="shared" si="56"/>
        <v>269.98333333333335</v>
      </c>
      <c r="R233" s="66">
        <f t="shared" si="51"/>
        <v>32.543790999999999</v>
      </c>
      <c r="S233" s="64">
        <f t="shared" si="57"/>
        <v>153.75</v>
      </c>
      <c r="T233" s="66">
        <f t="shared" si="58"/>
        <v>2045.938991</v>
      </c>
      <c r="U233" s="68">
        <f t="shared" si="59"/>
        <v>49.900950999999999</v>
      </c>
      <c r="V233" s="68">
        <f t="shared" si="60"/>
        <v>445.54420535714291</v>
      </c>
      <c r="W233" s="68">
        <f t="shared" si="61"/>
        <v>297.02947023809526</v>
      </c>
    </row>
    <row r="234" spans="1:23" x14ac:dyDescent="0.25">
      <c r="A234" s="169" t="s">
        <v>893</v>
      </c>
      <c r="B234" s="61" t="s">
        <v>397</v>
      </c>
      <c r="C234" s="61" t="s">
        <v>591</v>
      </c>
      <c r="D234" s="61" t="s">
        <v>592</v>
      </c>
      <c r="E234" s="1" t="s">
        <v>344</v>
      </c>
      <c r="F234" s="62" t="str">
        <f t="shared" si="50"/>
        <v>60566</v>
      </c>
      <c r="G234" s="1">
        <v>10620059</v>
      </c>
      <c r="H234" s="1" t="s">
        <v>388</v>
      </c>
      <c r="I234" s="61">
        <v>74</v>
      </c>
      <c r="J234" s="61">
        <v>3.2</v>
      </c>
      <c r="K234" s="61">
        <v>8.1</v>
      </c>
      <c r="L234" s="69">
        <f t="shared" si="52"/>
        <v>2.3680000000000003</v>
      </c>
      <c r="M234" s="69">
        <f t="shared" si="53"/>
        <v>5.9939999999999998</v>
      </c>
      <c r="N234" s="56">
        <f>INDEX(Rate_Chart!$A$1:$AK$127,MATCH(Data!J234,Rate_Chart!$A$1:$A$127,0),MATCH(Data!K234,Rate_Chart!$A$1:$AK$1,0))</f>
        <v>35.8631259</v>
      </c>
      <c r="O234" s="57">
        <f t="shared" si="54"/>
        <v>2653.8713165999998</v>
      </c>
      <c r="P234" s="58">
        <f t="shared" si="55"/>
        <v>417.01309186046512</v>
      </c>
      <c r="Q234" s="58">
        <f t="shared" si="56"/>
        <v>278.00872790697673</v>
      </c>
      <c r="R234" s="66">
        <f t="shared" si="51"/>
        <v>46.4427480405</v>
      </c>
      <c r="S234" s="64">
        <f t="shared" si="57"/>
        <v>277.5</v>
      </c>
      <c r="T234" s="66">
        <f t="shared" si="58"/>
        <v>2977.8140646405</v>
      </c>
      <c r="U234" s="68">
        <f t="shared" si="59"/>
        <v>40.24073060325</v>
      </c>
      <c r="V234" s="68">
        <f t="shared" si="60"/>
        <v>467.91547213081401</v>
      </c>
      <c r="W234" s="68">
        <f t="shared" si="61"/>
        <v>311.94364808720934</v>
      </c>
    </row>
    <row r="235" spans="1:23" x14ac:dyDescent="0.25">
      <c r="A235" s="169" t="s">
        <v>894</v>
      </c>
      <c r="B235" s="61" t="s">
        <v>396</v>
      </c>
      <c r="C235" s="61" t="s">
        <v>591</v>
      </c>
      <c r="D235" s="61" t="s">
        <v>592</v>
      </c>
      <c r="E235" s="1" t="s">
        <v>344</v>
      </c>
      <c r="F235" s="62" t="str">
        <f t="shared" si="50"/>
        <v>60566</v>
      </c>
      <c r="G235" s="1">
        <v>10620059</v>
      </c>
      <c r="H235" s="1" t="s">
        <v>387</v>
      </c>
      <c r="I235" s="61">
        <v>26</v>
      </c>
      <c r="J235" s="61">
        <v>6.9</v>
      </c>
      <c r="K235" s="61">
        <v>8.8000000000000007</v>
      </c>
      <c r="L235" s="69">
        <f t="shared" si="52"/>
        <v>1.794</v>
      </c>
      <c r="M235" s="69">
        <f t="shared" si="53"/>
        <v>2.2880000000000003</v>
      </c>
      <c r="N235" s="56">
        <f>INDEX(Rate_Chart!$A$1:$AK$127,MATCH(Data!J235,Rate_Chart!$A$1:$A$127,0),MATCH(Data!K235,Rate_Chart!$A$1:$AK$1,0))</f>
        <v>57.038850000000004</v>
      </c>
      <c r="O235" s="57">
        <f t="shared" si="54"/>
        <v>1483.0101000000002</v>
      </c>
      <c r="P235" s="58">
        <f t="shared" si="55"/>
        <v>446.77950391644907</v>
      </c>
      <c r="Q235" s="58">
        <f t="shared" si="56"/>
        <v>297.85300261096603</v>
      </c>
      <c r="R235" s="66">
        <f t="shared" si="51"/>
        <v>25.952676750000006</v>
      </c>
      <c r="S235" s="64">
        <f t="shared" si="57"/>
        <v>97.5</v>
      </c>
      <c r="T235" s="66">
        <f t="shared" si="58"/>
        <v>1606.4627767500001</v>
      </c>
      <c r="U235" s="68">
        <f t="shared" si="59"/>
        <v>61.787029875000002</v>
      </c>
      <c r="V235" s="68">
        <f t="shared" si="60"/>
        <v>483.97151338120102</v>
      </c>
      <c r="W235" s="68">
        <f t="shared" si="61"/>
        <v>322.64767558746735</v>
      </c>
    </row>
    <row r="236" spans="1:23" x14ac:dyDescent="0.25">
      <c r="A236" s="169" t="s">
        <v>894</v>
      </c>
      <c r="B236" s="61" t="s">
        <v>396</v>
      </c>
      <c r="C236" s="61" t="s">
        <v>591</v>
      </c>
      <c r="D236" s="61" t="s">
        <v>592</v>
      </c>
      <c r="E236" s="1" t="s">
        <v>344</v>
      </c>
      <c r="F236" s="62" t="str">
        <f t="shared" si="50"/>
        <v>60566</v>
      </c>
      <c r="G236" s="1">
        <v>10620059</v>
      </c>
      <c r="H236" s="1" t="s">
        <v>388</v>
      </c>
      <c r="I236" s="61">
        <v>37</v>
      </c>
      <c r="J236" s="61">
        <v>3.1</v>
      </c>
      <c r="K236" s="61">
        <v>8</v>
      </c>
      <c r="L236" s="69">
        <f t="shared" si="52"/>
        <v>1.147</v>
      </c>
      <c r="M236" s="69">
        <f t="shared" si="53"/>
        <v>2.96</v>
      </c>
      <c r="N236" s="56">
        <f>INDEX(Rate_Chart!$A$1:$AK$127,MATCH(Data!J236,Rate_Chart!$A$1:$A$127,0),MATCH(Data!K236,Rate_Chart!$A$1:$AK$1,0))</f>
        <v>35.168112000000008</v>
      </c>
      <c r="O236" s="57">
        <f t="shared" si="54"/>
        <v>1301.2201440000003</v>
      </c>
      <c r="P236" s="58">
        <f t="shared" si="55"/>
        <v>417.01318577075102</v>
      </c>
      <c r="Q236" s="58">
        <f t="shared" si="56"/>
        <v>278.00879051383401</v>
      </c>
      <c r="R236" s="66">
        <f t="shared" si="51"/>
        <v>22.771352520000008</v>
      </c>
      <c r="S236" s="64">
        <f t="shared" si="57"/>
        <v>138.75</v>
      </c>
      <c r="T236" s="66">
        <f t="shared" si="58"/>
        <v>1462.7414965200003</v>
      </c>
      <c r="U236" s="68">
        <f t="shared" si="59"/>
        <v>39.533553960000006</v>
      </c>
      <c r="V236" s="68">
        <f t="shared" si="60"/>
        <v>468.77731968379447</v>
      </c>
      <c r="W236" s="68">
        <f t="shared" si="61"/>
        <v>312.51821312252963</v>
      </c>
    </row>
    <row r="237" spans="1:23" x14ac:dyDescent="0.25">
      <c r="A237" s="169" t="s">
        <v>894</v>
      </c>
      <c r="B237" s="61" t="s">
        <v>397</v>
      </c>
      <c r="C237" s="61" t="s">
        <v>591</v>
      </c>
      <c r="D237" s="61" t="s">
        <v>592</v>
      </c>
      <c r="E237" s="1" t="s">
        <v>344</v>
      </c>
      <c r="F237" s="62" t="str">
        <f t="shared" si="50"/>
        <v>60566</v>
      </c>
      <c r="G237" s="1">
        <v>10620059</v>
      </c>
      <c r="H237" s="1" t="s">
        <v>387</v>
      </c>
      <c r="I237" s="61">
        <v>40</v>
      </c>
      <c r="J237" s="61">
        <v>5.6</v>
      </c>
      <c r="K237" s="61">
        <v>8.6</v>
      </c>
      <c r="L237" s="69">
        <f t="shared" si="52"/>
        <v>2.2400000000000002</v>
      </c>
      <c r="M237" s="69">
        <f t="shared" si="53"/>
        <v>3.44</v>
      </c>
      <c r="N237" s="56">
        <f>INDEX(Rate_Chart!$A$1:$AK$127,MATCH(Data!J237,Rate_Chart!$A$1:$A$127,0),MATCH(Data!K237,Rate_Chart!$A$1:$AK$1,0))</f>
        <v>45.824799999999996</v>
      </c>
      <c r="O237" s="57">
        <f t="shared" si="54"/>
        <v>1832.9919999999997</v>
      </c>
      <c r="P237" s="58">
        <f t="shared" si="55"/>
        <v>404.33647058823533</v>
      </c>
      <c r="Q237" s="58">
        <f t="shared" si="56"/>
        <v>269.55764705882353</v>
      </c>
      <c r="R237" s="66">
        <f t="shared" si="51"/>
        <v>32.077359999999999</v>
      </c>
      <c r="S237" s="64">
        <f t="shared" si="57"/>
        <v>150</v>
      </c>
      <c r="T237" s="66">
        <f t="shared" si="58"/>
        <v>2015.0693599999997</v>
      </c>
      <c r="U237" s="68">
        <f t="shared" si="59"/>
        <v>50.376733999999992</v>
      </c>
      <c r="V237" s="68">
        <f t="shared" si="60"/>
        <v>444.50059411764704</v>
      </c>
      <c r="W237" s="68">
        <f t="shared" si="61"/>
        <v>296.33372941176469</v>
      </c>
    </row>
    <row r="238" spans="1:23" x14ac:dyDescent="0.25">
      <c r="A238" s="169" t="s">
        <v>894</v>
      </c>
      <c r="B238" s="61" t="s">
        <v>397</v>
      </c>
      <c r="C238" s="61" t="s">
        <v>591</v>
      </c>
      <c r="D238" s="61" t="s">
        <v>592</v>
      </c>
      <c r="E238" s="1" t="s">
        <v>344</v>
      </c>
      <c r="F238" s="62" t="str">
        <f t="shared" si="50"/>
        <v>60566</v>
      </c>
      <c r="G238" s="1">
        <v>10620059</v>
      </c>
      <c r="H238" s="1" t="s">
        <v>388</v>
      </c>
      <c r="I238" s="61">
        <v>71</v>
      </c>
      <c r="J238" s="61">
        <v>3.1</v>
      </c>
      <c r="K238" s="61">
        <v>8.1</v>
      </c>
      <c r="L238" s="69">
        <f t="shared" si="52"/>
        <v>2.2010000000000001</v>
      </c>
      <c r="M238" s="69">
        <f t="shared" si="53"/>
        <v>5.7510000000000003</v>
      </c>
      <c r="N238" s="56">
        <f>INDEX(Rate_Chart!$A$1:$AK$127,MATCH(Data!J238,Rate_Chart!$A$1:$A$127,0),MATCH(Data!K238,Rate_Chart!$A$1:$AK$1,0))</f>
        <v>35.446125899999998</v>
      </c>
      <c r="O238" s="57">
        <f t="shared" si="54"/>
        <v>2516.6749388999997</v>
      </c>
      <c r="P238" s="58">
        <f t="shared" si="55"/>
        <v>417.01324588235298</v>
      </c>
      <c r="Q238" s="58">
        <f t="shared" si="56"/>
        <v>278.0088305882353</v>
      </c>
      <c r="R238" s="66">
        <f t="shared" si="51"/>
        <v>44.041811430750002</v>
      </c>
      <c r="S238" s="64">
        <f t="shared" si="57"/>
        <v>266.25</v>
      </c>
      <c r="T238" s="66">
        <f t="shared" si="58"/>
        <v>2826.9667503307496</v>
      </c>
      <c r="U238" s="68">
        <f t="shared" si="59"/>
        <v>39.816433103249992</v>
      </c>
      <c r="V238" s="68">
        <f t="shared" si="60"/>
        <v>468.4286247441176</v>
      </c>
      <c r="W238" s="68">
        <f t="shared" si="61"/>
        <v>312.28574982941171</v>
      </c>
    </row>
    <row r="239" spans="1:23" x14ac:dyDescent="0.25">
      <c r="A239" s="169" t="s">
        <v>888</v>
      </c>
      <c r="B239" s="61" t="s">
        <v>396</v>
      </c>
      <c r="C239" s="61" t="s">
        <v>591</v>
      </c>
      <c r="D239" s="61" t="s">
        <v>592</v>
      </c>
      <c r="E239" s="1" t="s">
        <v>345</v>
      </c>
      <c r="F239" s="62" t="str">
        <f t="shared" si="50"/>
        <v>60573</v>
      </c>
      <c r="G239" s="1">
        <v>10620067</v>
      </c>
      <c r="H239" s="1" t="s">
        <v>387</v>
      </c>
      <c r="I239" s="61">
        <v>62</v>
      </c>
      <c r="J239" s="61">
        <v>6.8</v>
      </c>
      <c r="K239" s="61">
        <v>8.8000000000000007</v>
      </c>
      <c r="L239" s="69">
        <f t="shared" si="52"/>
        <v>4.2159999999999993</v>
      </c>
      <c r="M239" s="69">
        <f t="shared" si="53"/>
        <v>5.4560000000000004</v>
      </c>
      <c r="N239" s="56">
        <f>INDEX(Rate_Chart!$A$1:$AK$127,MATCH(Data!J239,Rate_Chart!$A$1:$A$127,0),MATCH(Data!K239,Rate_Chart!$A$1:$AK$1,0))</f>
        <v>56.212200000000003</v>
      </c>
      <c r="O239" s="57">
        <f t="shared" si="54"/>
        <v>3485.1564000000003</v>
      </c>
      <c r="P239" s="58">
        <f t="shared" si="55"/>
        <v>443.78052631578947</v>
      </c>
      <c r="Q239" s="58">
        <f t="shared" si="56"/>
        <v>295.8536842105263</v>
      </c>
      <c r="R239" s="66">
        <f t="shared" si="51"/>
        <v>60.990237000000008</v>
      </c>
      <c r="S239" s="64">
        <f t="shared" si="57"/>
        <v>232.5</v>
      </c>
      <c r="T239" s="66">
        <f t="shared" si="58"/>
        <v>3778.6466370000003</v>
      </c>
      <c r="U239" s="68">
        <f t="shared" si="59"/>
        <v>60.945913500000003</v>
      </c>
      <c r="V239" s="68">
        <f t="shared" si="60"/>
        <v>481.15194868421054</v>
      </c>
      <c r="W239" s="68">
        <f t="shared" si="61"/>
        <v>320.76796578947369</v>
      </c>
    </row>
    <row r="240" spans="1:23" x14ac:dyDescent="0.25">
      <c r="A240" s="169" t="s">
        <v>888</v>
      </c>
      <c r="B240" s="61" t="s">
        <v>397</v>
      </c>
      <c r="C240" s="61" t="s">
        <v>591</v>
      </c>
      <c r="D240" s="61" t="s">
        <v>592</v>
      </c>
      <c r="E240" s="1" t="s">
        <v>345</v>
      </c>
      <c r="F240" s="62" t="str">
        <f t="shared" si="50"/>
        <v>60573</v>
      </c>
      <c r="G240" s="1">
        <v>10620067</v>
      </c>
      <c r="H240" s="1" t="s">
        <v>387</v>
      </c>
      <c r="I240" s="61">
        <v>79</v>
      </c>
      <c r="J240" s="61">
        <v>6</v>
      </c>
      <c r="K240" s="61">
        <v>8.6</v>
      </c>
      <c r="L240" s="69">
        <f t="shared" si="52"/>
        <v>4.74</v>
      </c>
      <c r="M240" s="69">
        <f t="shared" si="53"/>
        <v>6.7939999999999996</v>
      </c>
      <c r="N240" s="56">
        <f>INDEX(Rate_Chart!$A$1:$AK$127,MATCH(Data!J240,Rate_Chart!$A$1:$A$127,0),MATCH(Data!K240,Rate_Chart!$A$1:$AK$1,0))</f>
        <v>49.097999999999999</v>
      </c>
      <c r="O240" s="57">
        <f t="shared" si="54"/>
        <v>3878.7419999999997</v>
      </c>
      <c r="P240" s="58">
        <f t="shared" si="55"/>
        <v>418.44886363636368</v>
      </c>
      <c r="Q240" s="58">
        <f t="shared" si="56"/>
        <v>278.96590909090912</v>
      </c>
      <c r="R240" s="66">
        <f t="shared" si="51"/>
        <v>67.877984999999995</v>
      </c>
      <c r="S240" s="64">
        <f t="shared" si="57"/>
        <v>296.25</v>
      </c>
      <c r="T240" s="66">
        <f t="shared" si="58"/>
        <v>4242.8699849999994</v>
      </c>
      <c r="U240" s="68">
        <f t="shared" si="59"/>
        <v>53.707214999999991</v>
      </c>
      <c r="V240" s="68">
        <f t="shared" si="60"/>
        <v>457.73194602272724</v>
      </c>
      <c r="W240" s="68">
        <f t="shared" si="61"/>
        <v>305.15463068181816</v>
      </c>
    </row>
    <row r="241" spans="1:23" x14ac:dyDescent="0.25">
      <c r="A241" s="169" t="s">
        <v>889</v>
      </c>
      <c r="B241" s="61" t="s">
        <v>396</v>
      </c>
      <c r="C241" s="61" t="s">
        <v>591</v>
      </c>
      <c r="D241" s="61" t="s">
        <v>592</v>
      </c>
      <c r="E241" s="1" t="s">
        <v>345</v>
      </c>
      <c r="F241" s="62" t="str">
        <f t="shared" si="50"/>
        <v>60573</v>
      </c>
      <c r="G241" s="1">
        <v>10620067</v>
      </c>
      <c r="H241" s="1" t="s">
        <v>387</v>
      </c>
      <c r="I241" s="61">
        <v>85</v>
      </c>
      <c r="J241" s="61">
        <v>6.9</v>
      </c>
      <c r="K241" s="61">
        <v>8.8000000000000007</v>
      </c>
      <c r="L241" s="69">
        <f t="shared" si="52"/>
        <v>5.8650000000000002</v>
      </c>
      <c r="M241" s="69">
        <f t="shared" si="53"/>
        <v>7.4800000000000013</v>
      </c>
      <c r="N241" s="56">
        <f>INDEX(Rate_Chart!$A$1:$AK$127,MATCH(Data!J241,Rate_Chart!$A$1:$A$127,0),MATCH(Data!K241,Rate_Chart!$A$1:$AK$1,0))</f>
        <v>57.038850000000004</v>
      </c>
      <c r="O241" s="57">
        <f t="shared" si="54"/>
        <v>4848.3022500000006</v>
      </c>
      <c r="P241" s="58">
        <f t="shared" si="55"/>
        <v>446.77950391644907</v>
      </c>
      <c r="Q241" s="58">
        <f t="shared" si="56"/>
        <v>297.85300261096603</v>
      </c>
      <c r="R241" s="66">
        <f t="shared" si="51"/>
        <v>84.845289375000021</v>
      </c>
      <c r="S241" s="64">
        <f t="shared" si="57"/>
        <v>318.75</v>
      </c>
      <c r="T241" s="66">
        <f t="shared" si="58"/>
        <v>5251.8975393750006</v>
      </c>
      <c r="U241" s="68">
        <f t="shared" si="59"/>
        <v>61.787029875000009</v>
      </c>
      <c r="V241" s="68">
        <f t="shared" si="60"/>
        <v>483.97151338120108</v>
      </c>
      <c r="W241" s="68">
        <f t="shared" si="61"/>
        <v>322.6476755874674</v>
      </c>
    </row>
    <row r="242" spans="1:23" x14ac:dyDescent="0.25">
      <c r="A242" s="169" t="s">
        <v>889</v>
      </c>
      <c r="B242" s="61" t="s">
        <v>397</v>
      </c>
      <c r="C242" s="61" t="s">
        <v>591</v>
      </c>
      <c r="D242" s="61" t="s">
        <v>592</v>
      </c>
      <c r="E242" s="1" t="s">
        <v>345</v>
      </c>
      <c r="F242" s="62" t="str">
        <f t="shared" si="50"/>
        <v>60573</v>
      </c>
      <c r="G242" s="1">
        <v>10620067</v>
      </c>
      <c r="H242" s="1" t="s">
        <v>387</v>
      </c>
      <c r="I242" s="61">
        <v>71</v>
      </c>
      <c r="J242" s="61">
        <v>5.8</v>
      </c>
      <c r="K242" s="61">
        <v>8.6</v>
      </c>
      <c r="L242" s="69">
        <f t="shared" si="52"/>
        <v>4.1180000000000003</v>
      </c>
      <c r="M242" s="69">
        <f t="shared" si="53"/>
        <v>6.1059999999999999</v>
      </c>
      <c r="N242" s="56">
        <f>INDEX(Rate_Chart!$A$1:$AK$127,MATCH(Data!J242,Rate_Chart!$A$1:$A$127,0),MATCH(Data!K242,Rate_Chart!$A$1:$AK$1,0))</f>
        <v>47.461399999999998</v>
      </c>
      <c r="O242" s="57">
        <f t="shared" si="54"/>
        <v>3369.7593999999999</v>
      </c>
      <c r="P242" s="58">
        <f t="shared" si="55"/>
        <v>411.51502890173413</v>
      </c>
      <c r="Q242" s="58">
        <f t="shared" si="56"/>
        <v>274.34335260115608</v>
      </c>
      <c r="R242" s="66">
        <f t="shared" si="51"/>
        <v>58.970789500000002</v>
      </c>
      <c r="S242" s="64">
        <f t="shared" si="57"/>
        <v>266.25</v>
      </c>
      <c r="T242" s="66">
        <f t="shared" si="58"/>
        <v>3694.9801895000001</v>
      </c>
      <c r="U242" s="68">
        <f t="shared" si="59"/>
        <v>52.041974500000002</v>
      </c>
      <c r="V242" s="68">
        <f t="shared" si="60"/>
        <v>451.23099277456657</v>
      </c>
      <c r="W242" s="68">
        <f t="shared" si="61"/>
        <v>300.82066184971103</v>
      </c>
    </row>
    <row r="243" spans="1:23" x14ac:dyDescent="0.25">
      <c r="A243" s="169" t="s">
        <v>889</v>
      </c>
      <c r="B243" s="61" t="s">
        <v>397</v>
      </c>
      <c r="C243" s="61" t="s">
        <v>591</v>
      </c>
      <c r="D243" s="61" t="s">
        <v>592</v>
      </c>
      <c r="E243" s="1" t="s">
        <v>345</v>
      </c>
      <c r="F243" s="62" t="str">
        <f t="shared" si="50"/>
        <v>60573</v>
      </c>
      <c r="G243" s="1">
        <v>10620067</v>
      </c>
      <c r="H243" s="1" t="s">
        <v>388</v>
      </c>
      <c r="I243" s="61">
        <v>99</v>
      </c>
      <c r="J243" s="61">
        <v>3</v>
      </c>
      <c r="K243" s="61">
        <v>8</v>
      </c>
      <c r="L243" s="69">
        <f t="shared" si="52"/>
        <v>2.97</v>
      </c>
      <c r="M243" s="69">
        <f t="shared" si="53"/>
        <v>7.92</v>
      </c>
      <c r="N243" s="56">
        <f>INDEX(Rate_Chart!$A$1:$AK$127,MATCH(Data!J243,Rate_Chart!$A$1:$A$127,0),MATCH(Data!K243,Rate_Chart!$A$1:$AK$1,0))</f>
        <v>34.751112000000006</v>
      </c>
      <c r="O243" s="57">
        <f t="shared" si="54"/>
        <v>3440.3600880000008</v>
      </c>
      <c r="P243" s="58">
        <f t="shared" si="55"/>
        <v>417.01334400000002</v>
      </c>
      <c r="Q243" s="58">
        <f t="shared" si="56"/>
        <v>278.00889599999999</v>
      </c>
      <c r="R243" s="66">
        <f t="shared" si="51"/>
        <v>60.20630154000002</v>
      </c>
      <c r="S243" s="64">
        <f t="shared" si="57"/>
        <v>371.25</v>
      </c>
      <c r="T243" s="66">
        <f t="shared" si="58"/>
        <v>3871.8163895400007</v>
      </c>
      <c r="U243" s="68">
        <f t="shared" si="59"/>
        <v>39.109256460000005</v>
      </c>
      <c r="V243" s="68">
        <f t="shared" si="60"/>
        <v>469.31107752000003</v>
      </c>
      <c r="W243" s="68">
        <f t="shared" si="61"/>
        <v>312.87405168000004</v>
      </c>
    </row>
    <row r="244" spans="1:23" x14ac:dyDescent="0.25">
      <c r="A244" s="169" t="s">
        <v>890</v>
      </c>
      <c r="B244" s="61" t="s">
        <v>396</v>
      </c>
      <c r="C244" s="61" t="s">
        <v>591</v>
      </c>
      <c r="D244" s="61" t="s">
        <v>592</v>
      </c>
      <c r="E244" s="1" t="s">
        <v>345</v>
      </c>
      <c r="F244" s="62" t="str">
        <f t="shared" si="50"/>
        <v>60573</v>
      </c>
      <c r="G244" s="1">
        <v>10620067</v>
      </c>
      <c r="H244" s="1" t="s">
        <v>387</v>
      </c>
      <c r="I244" s="61">
        <v>84</v>
      </c>
      <c r="J244" s="61">
        <v>7</v>
      </c>
      <c r="K244" s="61">
        <v>8.8000000000000007</v>
      </c>
      <c r="L244" s="69">
        <f t="shared" si="52"/>
        <v>5.88</v>
      </c>
      <c r="M244" s="69">
        <f t="shared" si="53"/>
        <v>7.3920000000000003</v>
      </c>
      <c r="N244" s="56">
        <f>INDEX(Rate_Chart!$A$1:$AK$127,MATCH(Data!J244,Rate_Chart!$A$1:$A$127,0),MATCH(Data!K244,Rate_Chart!$A$1:$AK$1,0))</f>
        <v>57.865500000000004</v>
      </c>
      <c r="O244" s="57">
        <f t="shared" si="54"/>
        <v>4860.7020000000002</v>
      </c>
      <c r="P244" s="58">
        <f t="shared" si="55"/>
        <v>449.73186528497411</v>
      </c>
      <c r="Q244" s="58">
        <f t="shared" si="56"/>
        <v>299.82124352331607</v>
      </c>
      <c r="R244" s="66">
        <f t="shared" si="51"/>
        <v>85.062285000000017</v>
      </c>
      <c r="S244" s="64">
        <f t="shared" si="57"/>
        <v>315</v>
      </c>
      <c r="T244" s="66">
        <f t="shared" si="58"/>
        <v>5260.7642850000002</v>
      </c>
      <c r="U244" s="68">
        <f t="shared" si="59"/>
        <v>62.62814625</v>
      </c>
      <c r="V244" s="68">
        <f t="shared" si="60"/>
        <v>486.74725064766835</v>
      </c>
      <c r="W244" s="68">
        <f t="shared" si="61"/>
        <v>324.49816709844555</v>
      </c>
    </row>
    <row r="245" spans="1:23" x14ac:dyDescent="0.25">
      <c r="A245" s="169" t="s">
        <v>890</v>
      </c>
      <c r="B245" s="61" t="s">
        <v>397</v>
      </c>
      <c r="C245" s="61" t="s">
        <v>591</v>
      </c>
      <c r="D245" s="61" t="s">
        <v>592</v>
      </c>
      <c r="E245" s="1" t="s">
        <v>345</v>
      </c>
      <c r="F245" s="62" t="str">
        <f t="shared" si="50"/>
        <v>60573</v>
      </c>
      <c r="G245" s="1">
        <v>10620067</v>
      </c>
      <c r="H245" s="1" t="s">
        <v>387</v>
      </c>
      <c r="I245" s="61">
        <v>82</v>
      </c>
      <c r="J245" s="61">
        <v>5.8</v>
      </c>
      <c r="K245" s="61">
        <v>8.6</v>
      </c>
      <c r="L245" s="69">
        <f t="shared" si="52"/>
        <v>4.7559999999999993</v>
      </c>
      <c r="M245" s="69">
        <f t="shared" si="53"/>
        <v>7.0519999999999996</v>
      </c>
      <c r="N245" s="56">
        <f>INDEX(Rate_Chart!$A$1:$AK$127,MATCH(Data!J245,Rate_Chart!$A$1:$A$127,0),MATCH(Data!K245,Rate_Chart!$A$1:$AK$1,0))</f>
        <v>47.461399999999998</v>
      </c>
      <c r="O245" s="57">
        <f t="shared" si="54"/>
        <v>3891.8347999999996</v>
      </c>
      <c r="P245" s="58">
        <f t="shared" si="55"/>
        <v>411.51502890173413</v>
      </c>
      <c r="Q245" s="58">
        <f t="shared" si="56"/>
        <v>274.34335260115608</v>
      </c>
      <c r="R245" s="66">
        <f t="shared" si="51"/>
        <v>68.107108999999994</v>
      </c>
      <c r="S245" s="64">
        <f t="shared" si="57"/>
        <v>307.5</v>
      </c>
      <c r="T245" s="66">
        <f t="shared" si="58"/>
        <v>4267.4419089999992</v>
      </c>
      <c r="U245" s="68">
        <f t="shared" si="59"/>
        <v>52.041974499999988</v>
      </c>
      <c r="V245" s="68">
        <f t="shared" si="60"/>
        <v>451.23099277456646</v>
      </c>
      <c r="W245" s="68">
        <f t="shared" si="61"/>
        <v>300.82066184971097</v>
      </c>
    </row>
    <row r="246" spans="1:23" x14ac:dyDescent="0.25">
      <c r="A246" s="169" t="s">
        <v>890</v>
      </c>
      <c r="B246" s="61" t="s">
        <v>397</v>
      </c>
      <c r="C246" s="61" t="s">
        <v>591</v>
      </c>
      <c r="D246" s="61" t="s">
        <v>592</v>
      </c>
      <c r="E246" s="1" t="s">
        <v>345</v>
      </c>
      <c r="F246" s="62" t="str">
        <f t="shared" si="50"/>
        <v>60573</v>
      </c>
      <c r="G246" s="1">
        <v>10620067</v>
      </c>
      <c r="H246" s="1" t="s">
        <v>388</v>
      </c>
      <c r="I246" s="61">
        <v>91</v>
      </c>
      <c r="J246" s="61">
        <v>3</v>
      </c>
      <c r="K246" s="61">
        <v>8</v>
      </c>
      <c r="L246" s="69">
        <f t="shared" si="52"/>
        <v>2.73</v>
      </c>
      <c r="M246" s="69">
        <f t="shared" si="53"/>
        <v>7.28</v>
      </c>
      <c r="N246" s="56">
        <f>INDEX(Rate_Chart!$A$1:$AK$127,MATCH(Data!J246,Rate_Chart!$A$1:$A$127,0),MATCH(Data!K246,Rate_Chart!$A$1:$AK$1,0))</f>
        <v>34.751112000000006</v>
      </c>
      <c r="O246" s="57">
        <f t="shared" si="54"/>
        <v>3162.3511920000005</v>
      </c>
      <c r="P246" s="58">
        <f t="shared" si="55"/>
        <v>417.01334400000002</v>
      </c>
      <c r="Q246" s="58">
        <f t="shared" si="56"/>
        <v>278.00889599999999</v>
      </c>
      <c r="R246" s="66">
        <f t="shared" si="51"/>
        <v>55.341145860000012</v>
      </c>
      <c r="S246" s="64">
        <f t="shared" si="57"/>
        <v>341.25</v>
      </c>
      <c r="T246" s="66">
        <f t="shared" si="58"/>
        <v>3558.9423378600004</v>
      </c>
      <c r="U246" s="68">
        <f t="shared" si="59"/>
        <v>39.109256460000005</v>
      </c>
      <c r="V246" s="68">
        <f t="shared" si="60"/>
        <v>469.31107752000003</v>
      </c>
      <c r="W246" s="68">
        <f t="shared" si="61"/>
        <v>312.87405168000004</v>
      </c>
    </row>
    <row r="247" spans="1:23" x14ac:dyDescent="0.25">
      <c r="A247" s="169" t="s">
        <v>891</v>
      </c>
      <c r="B247" s="61" t="s">
        <v>396</v>
      </c>
      <c r="C247" s="61" t="s">
        <v>591</v>
      </c>
      <c r="D247" s="61" t="s">
        <v>592</v>
      </c>
      <c r="E247" s="1" t="s">
        <v>345</v>
      </c>
      <c r="F247" s="62" t="str">
        <f t="shared" si="50"/>
        <v>60573</v>
      </c>
      <c r="G247" s="1">
        <v>10620067</v>
      </c>
      <c r="H247" s="1" t="s">
        <v>387</v>
      </c>
      <c r="I247" s="61">
        <v>90</v>
      </c>
      <c r="J247" s="61">
        <v>6.9</v>
      </c>
      <c r="K247" s="61">
        <v>8.8000000000000007</v>
      </c>
      <c r="L247" s="69">
        <f t="shared" si="52"/>
        <v>6.21</v>
      </c>
      <c r="M247" s="69">
        <f t="shared" si="53"/>
        <v>7.9200000000000008</v>
      </c>
      <c r="N247" s="56">
        <f>INDEX(Rate_Chart!$A$1:$AK$127,MATCH(Data!J247,Rate_Chart!$A$1:$A$127,0),MATCH(Data!K247,Rate_Chart!$A$1:$AK$1,0))</f>
        <v>57.038850000000004</v>
      </c>
      <c r="O247" s="57">
        <f t="shared" si="54"/>
        <v>5133.4965000000002</v>
      </c>
      <c r="P247" s="58">
        <f t="shared" si="55"/>
        <v>446.77950391644907</v>
      </c>
      <c r="Q247" s="58">
        <f t="shared" si="56"/>
        <v>297.85300261096603</v>
      </c>
      <c r="R247" s="66">
        <f t="shared" si="51"/>
        <v>89.836188750000005</v>
      </c>
      <c r="S247" s="64">
        <f t="shared" si="57"/>
        <v>337.5</v>
      </c>
      <c r="T247" s="66">
        <f t="shared" si="58"/>
        <v>5560.8326887500007</v>
      </c>
      <c r="U247" s="68">
        <f t="shared" si="59"/>
        <v>61.787029875000009</v>
      </c>
      <c r="V247" s="68">
        <f t="shared" si="60"/>
        <v>483.97151338120108</v>
      </c>
      <c r="W247" s="68">
        <f t="shared" si="61"/>
        <v>322.6476755874674</v>
      </c>
    </row>
    <row r="248" spans="1:23" x14ac:dyDescent="0.25">
      <c r="A248" s="169" t="s">
        <v>891</v>
      </c>
      <c r="B248" s="61" t="s">
        <v>396</v>
      </c>
      <c r="C248" s="61" t="s">
        <v>591</v>
      </c>
      <c r="D248" s="61" t="s">
        <v>592</v>
      </c>
      <c r="E248" s="1" t="s">
        <v>345</v>
      </c>
      <c r="F248" s="62" t="str">
        <f t="shared" si="50"/>
        <v>60573</v>
      </c>
      <c r="G248" s="1">
        <v>10620067</v>
      </c>
      <c r="H248" s="1" t="s">
        <v>388</v>
      </c>
      <c r="I248" s="61">
        <v>41</v>
      </c>
      <c r="J248" s="61">
        <v>3.2</v>
      </c>
      <c r="K248" s="61">
        <v>8.1</v>
      </c>
      <c r="L248" s="69">
        <f t="shared" si="52"/>
        <v>1.3120000000000003</v>
      </c>
      <c r="M248" s="69">
        <f t="shared" si="53"/>
        <v>3.3209999999999997</v>
      </c>
      <c r="N248" s="56">
        <f>INDEX(Rate_Chart!$A$1:$AK$127,MATCH(Data!J248,Rate_Chart!$A$1:$A$127,0),MATCH(Data!K248,Rate_Chart!$A$1:$AK$1,0))</f>
        <v>35.8631259</v>
      </c>
      <c r="O248" s="57">
        <f t="shared" si="54"/>
        <v>1470.3881618999999</v>
      </c>
      <c r="P248" s="58">
        <f t="shared" si="55"/>
        <v>417.01309186046512</v>
      </c>
      <c r="Q248" s="58">
        <f t="shared" si="56"/>
        <v>278.00872790697673</v>
      </c>
      <c r="R248" s="66">
        <f t="shared" si="51"/>
        <v>25.731792833250001</v>
      </c>
      <c r="S248" s="64">
        <f t="shared" si="57"/>
        <v>153.75</v>
      </c>
      <c r="T248" s="66">
        <f t="shared" si="58"/>
        <v>1649.8699547332499</v>
      </c>
      <c r="U248" s="68">
        <f t="shared" si="59"/>
        <v>40.24073060325</v>
      </c>
      <c r="V248" s="68">
        <f t="shared" si="60"/>
        <v>467.91547213081401</v>
      </c>
      <c r="W248" s="68">
        <f t="shared" si="61"/>
        <v>311.94364808720934</v>
      </c>
    </row>
    <row r="249" spans="1:23" x14ac:dyDescent="0.25">
      <c r="A249" s="169" t="s">
        <v>891</v>
      </c>
      <c r="B249" s="61" t="s">
        <v>397</v>
      </c>
      <c r="C249" s="61" t="s">
        <v>591</v>
      </c>
      <c r="D249" s="61" t="s">
        <v>592</v>
      </c>
      <c r="E249" s="1" t="s">
        <v>345</v>
      </c>
      <c r="F249" s="62" t="str">
        <f t="shared" si="50"/>
        <v>60573</v>
      </c>
      <c r="G249" s="1">
        <v>10620067</v>
      </c>
      <c r="H249" s="1" t="s">
        <v>387</v>
      </c>
      <c r="I249" s="61">
        <v>71</v>
      </c>
      <c r="J249" s="61">
        <v>6</v>
      </c>
      <c r="K249" s="61">
        <v>8.8000000000000007</v>
      </c>
      <c r="L249" s="69">
        <f t="shared" si="52"/>
        <v>4.26</v>
      </c>
      <c r="M249" s="69">
        <f t="shared" si="53"/>
        <v>6.2480000000000011</v>
      </c>
      <c r="N249" s="56">
        <f>INDEX(Rate_Chart!$A$1:$AK$127,MATCH(Data!J249,Rate_Chart!$A$1:$A$127,0),MATCH(Data!K249,Rate_Chart!$A$1:$AK$1,0))</f>
        <v>49.599000000000004</v>
      </c>
      <c r="O249" s="57">
        <f t="shared" si="54"/>
        <v>3521.5290000000005</v>
      </c>
      <c r="P249" s="58">
        <f t="shared" si="55"/>
        <v>417.96910112359552</v>
      </c>
      <c r="Q249" s="58">
        <f t="shared" si="56"/>
        <v>278.64606741573033</v>
      </c>
      <c r="R249" s="66">
        <f t="shared" si="51"/>
        <v>61.626757500000011</v>
      </c>
      <c r="S249" s="64">
        <f t="shared" si="57"/>
        <v>266.25</v>
      </c>
      <c r="T249" s="66">
        <f t="shared" si="58"/>
        <v>3849.4057575000006</v>
      </c>
      <c r="U249" s="68">
        <f t="shared" si="59"/>
        <v>54.216982500000007</v>
      </c>
      <c r="V249" s="68">
        <f t="shared" si="60"/>
        <v>456.8846839887641</v>
      </c>
      <c r="W249" s="68">
        <f t="shared" si="61"/>
        <v>304.58978932584273</v>
      </c>
    </row>
    <row r="250" spans="1:23" x14ac:dyDescent="0.25">
      <c r="A250" s="169" t="s">
        <v>891</v>
      </c>
      <c r="B250" s="61" t="s">
        <v>397</v>
      </c>
      <c r="C250" s="61" t="s">
        <v>591</v>
      </c>
      <c r="D250" s="61" t="s">
        <v>592</v>
      </c>
      <c r="E250" s="1" t="s">
        <v>345</v>
      </c>
      <c r="F250" s="62" t="str">
        <f t="shared" si="50"/>
        <v>60573</v>
      </c>
      <c r="G250" s="1">
        <v>10620067</v>
      </c>
      <c r="H250" s="1" t="s">
        <v>388</v>
      </c>
      <c r="I250" s="61">
        <v>66</v>
      </c>
      <c r="J250" s="61">
        <v>3</v>
      </c>
      <c r="K250" s="61">
        <v>8</v>
      </c>
      <c r="L250" s="69">
        <f t="shared" si="52"/>
        <v>1.98</v>
      </c>
      <c r="M250" s="69">
        <f t="shared" si="53"/>
        <v>5.28</v>
      </c>
      <c r="N250" s="56">
        <f>INDEX(Rate_Chart!$A$1:$AK$127,MATCH(Data!J250,Rate_Chart!$A$1:$A$127,0),MATCH(Data!K250,Rate_Chart!$A$1:$AK$1,0))</f>
        <v>34.751112000000006</v>
      </c>
      <c r="O250" s="57">
        <f t="shared" si="54"/>
        <v>2293.5733920000002</v>
      </c>
      <c r="P250" s="58">
        <f t="shared" si="55"/>
        <v>417.01334400000002</v>
      </c>
      <c r="Q250" s="58">
        <f t="shared" si="56"/>
        <v>278.00889599999999</v>
      </c>
      <c r="R250" s="66">
        <f t="shared" si="51"/>
        <v>40.137534360000011</v>
      </c>
      <c r="S250" s="64">
        <f t="shared" si="57"/>
        <v>247.5</v>
      </c>
      <c r="T250" s="66">
        <f t="shared" si="58"/>
        <v>2581.2109263600005</v>
      </c>
      <c r="U250" s="68">
        <f t="shared" si="59"/>
        <v>39.109256460000005</v>
      </c>
      <c r="V250" s="68">
        <f t="shared" si="60"/>
        <v>469.31107752000003</v>
      </c>
      <c r="W250" s="68">
        <f t="shared" si="61"/>
        <v>312.87405168000004</v>
      </c>
    </row>
    <row r="251" spans="1:23" x14ac:dyDescent="0.25">
      <c r="A251" s="169" t="s">
        <v>892</v>
      </c>
      <c r="B251" s="61" t="s">
        <v>396</v>
      </c>
      <c r="C251" s="61" t="s">
        <v>591</v>
      </c>
      <c r="D251" s="61" t="s">
        <v>592</v>
      </c>
      <c r="E251" s="1" t="s">
        <v>345</v>
      </c>
      <c r="F251" s="62" t="str">
        <f t="shared" si="50"/>
        <v>60573</v>
      </c>
      <c r="G251" s="1">
        <v>10620067</v>
      </c>
      <c r="H251" s="1" t="s">
        <v>387</v>
      </c>
      <c r="I251" s="61">
        <v>110</v>
      </c>
      <c r="J251" s="61">
        <v>6.9</v>
      </c>
      <c r="K251" s="61">
        <v>8.8000000000000007</v>
      </c>
      <c r="L251" s="69">
        <f t="shared" si="52"/>
        <v>7.59</v>
      </c>
      <c r="M251" s="69">
        <f t="shared" si="53"/>
        <v>9.6800000000000015</v>
      </c>
      <c r="N251" s="56">
        <f>INDEX(Rate_Chart!$A$1:$AK$127,MATCH(Data!J251,Rate_Chart!$A$1:$A$127,0),MATCH(Data!K251,Rate_Chart!$A$1:$AK$1,0))</f>
        <v>57.038850000000004</v>
      </c>
      <c r="O251" s="57">
        <f t="shared" si="54"/>
        <v>6274.2735000000002</v>
      </c>
      <c r="P251" s="58">
        <f t="shared" si="55"/>
        <v>446.77950391644907</v>
      </c>
      <c r="Q251" s="58">
        <f t="shared" si="56"/>
        <v>297.85300261096603</v>
      </c>
      <c r="R251" s="66">
        <f t="shared" si="51"/>
        <v>109.79978625000001</v>
      </c>
      <c r="S251" s="64">
        <f t="shared" si="57"/>
        <v>412.5</v>
      </c>
      <c r="T251" s="66">
        <f t="shared" si="58"/>
        <v>6796.5732862499999</v>
      </c>
      <c r="U251" s="68">
        <f t="shared" si="59"/>
        <v>61.787029875000002</v>
      </c>
      <c r="V251" s="68">
        <f t="shared" si="60"/>
        <v>483.97151338120102</v>
      </c>
      <c r="W251" s="68">
        <f t="shared" si="61"/>
        <v>322.64767558746735</v>
      </c>
    </row>
    <row r="252" spans="1:23" x14ac:dyDescent="0.25">
      <c r="A252" s="169" t="s">
        <v>892</v>
      </c>
      <c r="B252" s="61" t="s">
        <v>397</v>
      </c>
      <c r="C252" s="61" t="s">
        <v>591</v>
      </c>
      <c r="D252" s="61" t="s">
        <v>592</v>
      </c>
      <c r="E252" s="1" t="s">
        <v>345</v>
      </c>
      <c r="F252" s="62" t="str">
        <f t="shared" si="50"/>
        <v>60573</v>
      </c>
      <c r="G252" s="1">
        <v>10620067</v>
      </c>
      <c r="H252" s="1" t="s">
        <v>387</v>
      </c>
      <c r="I252" s="61">
        <v>69</v>
      </c>
      <c r="J252" s="61">
        <v>5.8</v>
      </c>
      <c r="K252" s="61">
        <v>8.8000000000000007</v>
      </c>
      <c r="L252" s="69">
        <f t="shared" si="52"/>
        <v>4.0019999999999998</v>
      </c>
      <c r="M252" s="69">
        <f t="shared" si="53"/>
        <v>6.0720000000000001</v>
      </c>
      <c r="N252" s="56">
        <f>INDEX(Rate_Chart!$A$1:$AK$127,MATCH(Data!J252,Rate_Chart!$A$1:$A$127,0),MATCH(Data!K252,Rate_Chart!$A$1:$AK$1,0))</f>
        <v>47.945700000000002</v>
      </c>
      <c r="O252" s="57">
        <f t="shared" si="54"/>
        <v>3308.2533000000003</v>
      </c>
      <c r="P252" s="58">
        <f t="shared" si="55"/>
        <v>410.96314285714288</v>
      </c>
      <c r="Q252" s="58">
        <f t="shared" si="56"/>
        <v>273.97542857142861</v>
      </c>
      <c r="R252" s="66">
        <f t="shared" si="51"/>
        <v>57.894432750000014</v>
      </c>
      <c r="S252" s="64">
        <f t="shared" si="57"/>
        <v>258.75</v>
      </c>
      <c r="T252" s="66">
        <f t="shared" si="58"/>
        <v>3624.8977327500002</v>
      </c>
      <c r="U252" s="68">
        <f t="shared" si="59"/>
        <v>52.534749750000003</v>
      </c>
      <c r="V252" s="68">
        <f t="shared" si="60"/>
        <v>450.29785500000003</v>
      </c>
      <c r="W252" s="68">
        <f t="shared" si="61"/>
        <v>300.19857000000002</v>
      </c>
    </row>
    <row r="253" spans="1:23" x14ac:dyDescent="0.25">
      <c r="A253" s="169" t="s">
        <v>893</v>
      </c>
      <c r="B253" s="61" t="s">
        <v>396</v>
      </c>
      <c r="C253" s="61" t="s">
        <v>591</v>
      </c>
      <c r="D253" s="61" t="s">
        <v>592</v>
      </c>
      <c r="E253" s="1" t="s">
        <v>345</v>
      </c>
      <c r="F253" s="62" t="str">
        <f t="shared" si="50"/>
        <v>60573</v>
      </c>
      <c r="G253" s="1">
        <v>10620067</v>
      </c>
      <c r="H253" s="1" t="s">
        <v>387</v>
      </c>
      <c r="I253" s="61">
        <v>80</v>
      </c>
      <c r="J253" s="61">
        <v>7.1</v>
      </c>
      <c r="K253" s="61">
        <v>8.8000000000000007</v>
      </c>
      <c r="L253" s="69">
        <f t="shared" si="52"/>
        <v>5.68</v>
      </c>
      <c r="M253" s="69">
        <f t="shared" si="53"/>
        <v>7.04</v>
      </c>
      <c r="N253" s="56">
        <f>INDEX(Rate_Chart!$A$1:$AK$127,MATCH(Data!J253,Rate_Chart!$A$1:$A$127,0),MATCH(Data!K253,Rate_Chart!$A$1:$AK$1,0))</f>
        <v>58.692149999999998</v>
      </c>
      <c r="O253" s="57">
        <f t="shared" si="54"/>
        <v>4695.3719999999994</v>
      </c>
      <c r="P253" s="58">
        <f t="shared" si="55"/>
        <v>452.63868894601546</v>
      </c>
      <c r="Q253" s="58">
        <f t="shared" si="56"/>
        <v>301.75912596401031</v>
      </c>
      <c r="R253" s="66">
        <f t="shared" si="51"/>
        <v>82.16901</v>
      </c>
      <c r="S253" s="64">
        <f t="shared" si="57"/>
        <v>300</v>
      </c>
      <c r="T253" s="66">
        <f t="shared" si="58"/>
        <v>5077.541009999999</v>
      </c>
      <c r="U253" s="68">
        <f t="shared" si="59"/>
        <v>63.469262624999985</v>
      </c>
      <c r="V253" s="68">
        <f t="shared" si="60"/>
        <v>489.48017448586114</v>
      </c>
      <c r="W253" s="68">
        <f t="shared" si="61"/>
        <v>326.32011632390743</v>
      </c>
    </row>
    <row r="254" spans="1:23" x14ac:dyDescent="0.25">
      <c r="A254" s="169" t="s">
        <v>893</v>
      </c>
      <c r="B254" s="61" t="s">
        <v>397</v>
      </c>
      <c r="C254" s="61" t="s">
        <v>591</v>
      </c>
      <c r="D254" s="61" t="s">
        <v>592</v>
      </c>
      <c r="E254" s="1" t="s">
        <v>345</v>
      </c>
      <c r="F254" s="62" t="str">
        <f t="shared" si="50"/>
        <v>60573</v>
      </c>
      <c r="G254" s="1">
        <v>10620067</v>
      </c>
      <c r="H254" s="1" t="s">
        <v>387</v>
      </c>
      <c r="I254" s="61">
        <v>81</v>
      </c>
      <c r="J254" s="61">
        <v>6.1</v>
      </c>
      <c r="K254" s="61">
        <v>8.8000000000000007</v>
      </c>
      <c r="L254" s="69">
        <f t="shared" si="52"/>
        <v>4.9409999999999998</v>
      </c>
      <c r="M254" s="69">
        <f t="shared" si="53"/>
        <v>7.128000000000001</v>
      </c>
      <c r="N254" s="56">
        <f>INDEX(Rate_Chart!$A$1:$AK$127,MATCH(Data!J254,Rate_Chart!$A$1:$A$127,0),MATCH(Data!K254,Rate_Chart!$A$1:$AK$1,0))</f>
        <v>50.425650000000005</v>
      </c>
      <c r="O254" s="57">
        <f t="shared" si="54"/>
        <v>4084.4776500000003</v>
      </c>
      <c r="P254" s="58">
        <f t="shared" si="55"/>
        <v>421.38426183844012</v>
      </c>
      <c r="Q254" s="58">
        <f t="shared" si="56"/>
        <v>280.92284122562677</v>
      </c>
      <c r="R254" s="66">
        <f t="shared" si="51"/>
        <v>71.478358875000012</v>
      </c>
      <c r="S254" s="64">
        <f t="shared" si="57"/>
        <v>303.75</v>
      </c>
      <c r="T254" s="66">
        <f t="shared" si="58"/>
        <v>4459.7060088750004</v>
      </c>
      <c r="U254" s="68">
        <f t="shared" si="59"/>
        <v>55.058098875000006</v>
      </c>
      <c r="V254" s="68">
        <f t="shared" si="60"/>
        <v>460.09553377437328</v>
      </c>
      <c r="W254" s="68">
        <f t="shared" si="61"/>
        <v>306.73035584958217</v>
      </c>
    </row>
    <row r="255" spans="1:23" x14ac:dyDescent="0.25">
      <c r="A255" s="169" t="s">
        <v>893</v>
      </c>
      <c r="B255" s="61" t="s">
        <v>397</v>
      </c>
      <c r="C255" s="61" t="s">
        <v>591</v>
      </c>
      <c r="D255" s="61" t="s">
        <v>592</v>
      </c>
      <c r="E255" s="1" t="s">
        <v>345</v>
      </c>
      <c r="F255" s="62" t="str">
        <f t="shared" si="50"/>
        <v>60573</v>
      </c>
      <c r="G255" s="1">
        <v>10620067</v>
      </c>
      <c r="H255" s="1" t="s">
        <v>388</v>
      </c>
      <c r="I255" s="61">
        <v>41</v>
      </c>
      <c r="J255" s="61">
        <v>3.1</v>
      </c>
      <c r="K255" s="61">
        <v>8</v>
      </c>
      <c r="L255" s="69">
        <f t="shared" si="52"/>
        <v>1.2710000000000001</v>
      </c>
      <c r="M255" s="69">
        <f t="shared" si="53"/>
        <v>3.28</v>
      </c>
      <c r="N255" s="56">
        <f>INDEX(Rate_Chart!$A$1:$AK$127,MATCH(Data!J255,Rate_Chart!$A$1:$A$127,0),MATCH(Data!K255,Rate_Chart!$A$1:$AK$1,0))</f>
        <v>35.168112000000008</v>
      </c>
      <c r="O255" s="57">
        <f t="shared" si="54"/>
        <v>1441.8925920000004</v>
      </c>
      <c r="P255" s="58">
        <f t="shared" si="55"/>
        <v>417.01318577075102</v>
      </c>
      <c r="Q255" s="58">
        <f t="shared" si="56"/>
        <v>278.00879051383401</v>
      </c>
      <c r="R255" s="66">
        <f t="shared" si="51"/>
        <v>25.233120360000008</v>
      </c>
      <c r="S255" s="64">
        <f t="shared" si="57"/>
        <v>153.75</v>
      </c>
      <c r="T255" s="66">
        <f t="shared" si="58"/>
        <v>1620.8757123600003</v>
      </c>
      <c r="U255" s="68">
        <f t="shared" si="59"/>
        <v>39.533553960000006</v>
      </c>
      <c r="V255" s="68">
        <f t="shared" si="60"/>
        <v>468.77731968379447</v>
      </c>
      <c r="W255" s="68">
        <f t="shared" si="61"/>
        <v>312.51821312252963</v>
      </c>
    </row>
    <row r="256" spans="1:23" x14ac:dyDescent="0.25">
      <c r="A256" s="169" t="s">
        <v>894</v>
      </c>
      <c r="B256" s="61" t="s">
        <v>396</v>
      </c>
      <c r="C256" s="61" t="s">
        <v>591</v>
      </c>
      <c r="D256" s="61" t="s">
        <v>592</v>
      </c>
      <c r="E256" s="1" t="s">
        <v>345</v>
      </c>
      <c r="F256" s="62" t="str">
        <f t="shared" si="50"/>
        <v>60573</v>
      </c>
      <c r="G256" s="1">
        <v>10620067</v>
      </c>
      <c r="H256" s="1" t="s">
        <v>387</v>
      </c>
      <c r="I256" s="61">
        <v>75</v>
      </c>
      <c r="J256" s="61">
        <v>6.6</v>
      </c>
      <c r="K256" s="61">
        <v>8.8000000000000007</v>
      </c>
      <c r="L256" s="69">
        <f t="shared" si="52"/>
        <v>4.95</v>
      </c>
      <c r="M256" s="69">
        <f t="shared" si="53"/>
        <v>6.6</v>
      </c>
      <c r="N256" s="56">
        <f>INDEX(Rate_Chart!$A$1:$AK$127,MATCH(Data!J256,Rate_Chart!$A$1:$A$127,0),MATCH(Data!K256,Rate_Chart!$A$1:$AK$1,0))</f>
        <v>54.558900000000001</v>
      </c>
      <c r="O256" s="57">
        <f t="shared" si="54"/>
        <v>4091.9175</v>
      </c>
      <c r="P256" s="58">
        <f t="shared" si="55"/>
        <v>437.63823529411764</v>
      </c>
      <c r="Q256" s="58">
        <f t="shared" si="56"/>
        <v>291.75882352941176</v>
      </c>
      <c r="R256" s="66">
        <f t="shared" si="51"/>
        <v>71.608556250000007</v>
      </c>
      <c r="S256" s="64">
        <f t="shared" si="57"/>
        <v>281.25</v>
      </c>
      <c r="T256" s="66">
        <f t="shared" si="58"/>
        <v>4444.7760562499998</v>
      </c>
      <c r="U256" s="68">
        <f t="shared" si="59"/>
        <v>59.263680749999999</v>
      </c>
      <c r="V256" s="68">
        <f t="shared" si="60"/>
        <v>475.37711831550797</v>
      </c>
      <c r="W256" s="68">
        <f t="shared" si="61"/>
        <v>316.91807887700531</v>
      </c>
    </row>
    <row r="257" spans="1:23" x14ac:dyDescent="0.25">
      <c r="A257" s="169" t="s">
        <v>894</v>
      </c>
      <c r="B257" s="61" t="s">
        <v>397</v>
      </c>
      <c r="C257" s="61" t="s">
        <v>591</v>
      </c>
      <c r="D257" s="61" t="s">
        <v>592</v>
      </c>
      <c r="E257" s="1" t="s">
        <v>345</v>
      </c>
      <c r="F257" s="62" t="str">
        <f t="shared" si="50"/>
        <v>60573</v>
      </c>
      <c r="G257" s="1">
        <v>10620067</v>
      </c>
      <c r="H257" s="1" t="s">
        <v>387</v>
      </c>
      <c r="I257" s="61">
        <v>68</v>
      </c>
      <c r="J257" s="61">
        <v>6</v>
      </c>
      <c r="K257" s="61">
        <v>8.6</v>
      </c>
      <c r="L257" s="69">
        <f t="shared" si="52"/>
        <v>4.08</v>
      </c>
      <c r="M257" s="69">
        <f t="shared" si="53"/>
        <v>5.8479999999999999</v>
      </c>
      <c r="N257" s="56">
        <f>INDEX(Rate_Chart!$A$1:$AK$127,MATCH(Data!J257,Rate_Chart!$A$1:$A$127,0),MATCH(Data!K257,Rate_Chart!$A$1:$AK$1,0))</f>
        <v>49.097999999999999</v>
      </c>
      <c r="O257" s="57">
        <f t="shared" si="54"/>
        <v>3338.6639999999998</v>
      </c>
      <c r="P257" s="58">
        <f t="shared" si="55"/>
        <v>418.44886363636368</v>
      </c>
      <c r="Q257" s="58">
        <f t="shared" si="56"/>
        <v>278.96590909090912</v>
      </c>
      <c r="R257" s="66">
        <f t="shared" si="51"/>
        <v>58.42662</v>
      </c>
      <c r="S257" s="64">
        <f t="shared" si="57"/>
        <v>255</v>
      </c>
      <c r="T257" s="66">
        <f t="shared" si="58"/>
        <v>3652.0906199999999</v>
      </c>
      <c r="U257" s="68">
        <f t="shared" si="59"/>
        <v>53.707214999999998</v>
      </c>
      <c r="V257" s="68">
        <f t="shared" si="60"/>
        <v>457.7319460227273</v>
      </c>
      <c r="W257" s="68">
        <f t="shared" si="61"/>
        <v>305.15463068181822</v>
      </c>
    </row>
    <row r="258" spans="1:23" x14ac:dyDescent="0.25">
      <c r="A258" s="169" t="s">
        <v>888</v>
      </c>
      <c r="B258" s="61" t="s">
        <v>396</v>
      </c>
      <c r="C258" s="61" t="s">
        <v>591</v>
      </c>
      <c r="D258" s="61" t="s">
        <v>592</v>
      </c>
      <c r="E258" s="1" t="s">
        <v>346</v>
      </c>
      <c r="F258" s="62" t="str">
        <f t="shared" si="50"/>
        <v>60604</v>
      </c>
      <c r="G258" s="1">
        <v>10620076</v>
      </c>
      <c r="H258" s="1" t="s">
        <v>388</v>
      </c>
      <c r="I258" s="61">
        <v>16</v>
      </c>
      <c r="J258" s="61">
        <v>4.7</v>
      </c>
      <c r="K258" s="61">
        <v>8.3000000000000007</v>
      </c>
      <c r="L258" s="69">
        <f t="shared" si="52"/>
        <v>0.752</v>
      </c>
      <c r="M258" s="69">
        <f t="shared" si="53"/>
        <v>1.3280000000000001</v>
      </c>
      <c r="N258" s="56">
        <f>INDEX(Rate_Chart!$A$1:$AK$127,MATCH(Data!J258,Rate_Chart!$A$1:$A$127,0),MATCH(Data!K258,Rate_Chart!$A$1:$AK$1,0))</f>
        <v>42.674153700000005</v>
      </c>
      <c r="O258" s="57">
        <f t="shared" si="54"/>
        <v>682.78645920000008</v>
      </c>
      <c r="P258" s="58">
        <f t="shared" si="55"/>
        <v>417.01127394136813</v>
      </c>
      <c r="Q258" s="58">
        <f t="shared" si="56"/>
        <v>278.00751596091209</v>
      </c>
      <c r="R258" s="66">
        <f t="shared" si="51"/>
        <v>11.948763036000003</v>
      </c>
      <c r="S258" s="64">
        <f t="shared" si="57"/>
        <v>60</v>
      </c>
      <c r="T258" s="66">
        <f t="shared" si="58"/>
        <v>754.73522223600003</v>
      </c>
      <c r="U258" s="68">
        <f t="shared" si="59"/>
        <v>47.170951389750002</v>
      </c>
      <c r="V258" s="68">
        <f t="shared" si="60"/>
        <v>460.95392237540722</v>
      </c>
      <c r="W258" s="68">
        <f t="shared" si="61"/>
        <v>307.30261491693813</v>
      </c>
    </row>
    <row r="259" spans="1:23" x14ac:dyDescent="0.25">
      <c r="A259" s="169" t="s">
        <v>888</v>
      </c>
      <c r="B259" s="61" t="s">
        <v>397</v>
      </c>
      <c r="C259" s="61" t="s">
        <v>591</v>
      </c>
      <c r="D259" s="61" t="s">
        <v>592</v>
      </c>
      <c r="E259" s="1" t="s">
        <v>346</v>
      </c>
      <c r="F259" s="62" t="str">
        <f t="shared" si="50"/>
        <v>60604</v>
      </c>
      <c r="G259" s="1">
        <v>10620076</v>
      </c>
      <c r="H259" s="1" t="s">
        <v>388</v>
      </c>
      <c r="I259" s="61">
        <v>26</v>
      </c>
      <c r="J259" s="61">
        <v>3.6</v>
      </c>
      <c r="K259" s="61">
        <v>8</v>
      </c>
      <c r="L259" s="69">
        <f t="shared" si="52"/>
        <v>0.93600000000000005</v>
      </c>
      <c r="M259" s="69">
        <f t="shared" si="53"/>
        <v>2.08</v>
      </c>
      <c r="N259" s="56">
        <f>INDEX(Rate_Chart!$A$1:$AK$127,MATCH(Data!J259,Rate_Chart!$A$1:$A$127,0),MATCH(Data!K259,Rate_Chart!$A$1:$AK$1,0))</f>
        <v>37.253112000000009</v>
      </c>
      <c r="O259" s="57">
        <f t="shared" si="54"/>
        <v>968.58091200000024</v>
      </c>
      <c r="P259" s="58">
        <f t="shared" si="55"/>
        <v>417.01244776119404</v>
      </c>
      <c r="Q259" s="58">
        <f t="shared" si="56"/>
        <v>278.00829850746271</v>
      </c>
      <c r="R259" s="66">
        <f t="shared" si="51"/>
        <v>16.950165960000007</v>
      </c>
      <c r="S259" s="64">
        <f t="shared" si="57"/>
        <v>97.5</v>
      </c>
      <c r="T259" s="66">
        <f t="shared" si="58"/>
        <v>1083.0310779600002</v>
      </c>
      <c r="U259" s="68">
        <f t="shared" si="59"/>
        <v>41.655041460000007</v>
      </c>
      <c r="V259" s="68">
        <f t="shared" si="60"/>
        <v>466.28777753731345</v>
      </c>
      <c r="W259" s="68">
        <f t="shared" si="61"/>
        <v>310.85851835820898</v>
      </c>
    </row>
    <row r="260" spans="1:23" x14ac:dyDescent="0.25">
      <c r="A260" s="169" t="s">
        <v>889</v>
      </c>
      <c r="B260" s="61" t="s">
        <v>396</v>
      </c>
      <c r="C260" s="61" t="s">
        <v>591</v>
      </c>
      <c r="D260" s="61" t="s">
        <v>592</v>
      </c>
      <c r="E260" s="1" t="s">
        <v>346</v>
      </c>
      <c r="F260" s="62" t="str">
        <f t="shared" si="50"/>
        <v>60604</v>
      </c>
      <c r="G260" s="1">
        <v>10620076</v>
      </c>
      <c r="H260" s="1" t="s">
        <v>387</v>
      </c>
      <c r="I260" s="61">
        <v>20</v>
      </c>
      <c r="J260" s="61">
        <v>5.6</v>
      </c>
      <c r="K260" s="61">
        <v>8.4</v>
      </c>
      <c r="L260" s="69">
        <f t="shared" si="52"/>
        <v>1.1200000000000001</v>
      </c>
      <c r="M260" s="69">
        <f t="shared" si="53"/>
        <v>1.68</v>
      </c>
      <c r="N260" s="56">
        <f>INDEX(Rate_Chart!$A$1:$AK$127,MATCH(Data!J260,Rate_Chart!$A$1:$A$127,0),MATCH(Data!K260,Rate_Chart!$A$1:$AK$1,0))</f>
        <v>45.357199999999999</v>
      </c>
      <c r="O260" s="57">
        <f t="shared" si="54"/>
        <v>907.14400000000001</v>
      </c>
      <c r="P260" s="58">
        <f t="shared" si="55"/>
        <v>404.97500000000002</v>
      </c>
      <c r="Q260" s="58">
        <f t="shared" si="56"/>
        <v>269.98333333333335</v>
      </c>
      <c r="R260" s="66">
        <f t="shared" ref="R260:R323" si="62">O260*1.75%</f>
        <v>15.875020000000001</v>
      </c>
      <c r="S260" s="64">
        <f t="shared" si="57"/>
        <v>75</v>
      </c>
      <c r="T260" s="66">
        <f t="shared" si="58"/>
        <v>998.01901999999995</v>
      </c>
      <c r="U260" s="68">
        <f t="shared" si="59"/>
        <v>49.900950999999999</v>
      </c>
      <c r="V260" s="68">
        <f t="shared" si="60"/>
        <v>445.54420535714291</v>
      </c>
      <c r="W260" s="68">
        <f t="shared" si="61"/>
        <v>297.02947023809526</v>
      </c>
    </row>
    <row r="261" spans="1:23" x14ac:dyDescent="0.25">
      <c r="A261" s="169" t="s">
        <v>889</v>
      </c>
      <c r="B261" s="61" t="s">
        <v>397</v>
      </c>
      <c r="C261" s="61" t="s">
        <v>591</v>
      </c>
      <c r="D261" s="61" t="s">
        <v>592</v>
      </c>
      <c r="E261" s="1" t="s">
        <v>346</v>
      </c>
      <c r="F261" s="62" t="str">
        <f t="shared" ref="F261:F324" si="63">MID(E261,2,5)</f>
        <v>60604</v>
      </c>
      <c r="G261" s="1">
        <v>10620076</v>
      </c>
      <c r="H261" s="1" t="s">
        <v>388</v>
      </c>
      <c r="I261" s="61">
        <v>22</v>
      </c>
      <c r="J261" s="61">
        <v>3.1</v>
      </c>
      <c r="K261" s="61">
        <v>8</v>
      </c>
      <c r="L261" s="69">
        <f t="shared" si="52"/>
        <v>0.68200000000000005</v>
      </c>
      <c r="M261" s="69">
        <f t="shared" si="53"/>
        <v>1.76</v>
      </c>
      <c r="N261" s="56">
        <f>INDEX(Rate_Chart!$A$1:$AK$127,MATCH(Data!J261,Rate_Chart!$A$1:$A$127,0),MATCH(Data!K261,Rate_Chart!$A$1:$AK$1,0))</f>
        <v>35.168112000000008</v>
      </c>
      <c r="O261" s="57">
        <f t="shared" si="54"/>
        <v>773.69846400000017</v>
      </c>
      <c r="P261" s="58">
        <f t="shared" si="55"/>
        <v>417.01318577075102</v>
      </c>
      <c r="Q261" s="58">
        <f t="shared" si="56"/>
        <v>278.00879051383401</v>
      </c>
      <c r="R261" s="66">
        <f t="shared" si="62"/>
        <v>13.539723120000005</v>
      </c>
      <c r="S261" s="64">
        <f t="shared" si="57"/>
        <v>82.5</v>
      </c>
      <c r="T261" s="66">
        <f t="shared" si="58"/>
        <v>869.73818712000013</v>
      </c>
      <c r="U261" s="68">
        <f t="shared" si="59"/>
        <v>39.533553960000006</v>
      </c>
      <c r="V261" s="68">
        <f t="shared" si="60"/>
        <v>468.77731968379447</v>
      </c>
      <c r="W261" s="68">
        <f t="shared" si="61"/>
        <v>312.51821312252963</v>
      </c>
    </row>
    <row r="262" spans="1:23" x14ac:dyDescent="0.25">
      <c r="A262" s="169" t="s">
        <v>890</v>
      </c>
      <c r="B262" s="61" t="s">
        <v>396</v>
      </c>
      <c r="C262" s="61" t="s">
        <v>591</v>
      </c>
      <c r="D262" s="61" t="s">
        <v>592</v>
      </c>
      <c r="E262" s="1" t="s">
        <v>346</v>
      </c>
      <c r="F262" s="62" t="str">
        <f t="shared" si="63"/>
        <v>60604</v>
      </c>
      <c r="G262" s="1">
        <v>10620076</v>
      </c>
      <c r="H262" s="1" t="s">
        <v>388</v>
      </c>
      <c r="I262" s="61">
        <v>20</v>
      </c>
      <c r="J262" s="61">
        <v>4.7</v>
      </c>
      <c r="K262" s="61">
        <v>8.3000000000000007</v>
      </c>
      <c r="L262" s="69">
        <f t="shared" si="52"/>
        <v>0.94</v>
      </c>
      <c r="M262" s="69">
        <f t="shared" si="53"/>
        <v>1.66</v>
      </c>
      <c r="N262" s="56">
        <f>INDEX(Rate_Chart!$A$1:$AK$127,MATCH(Data!J262,Rate_Chart!$A$1:$A$127,0),MATCH(Data!K262,Rate_Chart!$A$1:$AK$1,0))</f>
        <v>42.674153700000005</v>
      </c>
      <c r="O262" s="57">
        <f t="shared" si="54"/>
        <v>853.4830740000001</v>
      </c>
      <c r="P262" s="58">
        <f t="shared" si="55"/>
        <v>417.01127394136813</v>
      </c>
      <c r="Q262" s="58">
        <f t="shared" si="56"/>
        <v>278.00751596091209</v>
      </c>
      <c r="R262" s="66">
        <f t="shared" si="62"/>
        <v>14.935953795000003</v>
      </c>
      <c r="S262" s="64">
        <f t="shared" si="57"/>
        <v>75</v>
      </c>
      <c r="T262" s="66">
        <f t="shared" si="58"/>
        <v>943.41902779500015</v>
      </c>
      <c r="U262" s="68">
        <f t="shared" si="59"/>
        <v>47.170951389750009</v>
      </c>
      <c r="V262" s="68">
        <f t="shared" si="60"/>
        <v>460.95392237540727</v>
      </c>
      <c r="W262" s="68">
        <f t="shared" si="61"/>
        <v>307.30261491693818</v>
      </c>
    </row>
    <row r="263" spans="1:23" x14ac:dyDescent="0.25">
      <c r="A263" s="169" t="s">
        <v>890</v>
      </c>
      <c r="B263" s="61" t="s">
        <v>397</v>
      </c>
      <c r="C263" s="61" t="s">
        <v>591</v>
      </c>
      <c r="D263" s="61" t="s">
        <v>592</v>
      </c>
      <c r="E263" s="1" t="s">
        <v>346</v>
      </c>
      <c r="F263" s="62" t="str">
        <f t="shared" si="63"/>
        <v>60604</v>
      </c>
      <c r="G263" s="1">
        <v>10620076</v>
      </c>
      <c r="H263" s="1" t="s">
        <v>388</v>
      </c>
      <c r="I263" s="61">
        <v>27</v>
      </c>
      <c r="J263" s="61">
        <v>3.1</v>
      </c>
      <c r="K263" s="61">
        <v>8</v>
      </c>
      <c r="L263" s="69">
        <f t="shared" si="52"/>
        <v>0.83700000000000008</v>
      </c>
      <c r="M263" s="69">
        <f t="shared" si="53"/>
        <v>2.16</v>
      </c>
      <c r="N263" s="56">
        <f>INDEX(Rate_Chart!$A$1:$AK$127,MATCH(Data!J263,Rate_Chart!$A$1:$A$127,0),MATCH(Data!K263,Rate_Chart!$A$1:$AK$1,0))</f>
        <v>35.168112000000008</v>
      </c>
      <c r="O263" s="57">
        <f t="shared" si="54"/>
        <v>949.53902400000015</v>
      </c>
      <c r="P263" s="58">
        <f t="shared" si="55"/>
        <v>417.01318577075102</v>
      </c>
      <c r="Q263" s="58">
        <f t="shared" si="56"/>
        <v>278.00879051383401</v>
      </c>
      <c r="R263" s="66">
        <f t="shared" si="62"/>
        <v>16.616932920000004</v>
      </c>
      <c r="S263" s="64">
        <f t="shared" si="57"/>
        <v>101.25</v>
      </c>
      <c r="T263" s="66">
        <f t="shared" si="58"/>
        <v>1067.4059569200001</v>
      </c>
      <c r="U263" s="68">
        <f t="shared" si="59"/>
        <v>39.533553960000006</v>
      </c>
      <c r="V263" s="68">
        <f t="shared" si="60"/>
        <v>468.77731968379447</v>
      </c>
      <c r="W263" s="68">
        <f t="shared" si="61"/>
        <v>312.51821312252963</v>
      </c>
    </row>
    <row r="264" spans="1:23" x14ac:dyDescent="0.25">
      <c r="A264" s="169" t="s">
        <v>891</v>
      </c>
      <c r="B264" s="61" t="s">
        <v>396</v>
      </c>
      <c r="C264" s="61" t="s">
        <v>591</v>
      </c>
      <c r="D264" s="61" t="s">
        <v>592</v>
      </c>
      <c r="E264" s="1" t="s">
        <v>346</v>
      </c>
      <c r="F264" s="62" t="str">
        <f t="shared" si="63"/>
        <v>60604</v>
      </c>
      <c r="G264" s="1">
        <v>10620076</v>
      </c>
      <c r="H264" s="1" t="s">
        <v>388</v>
      </c>
      <c r="I264" s="61">
        <v>21</v>
      </c>
      <c r="J264" s="61">
        <v>5.0999999999999996</v>
      </c>
      <c r="K264" s="61">
        <v>8.5</v>
      </c>
      <c r="L264" s="69">
        <f t="shared" si="52"/>
        <v>1.071</v>
      </c>
      <c r="M264" s="69">
        <f t="shared" si="53"/>
        <v>1.7849999999999999</v>
      </c>
      <c r="N264" s="56">
        <f>INDEX(Rate_Chart!$A$1:$AK$127,MATCH(Data!J264,Rate_Chart!$A$1:$A$127,0),MATCH(Data!K264,Rate_Chart!$A$1:$AK$1,0))</f>
        <v>44.898181500000007</v>
      </c>
      <c r="O264" s="57">
        <f t="shared" si="54"/>
        <v>942.86181150000016</v>
      </c>
      <c r="P264" s="58">
        <f t="shared" si="55"/>
        <v>417.01097368421063</v>
      </c>
      <c r="Q264" s="58">
        <f t="shared" si="56"/>
        <v>278.00731578947375</v>
      </c>
      <c r="R264" s="66">
        <f t="shared" si="62"/>
        <v>16.500081701250004</v>
      </c>
      <c r="S264" s="64">
        <f t="shared" si="57"/>
        <v>78.75</v>
      </c>
      <c r="T264" s="66">
        <f t="shared" si="58"/>
        <v>1038.11189320125</v>
      </c>
      <c r="U264" s="68">
        <f t="shared" si="59"/>
        <v>49.43389967625</v>
      </c>
      <c r="V264" s="68">
        <f t="shared" si="60"/>
        <v>459.13838708591334</v>
      </c>
      <c r="W264" s="68">
        <f t="shared" si="61"/>
        <v>306.09225805727556</v>
      </c>
    </row>
    <row r="265" spans="1:23" x14ac:dyDescent="0.25">
      <c r="A265" s="169" t="s">
        <v>891</v>
      </c>
      <c r="B265" s="61" t="s">
        <v>397</v>
      </c>
      <c r="C265" s="61" t="s">
        <v>591</v>
      </c>
      <c r="D265" s="61" t="s">
        <v>592</v>
      </c>
      <c r="E265" s="1" t="s">
        <v>346</v>
      </c>
      <c r="F265" s="62" t="str">
        <f t="shared" si="63"/>
        <v>60604</v>
      </c>
      <c r="G265" s="1">
        <v>10620076</v>
      </c>
      <c r="H265" s="1" t="s">
        <v>388</v>
      </c>
      <c r="I265" s="61">
        <v>25</v>
      </c>
      <c r="J265" s="61">
        <v>3.1</v>
      </c>
      <c r="K265" s="61">
        <v>8.1</v>
      </c>
      <c r="L265" s="69">
        <f t="shared" si="52"/>
        <v>0.77500000000000002</v>
      </c>
      <c r="M265" s="69">
        <f t="shared" si="53"/>
        <v>2.0249999999999999</v>
      </c>
      <c r="N265" s="56">
        <f>INDEX(Rate_Chart!$A$1:$AK$127,MATCH(Data!J265,Rate_Chart!$A$1:$A$127,0),MATCH(Data!K265,Rate_Chart!$A$1:$AK$1,0))</f>
        <v>35.446125899999998</v>
      </c>
      <c r="O265" s="57">
        <f t="shared" si="54"/>
        <v>886.15314749999993</v>
      </c>
      <c r="P265" s="58">
        <f t="shared" si="55"/>
        <v>417.01324588235298</v>
      </c>
      <c r="Q265" s="58">
        <f t="shared" si="56"/>
        <v>278.0088305882353</v>
      </c>
      <c r="R265" s="66">
        <f t="shared" si="62"/>
        <v>15.507680081250001</v>
      </c>
      <c r="S265" s="64">
        <f t="shared" si="57"/>
        <v>93.75</v>
      </c>
      <c r="T265" s="66">
        <f t="shared" si="58"/>
        <v>995.41082758124992</v>
      </c>
      <c r="U265" s="68">
        <f t="shared" si="59"/>
        <v>39.816433103249999</v>
      </c>
      <c r="V265" s="68">
        <f t="shared" si="60"/>
        <v>468.42862474411766</v>
      </c>
      <c r="W265" s="68">
        <f t="shared" si="61"/>
        <v>312.28574982941177</v>
      </c>
    </row>
    <row r="266" spans="1:23" x14ac:dyDescent="0.25">
      <c r="A266" s="169" t="s">
        <v>892</v>
      </c>
      <c r="B266" s="61" t="s">
        <v>396</v>
      </c>
      <c r="C266" s="61" t="s">
        <v>591</v>
      </c>
      <c r="D266" s="61" t="s">
        <v>592</v>
      </c>
      <c r="E266" s="1" t="s">
        <v>346</v>
      </c>
      <c r="F266" s="62" t="str">
        <f t="shared" si="63"/>
        <v>60604</v>
      </c>
      <c r="G266" s="1">
        <v>10620076</v>
      </c>
      <c r="H266" s="1" t="s">
        <v>388</v>
      </c>
      <c r="I266" s="61">
        <v>24</v>
      </c>
      <c r="J266" s="61">
        <v>4.7</v>
      </c>
      <c r="K266" s="61">
        <v>8.1999999999999993</v>
      </c>
      <c r="L266" s="69">
        <f t="shared" si="52"/>
        <v>1.1280000000000001</v>
      </c>
      <c r="M266" s="69">
        <f t="shared" si="53"/>
        <v>1.9679999999999997</v>
      </c>
      <c r="N266" s="56">
        <f>INDEX(Rate_Chart!$A$1:$AK$127,MATCH(Data!J266,Rate_Chart!$A$1:$A$127,0),MATCH(Data!K266,Rate_Chart!$A$1:$AK$1,0))</f>
        <v>42.3961398</v>
      </c>
      <c r="O266" s="57">
        <f t="shared" si="54"/>
        <v>1017.5073552</v>
      </c>
      <c r="P266" s="58">
        <f t="shared" si="55"/>
        <v>417.01121114754102</v>
      </c>
      <c r="Q266" s="58">
        <f t="shared" si="56"/>
        <v>278.00747409836066</v>
      </c>
      <c r="R266" s="66">
        <f t="shared" si="62"/>
        <v>17.806378716000001</v>
      </c>
      <c r="S266" s="64">
        <f t="shared" si="57"/>
        <v>90</v>
      </c>
      <c r="T266" s="66">
        <f t="shared" si="58"/>
        <v>1125.313733916</v>
      </c>
      <c r="U266" s="68">
        <f t="shared" si="59"/>
        <v>46.888072246500002</v>
      </c>
      <c r="V266" s="68">
        <f t="shared" si="60"/>
        <v>461.19415324426234</v>
      </c>
      <c r="W266" s="68">
        <f t="shared" si="61"/>
        <v>307.46276882950821</v>
      </c>
    </row>
    <row r="267" spans="1:23" x14ac:dyDescent="0.25">
      <c r="A267" s="169" t="s">
        <v>892</v>
      </c>
      <c r="B267" s="61" t="s">
        <v>397</v>
      </c>
      <c r="C267" s="61" t="s">
        <v>591</v>
      </c>
      <c r="D267" s="61" t="s">
        <v>592</v>
      </c>
      <c r="E267" s="1" t="s">
        <v>346</v>
      </c>
      <c r="F267" s="62" t="str">
        <f t="shared" si="63"/>
        <v>60604</v>
      </c>
      <c r="G267" s="1">
        <v>10620076</v>
      </c>
      <c r="H267" s="1" t="s">
        <v>388</v>
      </c>
      <c r="I267" s="61">
        <v>28</v>
      </c>
      <c r="J267" s="61">
        <v>3.3</v>
      </c>
      <c r="K267" s="61">
        <v>8.1</v>
      </c>
      <c r="L267" s="69">
        <f t="shared" si="52"/>
        <v>0.92399999999999993</v>
      </c>
      <c r="M267" s="69">
        <f t="shared" si="53"/>
        <v>2.2679999999999998</v>
      </c>
      <c r="N267" s="56">
        <f>INDEX(Rate_Chart!$A$1:$AK$127,MATCH(Data!J267,Rate_Chart!$A$1:$A$127,0),MATCH(Data!K267,Rate_Chart!$A$1:$AK$1,0))</f>
        <v>36.280125900000002</v>
      </c>
      <c r="O267" s="57">
        <f t="shared" si="54"/>
        <v>1015.8435252</v>
      </c>
      <c r="P267" s="58">
        <f t="shared" si="55"/>
        <v>417.0129413793104</v>
      </c>
      <c r="Q267" s="58">
        <f t="shared" si="56"/>
        <v>278.00862758620696</v>
      </c>
      <c r="R267" s="66">
        <f t="shared" si="62"/>
        <v>17.777261691000003</v>
      </c>
      <c r="S267" s="64">
        <f t="shared" si="57"/>
        <v>105</v>
      </c>
      <c r="T267" s="66">
        <f t="shared" si="58"/>
        <v>1138.6207868910001</v>
      </c>
      <c r="U267" s="68">
        <f t="shared" si="59"/>
        <v>40.665028103250002</v>
      </c>
      <c r="V267" s="68">
        <f t="shared" si="60"/>
        <v>467.4141161293104</v>
      </c>
      <c r="W267" s="68">
        <f t="shared" si="61"/>
        <v>311.6094107528736</v>
      </c>
    </row>
    <row r="268" spans="1:23" x14ac:dyDescent="0.25">
      <c r="A268" s="169" t="s">
        <v>893</v>
      </c>
      <c r="B268" s="61" t="s">
        <v>396</v>
      </c>
      <c r="C268" s="61" t="s">
        <v>591</v>
      </c>
      <c r="D268" s="61" t="s">
        <v>592</v>
      </c>
      <c r="E268" s="1" t="s">
        <v>346</v>
      </c>
      <c r="F268" s="62" t="str">
        <f t="shared" si="63"/>
        <v>60604</v>
      </c>
      <c r="G268" s="1">
        <v>10620076</v>
      </c>
      <c r="H268" s="1" t="s">
        <v>387</v>
      </c>
      <c r="I268" s="61">
        <v>21</v>
      </c>
      <c r="J268" s="61">
        <v>5.6</v>
      </c>
      <c r="K268" s="61">
        <v>8.4</v>
      </c>
      <c r="L268" s="69">
        <f t="shared" si="52"/>
        <v>1.1759999999999999</v>
      </c>
      <c r="M268" s="69">
        <f t="shared" si="53"/>
        <v>1.764</v>
      </c>
      <c r="N268" s="56">
        <f>INDEX(Rate_Chart!$A$1:$AK$127,MATCH(Data!J268,Rate_Chart!$A$1:$A$127,0),MATCH(Data!K268,Rate_Chart!$A$1:$AK$1,0))</f>
        <v>45.357199999999999</v>
      </c>
      <c r="O268" s="57">
        <f t="shared" si="54"/>
        <v>952.50119999999993</v>
      </c>
      <c r="P268" s="58">
        <f t="shared" si="55"/>
        <v>404.97500000000002</v>
      </c>
      <c r="Q268" s="58">
        <f t="shared" si="56"/>
        <v>269.98333333333335</v>
      </c>
      <c r="R268" s="66">
        <f t="shared" si="62"/>
        <v>16.668771</v>
      </c>
      <c r="S268" s="64">
        <f t="shared" si="57"/>
        <v>78.75</v>
      </c>
      <c r="T268" s="66">
        <f t="shared" si="58"/>
        <v>1047.9199709999998</v>
      </c>
      <c r="U268" s="68">
        <f t="shared" si="59"/>
        <v>49.900950999999992</v>
      </c>
      <c r="V268" s="68">
        <f t="shared" si="60"/>
        <v>445.54420535714286</v>
      </c>
      <c r="W268" s="68">
        <f t="shared" si="61"/>
        <v>297.02947023809526</v>
      </c>
    </row>
    <row r="269" spans="1:23" x14ac:dyDescent="0.25">
      <c r="A269" s="169" t="s">
        <v>893</v>
      </c>
      <c r="B269" s="61" t="s">
        <v>397</v>
      </c>
      <c r="C269" s="61" t="s">
        <v>591</v>
      </c>
      <c r="D269" s="61" t="s">
        <v>592</v>
      </c>
      <c r="E269" s="1" t="s">
        <v>346</v>
      </c>
      <c r="F269" s="62" t="str">
        <f t="shared" si="63"/>
        <v>60604</v>
      </c>
      <c r="G269" s="1">
        <v>10620076</v>
      </c>
      <c r="H269" s="1" t="s">
        <v>388</v>
      </c>
      <c r="I269" s="61">
        <v>28</v>
      </c>
      <c r="J269" s="61">
        <v>3.7</v>
      </c>
      <c r="K269" s="61">
        <v>8.1</v>
      </c>
      <c r="L269" s="69">
        <f t="shared" si="52"/>
        <v>1.036</v>
      </c>
      <c r="M269" s="69">
        <f t="shared" si="53"/>
        <v>2.2679999999999998</v>
      </c>
      <c r="N269" s="56">
        <f>INDEX(Rate_Chart!$A$1:$AK$127,MATCH(Data!J269,Rate_Chart!$A$1:$A$127,0),MATCH(Data!K269,Rate_Chart!$A$1:$AK$1,0))</f>
        <v>37.948125900000008</v>
      </c>
      <c r="O269" s="57">
        <f t="shared" si="54"/>
        <v>1062.5475252000001</v>
      </c>
      <c r="P269" s="58">
        <f t="shared" si="55"/>
        <v>417.01237252747262</v>
      </c>
      <c r="Q269" s="58">
        <f t="shared" si="56"/>
        <v>278.00824835164843</v>
      </c>
      <c r="R269" s="66">
        <f t="shared" si="62"/>
        <v>18.594581691000002</v>
      </c>
      <c r="S269" s="64">
        <f t="shared" si="57"/>
        <v>105</v>
      </c>
      <c r="T269" s="66">
        <f t="shared" si="58"/>
        <v>1186.1421068910001</v>
      </c>
      <c r="U269" s="68">
        <f t="shared" si="59"/>
        <v>42.362218103250008</v>
      </c>
      <c r="V269" s="68">
        <f t="shared" si="60"/>
        <v>465.51888025549459</v>
      </c>
      <c r="W269" s="68">
        <f t="shared" si="61"/>
        <v>310.34592017032975</v>
      </c>
    </row>
    <row r="270" spans="1:23" x14ac:dyDescent="0.25">
      <c r="A270" s="169" t="s">
        <v>894</v>
      </c>
      <c r="B270" s="61" t="s">
        <v>396</v>
      </c>
      <c r="C270" s="61" t="s">
        <v>591</v>
      </c>
      <c r="D270" s="61" t="s">
        <v>592</v>
      </c>
      <c r="E270" s="1" t="s">
        <v>346</v>
      </c>
      <c r="F270" s="62" t="str">
        <f t="shared" si="63"/>
        <v>60604</v>
      </c>
      <c r="G270" s="1">
        <v>10620076</v>
      </c>
      <c r="H270" s="1" t="s">
        <v>387</v>
      </c>
      <c r="I270" s="61">
        <v>19</v>
      </c>
      <c r="J270" s="61">
        <v>5.6</v>
      </c>
      <c r="K270" s="61">
        <v>8.4</v>
      </c>
      <c r="L270" s="69">
        <f t="shared" si="52"/>
        <v>1.0639999999999998</v>
      </c>
      <c r="M270" s="69">
        <f t="shared" si="53"/>
        <v>1.5959999999999999</v>
      </c>
      <c r="N270" s="56">
        <f>INDEX(Rate_Chart!$A$1:$AK$127,MATCH(Data!J270,Rate_Chart!$A$1:$A$127,0),MATCH(Data!K270,Rate_Chart!$A$1:$AK$1,0))</f>
        <v>45.357199999999999</v>
      </c>
      <c r="O270" s="57">
        <f t="shared" si="54"/>
        <v>861.78679999999997</v>
      </c>
      <c r="P270" s="58">
        <f t="shared" si="55"/>
        <v>404.97500000000002</v>
      </c>
      <c r="Q270" s="58">
        <f t="shared" si="56"/>
        <v>269.98333333333335</v>
      </c>
      <c r="R270" s="66">
        <f t="shared" si="62"/>
        <v>15.081269000000001</v>
      </c>
      <c r="S270" s="64">
        <f t="shared" si="57"/>
        <v>71.25</v>
      </c>
      <c r="T270" s="66">
        <f t="shared" si="58"/>
        <v>948.11806899999999</v>
      </c>
      <c r="U270" s="68">
        <f t="shared" si="59"/>
        <v>49.900950999999999</v>
      </c>
      <c r="V270" s="68">
        <f t="shared" si="60"/>
        <v>445.54420535714291</v>
      </c>
      <c r="W270" s="68">
        <f t="shared" si="61"/>
        <v>297.02947023809526</v>
      </c>
    </row>
    <row r="271" spans="1:23" x14ac:dyDescent="0.25">
      <c r="A271" s="169" t="s">
        <v>894</v>
      </c>
      <c r="B271" s="61" t="s">
        <v>397</v>
      </c>
      <c r="C271" s="61" t="s">
        <v>591</v>
      </c>
      <c r="D271" s="61" t="s">
        <v>592</v>
      </c>
      <c r="E271" s="1" t="s">
        <v>346</v>
      </c>
      <c r="F271" s="62" t="str">
        <f t="shared" si="63"/>
        <v>60604</v>
      </c>
      <c r="G271" s="1">
        <v>10620076</v>
      </c>
      <c r="H271" s="1" t="s">
        <v>388</v>
      </c>
      <c r="I271" s="61">
        <v>23</v>
      </c>
      <c r="J271" s="61">
        <v>3.2</v>
      </c>
      <c r="K271" s="61">
        <v>8</v>
      </c>
      <c r="L271" s="69">
        <f t="shared" si="52"/>
        <v>0.7360000000000001</v>
      </c>
      <c r="M271" s="69">
        <f t="shared" si="53"/>
        <v>1.84</v>
      </c>
      <c r="N271" s="56">
        <f>INDEX(Rate_Chart!$A$1:$AK$127,MATCH(Data!J271,Rate_Chart!$A$1:$A$127,0),MATCH(Data!K271,Rate_Chart!$A$1:$AK$1,0))</f>
        <v>35.585112000000002</v>
      </c>
      <c r="O271" s="57">
        <f t="shared" si="54"/>
        <v>818.45757600000002</v>
      </c>
      <c r="P271" s="58">
        <f t="shared" si="55"/>
        <v>417.01303124999998</v>
      </c>
      <c r="Q271" s="58">
        <f t="shared" si="56"/>
        <v>278.00868750000001</v>
      </c>
      <c r="R271" s="66">
        <f t="shared" si="62"/>
        <v>14.323007580000002</v>
      </c>
      <c r="S271" s="64">
        <f t="shared" si="57"/>
        <v>86.25</v>
      </c>
      <c r="T271" s="66">
        <f t="shared" si="58"/>
        <v>919.03058357999998</v>
      </c>
      <c r="U271" s="68">
        <f t="shared" si="59"/>
        <v>39.957851460000001</v>
      </c>
      <c r="V271" s="68">
        <f t="shared" si="60"/>
        <v>468.25607179687495</v>
      </c>
      <c r="W271" s="68">
        <f t="shared" si="61"/>
        <v>312.17071453124998</v>
      </c>
    </row>
    <row r="272" spans="1:23" x14ac:dyDescent="0.25">
      <c r="A272" s="169" t="s">
        <v>888</v>
      </c>
      <c r="B272" s="61" t="s">
        <v>396</v>
      </c>
      <c r="C272" s="61" t="s">
        <v>591</v>
      </c>
      <c r="D272" s="61" t="s">
        <v>869</v>
      </c>
      <c r="E272" s="1" t="s">
        <v>347</v>
      </c>
      <c r="F272" s="62" t="str">
        <f t="shared" si="63"/>
        <v>60605</v>
      </c>
      <c r="G272" s="1">
        <v>10620061</v>
      </c>
      <c r="H272" s="1" t="s">
        <v>387</v>
      </c>
      <c r="I272" s="61">
        <v>62</v>
      </c>
      <c r="J272" s="61">
        <v>6</v>
      </c>
      <c r="K272" s="61">
        <v>8.8000000000000007</v>
      </c>
      <c r="L272" s="69">
        <f t="shared" si="52"/>
        <v>3.72</v>
      </c>
      <c r="M272" s="69">
        <f t="shared" si="53"/>
        <v>5.4560000000000004</v>
      </c>
      <c r="N272" s="56">
        <f>INDEX(Rate_Chart!$A$1:$AK$127,MATCH(Data!J272,Rate_Chart!$A$1:$A$127,0),MATCH(Data!K272,Rate_Chart!$A$1:$AK$1,0))</f>
        <v>49.599000000000004</v>
      </c>
      <c r="O272" s="57">
        <f t="shared" si="54"/>
        <v>3075.1380000000004</v>
      </c>
      <c r="P272" s="58">
        <f t="shared" si="55"/>
        <v>417.96910112359552</v>
      </c>
      <c r="Q272" s="58">
        <f t="shared" si="56"/>
        <v>278.64606741573033</v>
      </c>
      <c r="R272" s="66">
        <f t="shared" si="62"/>
        <v>53.814915000000013</v>
      </c>
      <c r="S272" s="64">
        <f t="shared" si="57"/>
        <v>232.5</v>
      </c>
      <c r="T272" s="66">
        <f t="shared" si="58"/>
        <v>3361.4529150000003</v>
      </c>
      <c r="U272" s="68">
        <f t="shared" si="59"/>
        <v>54.216982500000007</v>
      </c>
      <c r="V272" s="68">
        <f t="shared" si="60"/>
        <v>456.8846839887641</v>
      </c>
      <c r="W272" s="68">
        <f t="shared" si="61"/>
        <v>304.58978932584273</v>
      </c>
    </row>
    <row r="273" spans="1:23" x14ac:dyDescent="0.25">
      <c r="A273" s="169" t="s">
        <v>888</v>
      </c>
      <c r="B273" s="61" t="s">
        <v>396</v>
      </c>
      <c r="C273" s="61" t="s">
        <v>591</v>
      </c>
      <c r="D273" s="61" t="s">
        <v>869</v>
      </c>
      <c r="E273" s="1" t="s">
        <v>347</v>
      </c>
      <c r="F273" s="62" t="str">
        <f t="shared" si="63"/>
        <v>60605</v>
      </c>
      <c r="G273" s="1">
        <v>10620061</v>
      </c>
      <c r="H273" s="1" t="s">
        <v>388</v>
      </c>
      <c r="I273" s="61">
        <v>60</v>
      </c>
      <c r="J273" s="61">
        <v>3.5</v>
      </c>
      <c r="K273" s="61">
        <v>8.1</v>
      </c>
      <c r="L273" s="69">
        <f t="shared" si="52"/>
        <v>2.1</v>
      </c>
      <c r="M273" s="69">
        <f t="shared" si="53"/>
        <v>4.8600000000000003</v>
      </c>
      <c r="N273" s="56">
        <f>INDEX(Rate_Chart!$A$1:$AK$127,MATCH(Data!J273,Rate_Chart!$A$1:$A$127,0),MATCH(Data!K273,Rate_Chart!$A$1:$AK$1,0))</f>
        <v>37.114125900000005</v>
      </c>
      <c r="O273" s="57">
        <f t="shared" si="54"/>
        <v>2226.8475540000004</v>
      </c>
      <c r="P273" s="58">
        <f t="shared" si="55"/>
        <v>417.01265056179784</v>
      </c>
      <c r="Q273" s="58">
        <f t="shared" si="56"/>
        <v>278.00843370786521</v>
      </c>
      <c r="R273" s="66">
        <f t="shared" si="62"/>
        <v>38.969832195000009</v>
      </c>
      <c r="S273" s="64">
        <f t="shared" si="57"/>
        <v>225</v>
      </c>
      <c r="T273" s="66">
        <f t="shared" si="58"/>
        <v>2490.8173861950004</v>
      </c>
      <c r="U273" s="68">
        <f t="shared" si="59"/>
        <v>41.513623103250005</v>
      </c>
      <c r="V273" s="68">
        <f t="shared" si="60"/>
        <v>466.44520340730344</v>
      </c>
      <c r="W273" s="68">
        <f t="shared" si="61"/>
        <v>310.96346893820231</v>
      </c>
    </row>
    <row r="274" spans="1:23" x14ac:dyDescent="0.25">
      <c r="A274" s="169" t="s">
        <v>888</v>
      </c>
      <c r="B274" s="61" t="s">
        <v>397</v>
      </c>
      <c r="C274" s="61" t="s">
        <v>591</v>
      </c>
      <c r="D274" s="61" t="s">
        <v>869</v>
      </c>
      <c r="E274" s="1" t="s">
        <v>347</v>
      </c>
      <c r="F274" s="62" t="str">
        <f t="shared" si="63"/>
        <v>60605</v>
      </c>
      <c r="G274" s="1">
        <v>10620061</v>
      </c>
      <c r="H274" s="1" t="s">
        <v>388</v>
      </c>
      <c r="I274" s="61">
        <v>88</v>
      </c>
      <c r="J274" s="61">
        <v>3.6</v>
      </c>
      <c r="K274" s="61">
        <v>8.1</v>
      </c>
      <c r="L274" s="69">
        <f t="shared" si="52"/>
        <v>3.1680000000000001</v>
      </c>
      <c r="M274" s="69">
        <f t="shared" si="53"/>
        <v>7.1279999999999992</v>
      </c>
      <c r="N274" s="56">
        <f>INDEX(Rate_Chart!$A$1:$AK$127,MATCH(Data!J274,Rate_Chart!$A$1:$A$127,0),MATCH(Data!K274,Rate_Chart!$A$1:$AK$1,0))</f>
        <v>37.531125900000006</v>
      </c>
      <c r="O274" s="57">
        <f t="shared" si="54"/>
        <v>3302.7390792000006</v>
      </c>
      <c r="P274" s="58">
        <f t="shared" si="55"/>
        <v>417.01251000000008</v>
      </c>
      <c r="Q274" s="58">
        <f t="shared" si="56"/>
        <v>278.00834000000003</v>
      </c>
      <c r="R274" s="66">
        <f t="shared" si="62"/>
        <v>57.797933886000017</v>
      </c>
      <c r="S274" s="64">
        <f t="shared" si="57"/>
        <v>330</v>
      </c>
      <c r="T274" s="66">
        <f t="shared" si="58"/>
        <v>3690.5370130860006</v>
      </c>
      <c r="U274" s="68">
        <f t="shared" si="59"/>
        <v>41.937920603250006</v>
      </c>
      <c r="V274" s="68">
        <f t="shared" si="60"/>
        <v>465.97689559166673</v>
      </c>
      <c r="W274" s="68">
        <f t="shared" si="61"/>
        <v>310.6512637277778</v>
      </c>
    </row>
    <row r="275" spans="1:23" x14ac:dyDescent="0.25">
      <c r="A275" s="169" t="s">
        <v>889</v>
      </c>
      <c r="B275" s="61" t="s">
        <v>396</v>
      </c>
      <c r="C275" s="61" t="s">
        <v>591</v>
      </c>
      <c r="D275" s="61" t="s">
        <v>869</v>
      </c>
      <c r="E275" s="1" t="s">
        <v>347</v>
      </c>
      <c r="F275" s="62" t="str">
        <f t="shared" si="63"/>
        <v>60605</v>
      </c>
      <c r="G275" s="1">
        <v>10620061</v>
      </c>
      <c r="H275" s="1" t="s">
        <v>387</v>
      </c>
      <c r="I275" s="61">
        <v>68</v>
      </c>
      <c r="J275" s="61">
        <v>6.1</v>
      </c>
      <c r="K275" s="61">
        <v>8.8000000000000007</v>
      </c>
      <c r="L275" s="69">
        <f t="shared" si="52"/>
        <v>4.1479999999999997</v>
      </c>
      <c r="M275" s="69">
        <f t="shared" si="53"/>
        <v>5.9840000000000009</v>
      </c>
      <c r="N275" s="56">
        <f>INDEX(Rate_Chart!$A$1:$AK$127,MATCH(Data!J275,Rate_Chart!$A$1:$A$127,0),MATCH(Data!K275,Rate_Chart!$A$1:$AK$1,0))</f>
        <v>50.425650000000005</v>
      </c>
      <c r="O275" s="57">
        <f t="shared" si="54"/>
        <v>3428.9442000000004</v>
      </c>
      <c r="P275" s="58">
        <f t="shared" si="55"/>
        <v>421.38426183844012</v>
      </c>
      <c r="Q275" s="58">
        <f t="shared" si="56"/>
        <v>280.92284122562677</v>
      </c>
      <c r="R275" s="66">
        <f t="shared" si="62"/>
        <v>60.006523500000014</v>
      </c>
      <c r="S275" s="64">
        <f t="shared" si="57"/>
        <v>255</v>
      </c>
      <c r="T275" s="66">
        <f t="shared" si="58"/>
        <v>3743.9507235000005</v>
      </c>
      <c r="U275" s="68">
        <f t="shared" si="59"/>
        <v>55.058098875000006</v>
      </c>
      <c r="V275" s="68">
        <f t="shared" si="60"/>
        <v>460.09553377437328</v>
      </c>
      <c r="W275" s="68">
        <f t="shared" si="61"/>
        <v>306.73035584958217</v>
      </c>
    </row>
    <row r="276" spans="1:23" x14ac:dyDescent="0.25">
      <c r="A276" s="169" t="s">
        <v>889</v>
      </c>
      <c r="B276" s="61" t="s">
        <v>397</v>
      </c>
      <c r="C276" s="61" t="s">
        <v>591</v>
      </c>
      <c r="D276" s="61" t="s">
        <v>869</v>
      </c>
      <c r="E276" s="1" t="s">
        <v>347</v>
      </c>
      <c r="F276" s="62" t="str">
        <f t="shared" si="63"/>
        <v>60605</v>
      </c>
      <c r="G276" s="1">
        <v>10620061</v>
      </c>
      <c r="H276" s="1" t="s">
        <v>388</v>
      </c>
      <c r="I276" s="61">
        <v>53</v>
      </c>
      <c r="J276" s="61">
        <v>3.2</v>
      </c>
      <c r="K276" s="61">
        <v>8.1</v>
      </c>
      <c r="L276" s="69">
        <f t="shared" si="52"/>
        <v>1.6960000000000002</v>
      </c>
      <c r="M276" s="69">
        <f t="shared" si="53"/>
        <v>4.2929999999999993</v>
      </c>
      <c r="N276" s="56">
        <f>INDEX(Rate_Chart!$A$1:$AK$127,MATCH(Data!J276,Rate_Chart!$A$1:$A$127,0),MATCH(Data!K276,Rate_Chart!$A$1:$AK$1,0))</f>
        <v>35.8631259</v>
      </c>
      <c r="O276" s="57">
        <f t="shared" si="54"/>
        <v>1900.7456726999999</v>
      </c>
      <c r="P276" s="58">
        <f t="shared" si="55"/>
        <v>417.01309186046512</v>
      </c>
      <c r="Q276" s="58">
        <f t="shared" si="56"/>
        <v>278.00872790697673</v>
      </c>
      <c r="R276" s="66">
        <f t="shared" si="62"/>
        <v>33.263049272250001</v>
      </c>
      <c r="S276" s="64">
        <f t="shared" si="57"/>
        <v>198.75</v>
      </c>
      <c r="T276" s="66">
        <f t="shared" si="58"/>
        <v>2132.75872197225</v>
      </c>
      <c r="U276" s="68">
        <f t="shared" si="59"/>
        <v>40.24073060325</v>
      </c>
      <c r="V276" s="68">
        <f t="shared" si="60"/>
        <v>467.91547213081401</v>
      </c>
      <c r="W276" s="68">
        <f t="shared" si="61"/>
        <v>311.94364808720934</v>
      </c>
    </row>
    <row r="277" spans="1:23" x14ac:dyDescent="0.25">
      <c r="A277" s="169" t="s">
        <v>890</v>
      </c>
      <c r="B277" s="61" t="s">
        <v>396</v>
      </c>
      <c r="C277" s="61" t="s">
        <v>591</v>
      </c>
      <c r="D277" s="61" t="s">
        <v>869</v>
      </c>
      <c r="E277" s="1" t="s">
        <v>347</v>
      </c>
      <c r="F277" s="62" t="str">
        <f t="shared" si="63"/>
        <v>60605</v>
      </c>
      <c r="G277" s="1">
        <v>10620061</v>
      </c>
      <c r="H277" s="1" t="s">
        <v>387</v>
      </c>
      <c r="I277" s="61">
        <v>57</v>
      </c>
      <c r="J277" s="61">
        <v>6.4</v>
      </c>
      <c r="K277" s="61">
        <v>8.8000000000000007</v>
      </c>
      <c r="L277" s="69">
        <f t="shared" si="52"/>
        <v>3.6480000000000001</v>
      </c>
      <c r="M277" s="69">
        <f t="shared" si="53"/>
        <v>5.016</v>
      </c>
      <c r="N277" s="56">
        <f>INDEX(Rate_Chart!$A$1:$AK$127,MATCH(Data!J277,Rate_Chart!$A$1:$A$127,0),MATCH(Data!K277,Rate_Chart!$A$1:$AK$1,0))</f>
        <v>52.9056</v>
      </c>
      <c r="O277" s="57">
        <f t="shared" si="54"/>
        <v>3015.6192000000001</v>
      </c>
      <c r="P277" s="58">
        <f t="shared" si="55"/>
        <v>431.29565217391303</v>
      </c>
      <c r="Q277" s="58">
        <f t="shared" si="56"/>
        <v>287.53043478260867</v>
      </c>
      <c r="R277" s="66">
        <f t="shared" si="62"/>
        <v>52.773336000000008</v>
      </c>
      <c r="S277" s="64">
        <f t="shared" si="57"/>
        <v>213.75</v>
      </c>
      <c r="T277" s="66">
        <f t="shared" si="58"/>
        <v>3282.1425360000003</v>
      </c>
      <c r="U277" s="68">
        <f t="shared" si="59"/>
        <v>57.581448000000002</v>
      </c>
      <c r="V277" s="68">
        <f t="shared" si="60"/>
        <v>469.41397826086956</v>
      </c>
      <c r="W277" s="68">
        <f t="shared" si="61"/>
        <v>312.94265217391302</v>
      </c>
    </row>
    <row r="278" spans="1:23" x14ac:dyDescent="0.25">
      <c r="A278" s="169" t="s">
        <v>890</v>
      </c>
      <c r="B278" s="61" t="s">
        <v>397</v>
      </c>
      <c r="C278" s="61" t="s">
        <v>591</v>
      </c>
      <c r="D278" s="61" t="s">
        <v>869</v>
      </c>
      <c r="E278" s="1" t="s">
        <v>347</v>
      </c>
      <c r="F278" s="62" t="str">
        <f t="shared" si="63"/>
        <v>60605</v>
      </c>
      <c r="G278" s="1">
        <v>10620061</v>
      </c>
      <c r="H278" s="1" t="s">
        <v>387</v>
      </c>
      <c r="I278" s="61">
        <v>27</v>
      </c>
      <c r="J278" s="61">
        <v>5.8</v>
      </c>
      <c r="K278" s="61">
        <v>8.6</v>
      </c>
      <c r="L278" s="69">
        <f t="shared" si="52"/>
        <v>1.5659999999999998</v>
      </c>
      <c r="M278" s="69">
        <f t="shared" si="53"/>
        <v>2.3220000000000001</v>
      </c>
      <c r="N278" s="56">
        <f>INDEX(Rate_Chart!$A$1:$AK$127,MATCH(Data!J278,Rate_Chart!$A$1:$A$127,0),MATCH(Data!K278,Rate_Chart!$A$1:$AK$1,0))</f>
        <v>47.461399999999998</v>
      </c>
      <c r="O278" s="57">
        <f t="shared" si="54"/>
        <v>1281.4577999999999</v>
      </c>
      <c r="P278" s="58">
        <f t="shared" si="55"/>
        <v>411.51502890173413</v>
      </c>
      <c r="Q278" s="58">
        <f t="shared" si="56"/>
        <v>274.34335260115608</v>
      </c>
      <c r="R278" s="66">
        <f t="shared" si="62"/>
        <v>22.425511499999999</v>
      </c>
      <c r="S278" s="64">
        <f t="shared" si="57"/>
        <v>101.25</v>
      </c>
      <c r="T278" s="66">
        <f t="shared" si="58"/>
        <v>1405.1333115</v>
      </c>
      <c r="U278" s="68">
        <f t="shared" si="59"/>
        <v>52.041974500000002</v>
      </c>
      <c r="V278" s="68">
        <f t="shared" si="60"/>
        <v>451.23099277456657</v>
      </c>
      <c r="W278" s="68">
        <f t="shared" si="61"/>
        <v>300.82066184971103</v>
      </c>
    </row>
    <row r="279" spans="1:23" x14ac:dyDescent="0.25">
      <c r="A279" s="169" t="s">
        <v>890</v>
      </c>
      <c r="B279" s="61" t="s">
        <v>397</v>
      </c>
      <c r="C279" s="61" t="s">
        <v>591</v>
      </c>
      <c r="D279" s="61" t="s">
        <v>869</v>
      </c>
      <c r="E279" s="1" t="s">
        <v>347</v>
      </c>
      <c r="F279" s="62" t="str">
        <f t="shared" si="63"/>
        <v>60605</v>
      </c>
      <c r="G279" s="1">
        <v>10620061</v>
      </c>
      <c r="H279" s="1" t="s">
        <v>388</v>
      </c>
      <c r="I279" s="61">
        <v>69</v>
      </c>
      <c r="J279" s="61">
        <v>3.2</v>
      </c>
      <c r="K279" s="61">
        <v>8.1</v>
      </c>
      <c r="L279" s="69">
        <f t="shared" si="52"/>
        <v>2.2080000000000002</v>
      </c>
      <c r="M279" s="69">
        <f t="shared" si="53"/>
        <v>5.5889999999999995</v>
      </c>
      <c r="N279" s="56">
        <f>INDEX(Rate_Chart!$A$1:$AK$127,MATCH(Data!J279,Rate_Chart!$A$1:$A$127,0),MATCH(Data!K279,Rate_Chart!$A$1:$AK$1,0))</f>
        <v>35.8631259</v>
      </c>
      <c r="O279" s="57">
        <f t="shared" si="54"/>
        <v>2474.5556870999999</v>
      </c>
      <c r="P279" s="58">
        <f t="shared" si="55"/>
        <v>417.01309186046512</v>
      </c>
      <c r="Q279" s="58">
        <f t="shared" si="56"/>
        <v>278.00872790697673</v>
      </c>
      <c r="R279" s="66">
        <f t="shared" si="62"/>
        <v>43.304724524250005</v>
      </c>
      <c r="S279" s="64">
        <f t="shared" si="57"/>
        <v>258.75</v>
      </c>
      <c r="T279" s="66">
        <f t="shared" si="58"/>
        <v>2776.61041162425</v>
      </c>
      <c r="U279" s="68">
        <f t="shared" si="59"/>
        <v>40.24073060325</v>
      </c>
      <c r="V279" s="68">
        <f t="shared" si="60"/>
        <v>467.91547213081401</v>
      </c>
      <c r="W279" s="68">
        <f t="shared" si="61"/>
        <v>311.94364808720934</v>
      </c>
    </row>
    <row r="280" spans="1:23" x14ac:dyDescent="0.25">
      <c r="A280" s="169" t="s">
        <v>891</v>
      </c>
      <c r="B280" s="61" t="s">
        <v>396</v>
      </c>
      <c r="C280" s="61" t="s">
        <v>591</v>
      </c>
      <c r="D280" s="61" t="s">
        <v>869</v>
      </c>
      <c r="E280" s="1" t="s">
        <v>347</v>
      </c>
      <c r="F280" s="62" t="str">
        <f t="shared" si="63"/>
        <v>60605</v>
      </c>
      <c r="G280" s="1">
        <v>10620061</v>
      </c>
      <c r="H280" s="1" t="s">
        <v>387</v>
      </c>
      <c r="I280" s="61">
        <v>72</v>
      </c>
      <c r="J280" s="61">
        <v>6</v>
      </c>
      <c r="K280" s="61">
        <v>8.6</v>
      </c>
      <c r="L280" s="69">
        <f t="shared" si="52"/>
        <v>4.32</v>
      </c>
      <c r="M280" s="69">
        <f t="shared" si="53"/>
        <v>6.1919999999999993</v>
      </c>
      <c r="N280" s="56">
        <f>INDEX(Rate_Chart!$A$1:$AK$127,MATCH(Data!J280,Rate_Chart!$A$1:$A$127,0),MATCH(Data!K280,Rate_Chart!$A$1:$AK$1,0))</f>
        <v>49.097999999999999</v>
      </c>
      <c r="O280" s="57">
        <f t="shared" si="54"/>
        <v>3535.056</v>
      </c>
      <c r="P280" s="58">
        <f t="shared" si="55"/>
        <v>418.44886363636368</v>
      </c>
      <c r="Q280" s="58">
        <f t="shared" si="56"/>
        <v>278.96590909090912</v>
      </c>
      <c r="R280" s="66">
        <f t="shared" si="62"/>
        <v>61.86348000000001</v>
      </c>
      <c r="S280" s="64">
        <f t="shared" si="57"/>
        <v>270</v>
      </c>
      <c r="T280" s="66">
        <f t="shared" si="58"/>
        <v>3866.91948</v>
      </c>
      <c r="U280" s="68">
        <f t="shared" si="59"/>
        <v>53.707214999999998</v>
      </c>
      <c r="V280" s="68">
        <f t="shared" si="60"/>
        <v>457.7319460227273</v>
      </c>
      <c r="W280" s="68">
        <f t="shared" si="61"/>
        <v>305.15463068181822</v>
      </c>
    </row>
    <row r="281" spans="1:23" x14ac:dyDescent="0.25">
      <c r="A281" s="169" t="s">
        <v>891</v>
      </c>
      <c r="B281" s="61" t="s">
        <v>397</v>
      </c>
      <c r="C281" s="61" t="s">
        <v>591</v>
      </c>
      <c r="D281" s="61" t="s">
        <v>869</v>
      </c>
      <c r="E281" s="1" t="s">
        <v>347</v>
      </c>
      <c r="F281" s="62" t="str">
        <f t="shared" si="63"/>
        <v>60605</v>
      </c>
      <c r="G281" s="1">
        <v>10620061</v>
      </c>
      <c r="H281" s="1" t="s">
        <v>387</v>
      </c>
      <c r="I281" s="61">
        <v>32</v>
      </c>
      <c r="J281" s="61">
        <v>6</v>
      </c>
      <c r="K281" s="61">
        <v>8.8000000000000007</v>
      </c>
      <c r="L281" s="69">
        <f t="shared" si="52"/>
        <v>1.92</v>
      </c>
      <c r="M281" s="69">
        <f t="shared" si="53"/>
        <v>2.8160000000000003</v>
      </c>
      <c r="N281" s="56">
        <f>INDEX(Rate_Chart!$A$1:$AK$127,MATCH(Data!J281,Rate_Chart!$A$1:$A$127,0),MATCH(Data!K281,Rate_Chart!$A$1:$AK$1,0))</f>
        <v>49.599000000000004</v>
      </c>
      <c r="O281" s="57">
        <f t="shared" si="54"/>
        <v>1587.1680000000001</v>
      </c>
      <c r="P281" s="58">
        <f t="shared" si="55"/>
        <v>417.96910112359552</v>
      </c>
      <c r="Q281" s="58">
        <f t="shared" si="56"/>
        <v>278.64606741573033</v>
      </c>
      <c r="R281" s="66">
        <f t="shared" si="62"/>
        <v>27.775440000000003</v>
      </c>
      <c r="S281" s="64">
        <f t="shared" si="57"/>
        <v>120</v>
      </c>
      <c r="T281" s="66">
        <f t="shared" si="58"/>
        <v>1734.94344</v>
      </c>
      <c r="U281" s="68">
        <f t="shared" si="59"/>
        <v>54.2169825</v>
      </c>
      <c r="V281" s="68">
        <f t="shared" si="60"/>
        <v>456.88468398876404</v>
      </c>
      <c r="W281" s="68">
        <f t="shared" si="61"/>
        <v>304.58978932584267</v>
      </c>
    </row>
    <row r="282" spans="1:23" x14ac:dyDescent="0.25">
      <c r="A282" s="169" t="s">
        <v>891</v>
      </c>
      <c r="B282" s="61" t="s">
        <v>397</v>
      </c>
      <c r="C282" s="61" t="s">
        <v>591</v>
      </c>
      <c r="D282" s="61" t="s">
        <v>869</v>
      </c>
      <c r="E282" s="1" t="s">
        <v>347</v>
      </c>
      <c r="F282" s="62" t="str">
        <f t="shared" si="63"/>
        <v>60605</v>
      </c>
      <c r="G282" s="1">
        <v>10620061</v>
      </c>
      <c r="H282" s="1" t="s">
        <v>388</v>
      </c>
      <c r="I282" s="61">
        <v>62</v>
      </c>
      <c r="J282" s="61">
        <v>3.3</v>
      </c>
      <c r="K282" s="61">
        <v>8.1</v>
      </c>
      <c r="L282" s="69">
        <f t="shared" si="52"/>
        <v>2.0459999999999998</v>
      </c>
      <c r="M282" s="69">
        <f t="shared" si="53"/>
        <v>5.0220000000000002</v>
      </c>
      <c r="N282" s="56">
        <f>INDEX(Rate_Chart!$A$1:$AK$127,MATCH(Data!J282,Rate_Chart!$A$1:$A$127,0),MATCH(Data!K282,Rate_Chart!$A$1:$AK$1,0))</f>
        <v>36.280125900000002</v>
      </c>
      <c r="O282" s="57">
        <f t="shared" si="54"/>
        <v>2249.3678058</v>
      </c>
      <c r="P282" s="58">
        <f t="shared" si="55"/>
        <v>417.0129413793104</v>
      </c>
      <c r="Q282" s="58">
        <f t="shared" si="56"/>
        <v>278.00862758620696</v>
      </c>
      <c r="R282" s="66">
        <f t="shared" si="62"/>
        <v>39.363936601500008</v>
      </c>
      <c r="S282" s="64">
        <f t="shared" si="57"/>
        <v>232.5</v>
      </c>
      <c r="T282" s="66">
        <f t="shared" si="58"/>
        <v>2521.2317424015</v>
      </c>
      <c r="U282" s="68">
        <f t="shared" si="59"/>
        <v>40.665028103250002</v>
      </c>
      <c r="V282" s="68">
        <f t="shared" si="60"/>
        <v>467.4141161293104</v>
      </c>
      <c r="W282" s="68">
        <f t="shared" si="61"/>
        <v>311.6094107528736</v>
      </c>
    </row>
    <row r="283" spans="1:23" x14ac:dyDescent="0.25">
      <c r="A283" s="169" t="s">
        <v>892</v>
      </c>
      <c r="B283" s="61" t="s">
        <v>396</v>
      </c>
      <c r="C283" s="61" t="s">
        <v>591</v>
      </c>
      <c r="D283" s="61" t="s">
        <v>869</v>
      </c>
      <c r="E283" s="1" t="s">
        <v>347</v>
      </c>
      <c r="F283" s="62" t="str">
        <f t="shared" si="63"/>
        <v>60605</v>
      </c>
      <c r="G283" s="1">
        <v>10620061</v>
      </c>
      <c r="H283" s="1" t="s">
        <v>387</v>
      </c>
      <c r="I283" s="61">
        <v>65</v>
      </c>
      <c r="J283" s="61">
        <v>6</v>
      </c>
      <c r="K283" s="61">
        <v>8.6</v>
      </c>
      <c r="L283" s="69">
        <f t="shared" si="52"/>
        <v>3.9</v>
      </c>
      <c r="M283" s="69">
        <f t="shared" si="53"/>
        <v>5.59</v>
      </c>
      <c r="N283" s="56">
        <f>INDEX(Rate_Chart!$A$1:$AK$127,MATCH(Data!J283,Rate_Chart!$A$1:$A$127,0),MATCH(Data!K283,Rate_Chart!$A$1:$AK$1,0))</f>
        <v>49.097999999999999</v>
      </c>
      <c r="O283" s="57">
        <f t="shared" si="54"/>
        <v>3191.37</v>
      </c>
      <c r="P283" s="58">
        <f t="shared" si="55"/>
        <v>418.44886363636368</v>
      </c>
      <c r="Q283" s="58">
        <f t="shared" si="56"/>
        <v>278.96590909090912</v>
      </c>
      <c r="R283" s="66">
        <f t="shared" si="62"/>
        <v>55.848975000000003</v>
      </c>
      <c r="S283" s="64">
        <f t="shared" si="57"/>
        <v>243.75</v>
      </c>
      <c r="T283" s="66">
        <f t="shared" si="58"/>
        <v>3490.9689749999998</v>
      </c>
      <c r="U283" s="68">
        <f t="shared" si="59"/>
        <v>53.707214999999998</v>
      </c>
      <c r="V283" s="68">
        <f t="shared" si="60"/>
        <v>457.7319460227273</v>
      </c>
      <c r="W283" s="68">
        <f t="shared" si="61"/>
        <v>305.15463068181822</v>
      </c>
    </row>
    <row r="284" spans="1:23" x14ac:dyDescent="0.25">
      <c r="A284" s="169" t="s">
        <v>892</v>
      </c>
      <c r="B284" s="61" t="s">
        <v>397</v>
      </c>
      <c r="C284" s="61" t="s">
        <v>591</v>
      </c>
      <c r="D284" s="61" t="s">
        <v>869</v>
      </c>
      <c r="E284" s="1" t="s">
        <v>347</v>
      </c>
      <c r="F284" s="62" t="str">
        <f t="shared" si="63"/>
        <v>60605</v>
      </c>
      <c r="G284" s="1">
        <v>10620061</v>
      </c>
      <c r="H284" s="1" t="s">
        <v>388</v>
      </c>
      <c r="I284" s="61">
        <v>53</v>
      </c>
      <c r="J284" s="61">
        <v>3.7</v>
      </c>
      <c r="K284" s="61">
        <v>8.1999999999999993</v>
      </c>
      <c r="L284" s="69">
        <f t="shared" si="52"/>
        <v>1.9610000000000003</v>
      </c>
      <c r="M284" s="69">
        <f t="shared" si="53"/>
        <v>4.3460000000000001</v>
      </c>
      <c r="N284" s="56">
        <f>INDEX(Rate_Chart!$A$1:$AK$127,MATCH(Data!J284,Rate_Chart!$A$1:$A$127,0),MATCH(Data!K284,Rate_Chart!$A$1:$AK$1,0))</f>
        <v>38.226139799999999</v>
      </c>
      <c r="O284" s="57">
        <f t="shared" si="54"/>
        <v>2025.9854094</v>
      </c>
      <c r="P284" s="58">
        <f t="shared" si="55"/>
        <v>417.01243418181815</v>
      </c>
      <c r="Q284" s="58">
        <f t="shared" si="56"/>
        <v>278.00828945454543</v>
      </c>
      <c r="R284" s="66">
        <f t="shared" si="62"/>
        <v>35.454744664500005</v>
      </c>
      <c r="S284" s="64">
        <f t="shared" si="57"/>
        <v>198.75</v>
      </c>
      <c r="T284" s="66">
        <f t="shared" si="58"/>
        <v>2260.1901540644999</v>
      </c>
      <c r="U284" s="68">
        <f t="shared" si="59"/>
        <v>42.645097246500001</v>
      </c>
      <c r="V284" s="68">
        <f t="shared" si="60"/>
        <v>465.21924268909089</v>
      </c>
      <c r="W284" s="68">
        <f t="shared" si="61"/>
        <v>310.14616179272724</v>
      </c>
    </row>
    <row r="285" spans="1:23" x14ac:dyDescent="0.25">
      <c r="A285" s="169" t="s">
        <v>893</v>
      </c>
      <c r="B285" s="61" t="s">
        <v>396</v>
      </c>
      <c r="C285" s="61" t="s">
        <v>591</v>
      </c>
      <c r="D285" s="61" t="s">
        <v>869</v>
      </c>
      <c r="E285" s="1" t="s">
        <v>347</v>
      </c>
      <c r="F285" s="62" t="str">
        <f t="shared" si="63"/>
        <v>60605</v>
      </c>
      <c r="G285" s="1">
        <v>10620061</v>
      </c>
      <c r="H285" s="1" t="s">
        <v>387</v>
      </c>
      <c r="I285" s="61">
        <v>68</v>
      </c>
      <c r="J285" s="61">
        <v>5.6</v>
      </c>
      <c r="K285" s="61">
        <v>8.6</v>
      </c>
      <c r="L285" s="69">
        <f t="shared" si="52"/>
        <v>3.8079999999999994</v>
      </c>
      <c r="M285" s="69">
        <f t="shared" si="53"/>
        <v>5.8479999999999999</v>
      </c>
      <c r="N285" s="56">
        <f>INDEX(Rate_Chart!$A$1:$AK$127,MATCH(Data!J285,Rate_Chart!$A$1:$A$127,0),MATCH(Data!K285,Rate_Chart!$A$1:$AK$1,0))</f>
        <v>45.824799999999996</v>
      </c>
      <c r="O285" s="57">
        <f t="shared" si="54"/>
        <v>3116.0863999999997</v>
      </c>
      <c r="P285" s="58">
        <f t="shared" si="55"/>
        <v>404.33647058823533</v>
      </c>
      <c r="Q285" s="58">
        <f t="shared" si="56"/>
        <v>269.55764705882353</v>
      </c>
      <c r="R285" s="66">
        <f t="shared" si="62"/>
        <v>54.531511999999999</v>
      </c>
      <c r="S285" s="64">
        <f t="shared" si="57"/>
        <v>255</v>
      </c>
      <c r="T285" s="66">
        <f t="shared" si="58"/>
        <v>3425.6179119999997</v>
      </c>
      <c r="U285" s="68">
        <f t="shared" si="59"/>
        <v>50.376733999999999</v>
      </c>
      <c r="V285" s="68">
        <f t="shared" si="60"/>
        <v>444.50059411764715</v>
      </c>
      <c r="W285" s="68">
        <f t="shared" si="61"/>
        <v>296.33372941176475</v>
      </c>
    </row>
    <row r="286" spans="1:23" x14ac:dyDescent="0.25">
      <c r="A286" s="169" t="s">
        <v>893</v>
      </c>
      <c r="B286" s="61" t="s">
        <v>397</v>
      </c>
      <c r="C286" s="61" t="s">
        <v>591</v>
      </c>
      <c r="D286" s="61" t="s">
        <v>869</v>
      </c>
      <c r="E286" s="1" t="s">
        <v>347</v>
      </c>
      <c r="F286" s="62" t="str">
        <f t="shared" si="63"/>
        <v>60605</v>
      </c>
      <c r="G286" s="1">
        <v>10620061</v>
      </c>
      <c r="H286" s="1" t="s">
        <v>388</v>
      </c>
      <c r="I286" s="61">
        <v>68</v>
      </c>
      <c r="J286" s="61">
        <v>3.4</v>
      </c>
      <c r="K286" s="61">
        <v>8.1999999999999993</v>
      </c>
      <c r="L286" s="69">
        <f t="shared" si="52"/>
        <v>2.3119999999999998</v>
      </c>
      <c r="M286" s="69">
        <f t="shared" si="53"/>
        <v>5.5759999999999987</v>
      </c>
      <c r="N286" s="56">
        <f>INDEX(Rate_Chart!$A$1:$AK$127,MATCH(Data!J286,Rate_Chart!$A$1:$A$127,0),MATCH(Data!K286,Rate_Chart!$A$1:$AK$1,0))</f>
        <v>36.975139800000001</v>
      </c>
      <c r="O286" s="57">
        <f t="shared" si="54"/>
        <v>2514.3095063999999</v>
      </c>
      <c r="P286" s="58">
        <f t="shared" si="55"/>
        <v>417.01285488721805</v>
      </c>
      <c r="Q286" s="58">
        <f t="shared" si="56"/>
        <v>278.00856992481204</v>
      </c>
      <c r="R286" s="66">
        <f t="shared" si="62"/>
        <v>44.000416362000003</v>
      </c>
      <c r="S286" s="64">
        <f t="shared" si="57"/>
        <v>255</v>
      </c>
      <c r="T286" s="66">
        <f t="shared" si="58"/>
        <v>2813.309922762</v>
      </c>
      <c r="U286" s="68">
        <f t="shared" si="59"/>
        <v>41.372204746500003</v>
      </c>
      <c r="V286" s="68">
        <f t="shared" si="60"/>
        <v>466.60381293045111</v>
      </c>
      <c r="W286" s="68">
        <f t="shared" si="61"/>
        <v>311.06920862030074</v>
      </c>
    </row>
    <row r="287" spans="1:23" x14ac:dyDescent="0.25">
      <c r="A287" s="169" t="s">
        <v>894</v>
      </c>
      <c r="B287" s="61" t="s">
        <v>396</v>
      </c>
      <c r="C287" s="61" t="s">
        <v>591</v>
      </c>
      <c r="D287" s="61" t="s">
        <v>869</v>
      </c>
      <c r="E287" s="1" t="s">
        <v>347</v>
      </c>
      <c r="F287" s="62" t="str">
        <f t="shared" si="63"/>
        <v>60605</v>
      </c>
      <c r="G287" s="1">
        <v>10620061</v>
      </c>
      <c r="H287" s="1" t="s">
        <v>387</v>
      </c>
      <c r="I287" s="61">
        <v>62</v>
      </c>
      <c r="J287" s="61">
        <v>5.6</v>
      </c>
      <c r="K287" s="61">
        <v>8.4</v>
      </c>
      <c r="L287" s="69">
        <f t="shared" si="52"/>
        <v>3.472</v>
      </c>
      <c r="M287" s="69">
        <f t="shared" si="53"/>
        <v>5.2080000000000011</v>
      </c>
      <c r="N287" s="56">
        <f>INDEX(Rate_Chart!$A$1:$AK$127,MATCH(Data!J287,Rate_Chart!$A$1:$A$127,0),MATCH(Data!K287,Rate_Chart!$A$1:$AK$1,0))</f>
        <v>45.357199999999999</v>
      </c>
      <c r="O287" s="57">
        <f t="shared" si="54"/>
        <v>2812.1464000000001</v>
      </c>
      <c r="P287" s="58">
        <f t="shared" si="55"/>
        <v>404.97500000000002</v>
      </c>
      <c r="Q287" s="58">
        <f t="shared" si="56"/>
        <v>269.98333333333335</v>
      </c>
      <c r="R287" s="66">
        <f t="shared" si="62"/>
        <v>49.212562000000005</v>
      </c>
      <c r="S287" s="64">
        <f t="shared" si="57"/>
        <v>232.5</v>
      </c>
      <c r="T287" s="66">
        <f t="shared" si="58"/>
        <v>3093.8589620000002</v>
      </c>
      <c r="U287" s="68">
        <f t="shared" si="59"/>
        <v>49.900951000000006</v>
      </c>
      <c r="V287" s="68">
        <f t="shared" si="60"/>
        <v>445.54420535714297</v>
      </c>
      <c r="W287" s="68">
        <f t="shared" si="61"/>
        <v>297.02947023809531</v>
      </c>
    </row>
    <row r="288" spans="1:23" x14ac:dyDescent="0.25">
      <c r="A288" s="169" t="s">
        <v>894</v>
      </c>
      <c r="B288" s="61" t="s">
        <v>397</v>
      </c>
      <c r="C288" s="61" t="s">
        <v>591</v>
      </c>
      <c r="D288" s="61" t="s">
        <v>869</v>
      </c>
      <c r="E288" s="1" t="s">
        <v>347</v>
      </c>
      <c r="F288" s="62" t="str">
        <f t="shared" si="63"/>
        <v>60605</v>
      </c>
      <c r="G288" s="1">
        <v>10620061</v>
      </c>
      <c r="H288" s="1" t="s">
        <v>387</v>
      </c>
      <c r="I288" s="61">
        <v>23</v>
      </c>
      <c r="J288" s="61">
        <v>5.7</v>
      </c>
      <c r="K288" s="61">
        <v>8.5</v>
      </c>
      <c r="L288" s="69">
        <f t="shared" ref="L288:L351" si="64">J288*I288/100</f>
        <v>1.3109999999999999</v>
      </c>
      <c r="M288" s="69">
        <f t="shared" ref="M288:M351" si="65">K288*I288/100</f>
        <v>1.9550000000000001</v>
      </c>
      <c r="N288" s="56">
        <f>INDEX(Rate_Chart!$A$1:$AK$127,MATCH(Data!J288,Rate_Chart!$A$1:$A$127,0),MATCH(Data!K288,Rate_Chart!$A$1:$AK$1,0))</f>
        <v>46.167149999999999</v>
      </c>
      <c r="O288" s="57">
        <f t="shared" ref="O288:O351" si="66">N288*I288</f>
        <v>1061.8444500000001</v>
      </c>
      <c r="P288" s="58">
        <f t="shared" ref="P288:P351" si="67">N288/(J288%+K288%*2/3)</f>
        <v>406.16260997067451</v>
      </c>
      <c r="Q288" s="58">
        <f t="shared" ref="Q288:Q351" si="68">P288*2/3</f>
        <v>270.77507331378303</v>
      </c>
      <c r="R288" s="66">
        <f t="shared" si="62"/>
        <v>18.582277875000003</v>
      </c>
      <c r="S288" s="64">
        <f t="shared" ref="S288:S351" si="69">I288*3.75</f>
        <v>86.25</v>
      </c>
      <c r="T288" s="66">
        <f t="shared" ref="T288:T351" si="70">R288+S288+O288</f>
        <v>1166.6767278750001</v>
      </c>
      <c r="U288" s="68">
        <f t="shared" ref="U288:U351" si="71">T288/I288</f>
        <v>50.725075125000004</v>
      </c>
      <c r="V288" s="68">
        <f t="shared" ref="V288:V351" si="72">U288/(J288%+K288%*2/3)</f>
        <v>446.26165799120236</v>
      </c>
      <c r="W288" s="68">
        <f t="shared" ref="W288:W351" si="73">V288*2/3</f>
        <v>297.50777199413488</v>
      </c>
    </row>
    <row r="289" spans="1:23" x14ac:dyDescent="0.25">
      <c r="A289" s="169" t="s">
        <v>894</v>
      </c>
      <c r="B289" s="61" t="s">
        <v>397</v>
      </c>
      <c r="C289" s="61" t="s">
        <v>591</v>
      </c>
      <c r="D289" s="61" t="s">
        <v>869</v>
      </c>
      <c r="E289" s="1" t="s">
        <v>347</v>
      </c>
      <c r="F289" s="62" t="str">
        <f t="shared" si="63"/>
        <v>60605</v>
      </c>
      <c r="G289" s="1">
        <v>10620061</v>
      </c>
      <c r="H289" s="1" t="s">
        <v>388</v>
      </c>
      <c r="I289" s="61">
        <v>51</v>
      </c>
      <c r="J289" s="61">
        <v>3</v>
      </c>
      <c r="K289" s="61">
        <v>8</v>
      </c>
      <c r="L289" s="69">
        <f t="shared" si="64"/>
        <v>1.53</v>
      </c>
      <c r="M289" s="69">
        <f t="shared" si="65"/>
        <v>4.08</v>
      </c>
      <c r="N289" s="56">
        <f>INDEX(Rate_Chart!$A$1:$AK$127,MATCH(Data!J289,Rate_Chart!$A$1:$A$127,0),MATCH(Data!K289,Rate_Chart!$A$1:$AK$1,0))</f>
        <v>34.751112000000006</v>
      </c>
      <c r="O289" s="57">
        <f t="shared" si="66"/>
        <v>1772.3067120000003</v>
      </c>
      <c r="P289" s="58">
        <f t="shared" si="67"/>
        <v>417.01334400000002</v>
      </c>
      <c r="Q289" s="58">
        <f t="shared" si="68"/>
        <v>278.00889599999999</v>
      </c>
      <c r="R289" s="66">
        <f t="shared" si="62"/>
        <v>31.015367460000007</v>
      </c>
      <c r="S289" s="64">
        <f t="shared" si="69"/>
        <v>191.25</v>
      </c>
      <c r="T289" s="66">
        <f t="shared" si="70"/>
        <v>1994.5720794600002</v>
      </c>
      <c r="U289" s="68">
        <f t="shared" si="71"/>
        <v>39.109256460000005</v>
      </c>
      <c r="V289" s="68">
        <f t="shared" si="72"/>
        <v>469.31107752000003</v>
      </c>
      <c r="W289" s="68">
        <f t="shared" si="73"/>
        <v>312.87405168000004</v>
      </c>
    </row>
    <row r="290" spans="1:23" x14ac:dyDescent="0.25">
      <c r="A290" s="169" t="s">
        <v>888</v>
      </c>
      <c r="B290" s="61" t="s">
        <v>396</v>
      </c>
      <c r="C290" s="61" t="s">
        <v>591</v>
      </c>
      <c r="D290" s="61" t="s">
        <v>594</v>
      </c>
      <c r="E290" s="1" t="s">
        <v>348</v>
      </c>
      <c r="F290" s="62" t="str">
        <f t="shared" si="63"/>
        <v>60606</v>
      </c>
      <c r="G290" s="1">
        <v>10620023</v>
      </c>
      <c r="H290" s="1" t="s">
        <v>388</v>
      </c>
      <c r="I290" s="61">
        <v>28</v>
      </c>
      <c r="J290" s="61">
        <v>5</v>
      </c>
      <c r="K290" s="61">
        <v>8</v>
      </c>
      <c r="L290" s="69">
        <f t="shared" si="64"/>
        <v>1.4</v>
      </c>
      <c r="M290" s="69">
        <f t="shared" si="65"/>
        <v>2.2400000000000002</v>
      </c>
      <c r="N290" s="56">
        <f>INDEX(Rate_Chart!$A$1:$AK$127,MATCH(Data!J290,Rate_Chart!$A$1:$A$127,0),MATCH(Data!K290,Rate_Chart!$A$1:$AK$1,0))</f>
        <v>43.09111200000001</v>
      </c>
      <c r="O290" s="57">
        <f t="shared" si="66"/>
        <v>1206.5511360000003</v>
      </c>
      <c r="P290" s="58">
        <f t="shared" si="67"/>
        <v>417.01076129032271</v>
      </c>
      <c r="Q290" s="58">
        <f t="shared" si="68"/>
        <v>278.00717419354845</v>
      </c>
      <c r="R290" s="66">
        <f t="shared" si="62"/>
        <v>21.114644880000007</v>
      </c>
      <c r="S290" s="64">
        <f t="shared" si="69"/>
        <v>105</v>
      </c>
      <c r="T290" s="66">
        <f t="shared" si="70"/>
        <v>1332.6657808800003</v>
      </c>
      <c r="U290" s="68">
        <f t="shared" si="71"/>
        <v>47.595206460000007</v>
      </c>
      <c r="V290" s="68">
        <f t="shared" si="72"/>
        <v>460.59877219354848</v>
      </c>
      <c r="W290" s="68">
        <f t="shared" si="73"/>
        <v>307.0658481290323</v>
      </c>
    </row>
    <row r="291" spans="1:23" x14ac:dyDescent="0.25">
      <c r="A291" s="169" t="s">
        <v>888</v>
      </c>
      <c r="B291" s="61" t="s">
        <v>397</v>
      </c>
      <c r="C291" s="61" t="s">
        <v>591</v>
      </c>
      <c r="D291" s="61" t="s">
        <v>594</v>
      </c>
      <c r="E291" s="1" t="s">
        <v>348</v>
      </c>
      <c r="F291" s="62" t="str">
        <f t="shared" si="63"/>
        <v>60606</v>
      </c>
      <c r="G291" s="1">
        <v>10620023</v>
      </c>
      <c r="H291" s="1" t="s">
        <v>388</v>
      </c>
      <c r="I291" s="61">
        <v>15</v>
      </c>
      <c r="J291" s="61">
        <v>5.0999999999999996</v>
      </c>
      <c r="K291" s="61">
        <v>8.1999999999999993</v>
      </c>
      <c r="L291" s="69">
        <f t="shared" si="64"/>
        <v>0.76500000000000001</v>
      </c>
      <c r="M291" s="69">
        <f t="shared" si="65"/>
        <v>1.2299999999999998</v>
      </c>
      <c r="N291" s="56">
        <f>INDEX(Rate_Chart!$A$1:$AK$127,MATCH(Data!J291,Rate_Chart!$A$1:$A$127,0),MATCH(Data!K291,Rate_Chart!$A$1:$AK$1,0))</f>
        <v>44.0641398</v>
      </c>
      <c r="O291" s="57">
        <f t="shared" si="66"/>
        <v>660.96209699999997</v>
      </c>
      <c r="P291" s="58">
        <f t="shared" si="67"/>
        <v>417.01078675078867</v>
      </c>
      <c r="Q291" s="58">
        <f t="shared" si="68"/>
        <v>278.00719116719245</v>
      </c>
      <c r="R291" s="66">
        <f t="shared" si="62"/>
        <v>11.566836697500001</v>
      </c>
      <c r="S291" s="64">
        <f t="shared" si="69"/>
        <v>56.25</v>
      </c>
      <c r="T291" s="66">
        <f t="shared" si="70"/>
        <v>728.77893369749995</v>
      </c>
      <c r="U291" s="68">
        <f t="shared" si="71"/>
        <v>48.585262246499994</v>
      </c>
      <c r="V291" s="68">
        <f t="shared" si="72"/>
        <v>459.7974345094637</v>
      </c>
      <c r="W291" s="68">
        <f t="shared" si="73"/>
        <v>306.53162300630913</v>
      </c>
    </row>
    <row r="292" spans="1:23" x14ac:dyDescent="0.25">
      <c r="A292" s="169" t="s">
        <v>889</v>
      </c>
      <c r="B292" s="61" t="s">
        <v>396</v>
      </c>
      <c r="C292" s="61" t="s">
        <v>591</v>
      </c>
      <c r="D292" s="61" t="s">
        <v>594</v>
      </c>
      <c r="E292" s="1" t="s">
        <v>348</v>
      </c>
      <c r="F292" s="62" t="str">
        <f t="shared" si="63"/>
        <v>60606</v>
      </c>
      <c r="G292" s="1">
        <v>10620023</v>
      </c>
      <c r="H292" s="1" t="s">
        <v>387</v>
      </c>
      <c r="I292" s="61">
        <v>25</v>
      </c>
      <c r="J292" s="61">
        <v>5.8</v>
      </c>
      <c r="K292" s="61">
        <v>8.4</v>
      </c>
      <c r="L292" s="69">
        <f t="shared" si="64"/>
        <v>1.45</v>
      </c>
      <c r="M292" s="69">
        <f t="shared" si="65"/>
        <v>2.1</v>
      </c>
      <c r="N292" s="56">
        <f>INDEX(Rate_Chart!$A$1:$AK$127,MATCH(Data!J292,Rate_Chart!$A$1:$A$127,0),MATCH(Data!K292,Rate_Chart!$A$1:$AK$1,0))</f>
        <v>46.9771</v>
      </c>
      <c r="O292" s="57">
        <f t="shared" si="66"/>
        <v>1174.4275</v>
      </c>
      <c r="P292" s="58">
        <f t="shared" si="67"/>
        <v>412.07982456140354</v>
      </c>
      <c r="Q292" s="58">
        <f t="shared" si="68"/>
        <v>274.71988304093571</v>
      </c>
      <c r="R292" s="66">
        <f t="shared" si="62"/>
        <v>20.552481250000003</v>
      </c>
      <c r="S292" s="64">
        <f t="shared" si="69"/>
        <v>93.75</v>
      </c>
      <c r="T292" s="66">
        <f t="shared" si="70"/>
        <v>1288.72998125</v>
      </c>
      <c r="U292" s="68">
        <f t="shared" si="71"/>
        <v>51.549199250000001</v>
      </c>
      <c r="V292" s="68">
        <f t="shared" si="72"/>
        <v>452.18595833333336</v>
      </c>
      <c r="W292" s="68">
        <f t="shared" si="73"/>
        <v>301.45730555555559</v>
      </c>
    </row>
    <row r="293" spans="1:23" x14ac:dyDescent="0.25">
      <c r="A293" s="169" t="s">
        <v>889</v>
      </c>
      <c r="B293" s="61" t="s">
        <v>397</v>
      </c>
      <c r="C293" s="61" t="s">
        <v>591</v>
      </c>
      <c r="D293" s="61" t="s">
        <v>594</v>
      </c>
      <c r="E293" s="1" t="s">
        <v>348</v>
      </c>
      <c r="F293" s="62" t="str">
        <f t="shared" si="63"/>
        <v>60606</v>
      </c>
      <c r="G293" s="1">
        <v>10620023</v>
      </c>
      <c r="H293" s="1" t="s">
        <v>388</v>
      </c>
      <c r="I293" s="61">
        <v>14</v>
      </c>
      <c r="J293" s="61">
        <v>5</v>
      </c>
      <c r="K293" s="61">
        <v>8.1</v>
      </c>
      <c r="L293" s="69">
        <f t="shared" si="64"/>
        <v>0.7</v>
      </c>
      <c r="M293" s="69">
        <f t="shared" si="65"/>
        <v>1.1339999999999999</v>
      </c>
      <c r="N293" s="56">
        <f>INDEX(Rate_Chart!$A$1:$AK$127,MATCH(Data!J293,Rate_Chart!$A$1:$A$127,0),MATCH(Data!K293,Rate_Chart!$A$1:$AK$1,0))</f>
        <v>43.3691259</v>
      </c>
      <c r="O293" s="57">
        <f t="shared" si="66"/>
        <v>607.16776260000006</v>
      </c>
      <c r="P293" s="58">
        <f t="shared" si="67"/>
        <v>417.01082596153844</v>
      </c>
      <c r="Q293" s="58">
        <f t="shared" si="68"/>
        <v>278.00721730769231</v>
      </c>
      <c r="R293" s="66">
        <f t="shared" si="62"/>
        <v>10.625435845500002</v>
      </c>
      <c r="S293" s="64">
        <f t="shared" si="69"/>
        <v>52.5</v>
      </c>
      <c r="T293" s="66">
        <f t="shared" si="70"/>
        <v>670.29319844550002</v>
      </c>
      <c r="U293" s="68">
        <f t="shared" si="71"/>
        <v>47.87808560325</v>
      </c>
      <c r="V293" s="68">
        <f t="shared" si="72"/>
        <v>460.36620772355764</v>
      </c>
      <c r="W293" s="68">
        <f t="shared" si="73"/>
        <v>306.91080514903842</v>
      </c>
    </row>
    <row r="294" spans="1:23" x14ac:dyDescent="0.25">
      <c r="A294" s="169" t="s">
        <v>890</v>
      </c>
      <c r="B294" s="61" t="s">
        <v>396</v>
      </c>
      <c r="C294" s="61" t="s">
        <v>591</v>
      </c>
      <c r="D294" s="61" t="s">
        <v>594</v>
      </c>
      <c r="E294" s="1" t="s">
        <v>348</v>
      </c>
      <c r="F294" s="62" t="str">
        <f t="shared" si="63"/>
        <v>60606</v>
      </c>
      <c r="G294" s="1">
        <v>10620023</v>
      </c>
      <c r="H294" s="1" t="s">
        <v>387</v>
      </c>
      <c r="I294" s="61">
        <v>32</v>
      </c>
      <c r="J294" s="61">
        <v>5.8</v>
      </c>
      <c r="K294" s="61">
        <v>8.4</v>
      </c>
      <c r="L294" s="69">
        <f t="shared" si="64"/>
        <v>1.8559999999999999</v>
      </c>
      <c r="M294" s="69">
        <f t="shared" si="65"/>
        <v>2.6880000000000002</v>
      </c>
      <c r="N294" s="56">
        <f>INDEX(Rate_Chart!$A$1:$AK$127,MATCH(Data!J294,Rate_Chart!$A$1:$A$127,0),MATCH(Data!K294,Rate_Chart!$A$1:$AK$1,0))</f>
        <v>46.9771</v>
      </c>
      <c r="O294" s="57">
        <f t="shared" si="66"/>
        <v>1503.2672</v>
      </c>
      <c r="P294" s="58">
        <f t="shared" si="67"/>
        <v>412.07982456140354</v>
      </c>
      <c r="Q294" s="58">
        <f t="shared" si="68"/>
        <v>274.71988304093571</v>
      </c>
      <c r="R294" s="66">
        <f t="shared" si="62"/>
        <v>26.307176000000002</v>
      </c>
      <c r="S294" s="64">
        <f t="shared" si="69"/>
        <v>120</v>
      </c>
      <c r="T294" s="66">
        <f t="shared" si="70"/>
        <v>1649.574376</v>
      </c>
      <c r="U294" s="68">
        <f t="shared" si="71"/>
        <v>51.549199250000001</v>
      </c>
      <c r="V294" s="68">
        <f t="shared" si="72"/>
        <v>452.18595833333336</v>
      </c>
      <c r="W294" s="68">
        <f t="shared" si="73"/>
        <v>301.45730555555559</v>
      </c>
    </row>
    <row r="295" spans="1:23" x14ac:dyDescent="0.25">
      <c r="A295" s="169" t="s">
        <v>890</v>
      </c>
      <c r="B295" s="61" t="s">
        <v>397</v>
      </c>
      <c r="C295" s="61" t="s">
        <v>591</v>
      </c>
      <c r="D295" s="61" t="s">
        <v>594</v>
      </c>
      <c r="E295" s="1" t="s">
        <v>348</v>
      </c>
      <c r="F295" s="62" t="str">
        <f t="shared" si="63"/>
        <v>60606</v>
      </c>
      <c r="G295" s="1">
        <v>10620023</v>
      </c>
      <c r="H295" s="1" t="s">
        <v>387</v>
      </c>
      <c r="I295" s="61">
        <v>12</v>
      </c>
      <c r="J295" s="61">
        <v>5.6</v>
      </c>
      <c r="K295" s="61">
        <v>8.4</v>
      </c>
      <c r="L295" s="69">
        <f t="shared" si="64"/>
        <v>0.67199999999999993</v>
      </c>
      <c r="M295" s="69">
        <f t="shared" si="65"/>
        <v>1.008</v>
      </c>
      <c r="N295" s="56">
        <f>INDEX(Rate_Chart!$A$1:$AK$127,MATCH(Data!J295,Rate_Chart!$A$1:$A$127,0),MATCH(Data!K295,Rate_Chart!$A$1:$AK$1,0))</f>
        <v>45.357199999999999</v>
      </c>
      <c r="O295" s="57">
        <f t="shared" si="66"/>
        <v>544.28639999999996</v>
      </c>
      <c r="P295" s="58">
        <f t="shared" si="67"/>
        <v>404.97500000000002</v>
      </c>
      <c r="Q295" s="58">
        <f t="shared" si="68"/>
        <v>269.98333333333335</v>
      </c>
      <c r="R295" s="66">
        <f t="shared" si="62"/>
        <v>9.5250120000000003</v>
      </c>
      <c r="S295" s="64">
        <f t="shared" si="69"/>
        <v>45</v>
      </c>
      <c r="T295" s="66">
        <f t="shared" si="70"/>
        <v>598.81141200000002</v>
      </c>
      <c r="U295" s="68">
        <f t="shared" si="71"/>
        <v>49.900950999999999</v>
      </c>
      <c r="V295" s="68">
        <f t="shared" si="72"/>
        <v>445.54420535714291</v>
      </c>
      <c r="W295" s="68">
        <f t="shared" si="73"/>
        <v>297.02947023809526</v>
      </c>
    </row>
    <row r="296" spans="1:23" x14ac:dyDescent="0.25">
      <c r="A296" s="169" t="s">
        <v>891</v>
      </c>
      <c r="B296" s="61" t="s">
        <v>396</v>
      </c>
      <c r="C296" s="61" t="s">
        <v>591</v>
      </c>
      <c r="D296" s="61" t="s">
        <v>594</v>
      </c>
      <c r="E296" s="1" t="s">
        <v>348</v>
      </c>
      <c r="F296" s="62" t="str">
        <f t="shared" si="63"/>
        <v>60606</v>
      </c>
      <c r="G296" s="1">
        <v>10620023</v>
      </c>
      <c r="H296" s="1" t="s">
        <v>387</v>
      </c>
      <c r="I296" s="61">
        <v>28</v>
      </c>
      <c r="J296" s="61">
        <v>6</v>
      </c>
      <c r="K296" s="61">
        <v>8.8000000000000007</v>
      </c>
      <c r="L296" s="69">
        <f t="shared" si="64"/>
        <v>1.68</v>
      </c>
      <c r="M296" s="69">
        <f t="shared" si="65"/>
        <v>2.4640000000000004</v>
      </c>
      <c r="N296" s="56">
        <f>INDEX(Rate_Chart!$A$1:$AK$127,MATCH(Data!J296,Rate_Chart!$A$1:$A$127,0),MATCH(Data!K296,Rate_Chart!$A$1:$AK$1,0))</f>
        <v>49.599000000000004</v>
      </c>
      <c r="O296" s="57">
        <f t="shared" si="66"/>
        <v>1388.7720000000002</v>
      </c>
      <c r="P296" s="58">
        <f t="shared" si="67"/>
        <v>417.96910112359552</v>
      </c>
      <c r="Q296" s="58">
        <f t="shared" si="68"/>
        <v>278.64606741573033</v>
      </c>
      <c r="R296" s="66">
        <f t="shared" si="62"/>
        <v>24.303510000000006</v>
      </c>
      <c r="S296" s="64">
        <f t="shared" si="69"/>
        <v>105</v>
      </c>
      <c r="T296" s="66">
        <f t="shared" si="70"/>
        <v>1518.0755100000001</v>
      </c>
      <c r="U296" s="68">
        <f t="shared" si="71"/>
        <v>54.216982500000007</v>
      </c>
      <c r="V296" s="68">
        <f t="shared" si="72"/>
        <v>456.8846839887641</v>
      </c>
      <c r="W296" s="68">
        <f t="shared" si="73"/>
        <v>304.58978932584273</v>
      </c>
    </row>
    <row r="297" spans="1:23" x14ac:dyDescent="0.25">
      <c r="A297" s="169" t="s">
        <v>891</v>
      </c>
      <c r="B297" s="61" t="s">
        <v>397</v>
      </c>
      <c r="C297" s="61" t="s">
        <v>591</v>
      </c>
      <c r="D297" s="61" t="s">
        <v>594</v>
      </c>
      <c r="E297" s="1" t="s">
        <v>348</v>
      </c>
      <c r="F297" s="62" t="str">
        <f t="shared" si="63"/>
        <v>60606</v>
      </c>
      <c r="G297" s="1">
        <v>10620023</v>
      </c>
      <c r="H297" s="1" t="s">
        <v>388</v>
      </c>
      <c r="I297" s="61">
        <v>11</v>
      </c>
      <c r="J297" s="61">
        <v>4.5999999999999996</v>
      </c>
      <c r="K297" s="61">
        <v>8.1</v>
      </c>
      <c r="L297" s="69">
        <f t="shared" si="64"/>
        <v>0.50599999999999989</v>
      </c>
      <c r="M297" s="69">
        <f t="shared" si="65"/>
        <v>0.8909999999999999</v>
      </c>
      <c r="N297" s="56">
        <f>INDEX(Rate_Chart!$A$1:$AK$127,MATCH(Data!J297,Rate_Chart!$A$1:$A$127,0),MATCH(Data!K297,Rate_Chart!$A$1:$AK$1,0))</f>
        <v>41.701125900000001</v>
      </c>
      <c r="O297" s="57">
        <f t="shared" si="66"/>
        <v>458.71238490000002</v>
      </c>
      <c r="P297" s="58">
        <f t="shared" si="67"/>
        <v>417.011259</v>
      </c>
      <c r="Q297" s="58">
        <f t="shared" si="68"/>
        <v>278.00750599999998</v>
      </c>
      <c r="R297" s="66">
        <f t="shared" si="62"/>
        <v>8.0274667357500018</v>
      </c>
      <c r="S297" s="64">
        <f t="shared" si="69"/>
        <v>41.25</v>
      </c>
      <c r="T297" s="66">
        <f t="shared" si="70"/>
        <v>507.98985163575003</v>
      </c>
      <c r="U297" s="68">
        <f t="shared" si="71"/>
        <v>46.180895603250001</v>
      </c>
      <c r="V297" s="68">
        <f t="shared" si="72"/>
        <v>461.80895603249996</v>
      </c>
      <c r="W297" s="68">
        <f t="shared" si="73"/>
        <v>307.87263735499999</v>
      </c>
    </row>
    <row r="298" spans="1:23" x14ac:dyDescent="0.25">
      <c r="A298" s="169" t="s">
        <v>892</v>
      </c>
      <c r="B298" s="61" t="s">
        <v>396</v>
      </c>
      <c r="C298" s="61" t="s">
        <v>591</v>
      </c>
      <c r="D298" s="61" t="s">
        <v>594</v>
      </c>
      <c r="E298" s="1" t="s">
        <v>348</v>
      </c>
      <c r="F298" s="62" t="str">
        <f t="shared" si="63"/>
        <v>60606</v>
      </c>
      <c r="G298" s="1">
        <v>10620023</v>
      </c>
      <c r="H298" s="1" t="s">
        <v>387</v>
      </c>
      <c r="I298" s="61">
        <v>24</v>
      </c>
      <c r="J298" s="61">
        <v>6.1</v>
      </c>
      <c r="K298" s="61">
        <v>8.4</v>
      </c>
      <c r="L298" s="69">
        <f t="shared" si="64"/>
        <v>1.4639999999999997</v>
      </c>
      <c r="M298" s="69">
        <f t="shared" si="65"/>
        <v>2.016</v>
      </c>
      <c r="N298" s="56">
        <f>INDEX(Rate_Chart!$A$1:$AK$127,MATCH(Data!J298,Rate_Chart!$A$1:$A$127,0),MATCH(Data!K298,Rate_Chart!$A$1:$AK$1,0))</f>
        <v>49.406950000000002</v>
      </c>
      <c r="O298" s="57">
        <f t="shared" si="66"/>
        <v>1185.7668000000001</v>
      </c>
      <c r="P298" s="58">
        <f t="shared" si="67"/>
        <v>422.28162393162398</v>
      </c>
      <c r="Q298" s="58">
        <f t="shared" si="68"/>
        <v>281.52108262108266</v>
      </c>
      <c r="R298" s="66">
        <f t="shared" si="62"/>
        <v>20.750919000000003</v>
      </c>
      <c r="S298" s="64">
        <f t="shared" si="69"/>
        <v>90</v>
      </c>
      <c r="T298" s="66">
        <f t="shared" si="70"/>
        <v>1296.5177190000002</v>
      </c>
      <c r="U298" s="68">
        <f t="shared" si="71"/>
        <v>54.021571625000007</v>
      </c>
      <c r="V298" s="68">
        <f t="shared" si="72"/>
        <v>461.72283440170946</v>
      </c>
      <c r="W298" s="68">
        <f t="shared" si="73"/>
        <v>307.81522293447296</v>
      </c>
    </row>
    <row r="299" spans="1:23" x14ac:dyDescent="0.25">
      <c r="A299" s="169" t="s">
        <v>892</v>
      </c>
      <c r="B299" s="61" t="s">
        <v>397</v>
      </c>
      <c r="C299" s="61" t="s">
        <v>591</v>
      </c>
      <c r="D299" s="61" t="s">
        <v>594</v>
      </c>
      <c r="E299" s="1" t="s">
        <v>348</v>
      </c>
      <c r="F299" s="62" t="str">
        <f t="shared" si="63"/>
        <v>60606</v>
      </c>
      <c r="G299" s="1">
        <v>10620023</v>
      </c>
      <c r="H299" s="1" t="s">
        <v>388</v>
      </c>
      <c r="I299" s="61">
        <v>8</v>
      </c>
      <c r="J299" s="61">
        <v>4.2</v>
      </c>
      <c r="K299" s="61">
        <v>8</v>
      </c>
      <c r="L299" s="69">
        <f t="shared" si="64"/>
        <v>0.33600000000000002</v>
      </c>
      <c r="M299" s="69">
        <f t="shared" si="65"/>
        <v>0.64</v>
      </c>
      <c r="N299" s="56">
        <f>INDEX(Rate_Chart!$A$1:$AK$127,MATCH(Data!J299,Rate_Chart!$A$1:$A$127,0),MATCH(Data!K299,Rate_Chart!$A$1:$AK$1,0))</f>
        <v>39.755112000000004</v>
      </c>
      <c r="O299" s="57">
        <f t="shared" si="66"/>
        <v>318.04089600000003</v>
      </c>
      <c r="P299" s="58">
        <f t="shared" si="67"/>
        <v>417.01166433566436</v>
      </c>
      <c r="Q299" s="58">
        <f t="shared" si="68"/>
        <v>278.00777622377626</v>
      </c>
      <c r="R299" s="66">
        <f t="shared" si="62"/>
        <v>5.5657156800000012</v>
      </c>
      <c r="S299" s="64">
        <f t="shared" si="69"/>
        <v>30</v>
      </c>
      <c r="T299" s="66">
        <f t="shared" si="70"/>
        <v>353.60661168000001</v>
      </c>
      <c r="U299" s="68">
        <f t="shared" si="71"/>
        <v>44.200826460000002</v>
      </c>
      <c r="V299" s="68">
        <f t="shared" si="72"/>
        <v>463.64503279720276</v>
      </c>
      <c r="W299" s="68">
        <f t="shared" si="73"/>
        <v>309.09668853146849</v>
      </c>
    </row>
    <row r="300" spans="1:23" x14ac:dyDescent="0.25">
      <c r="A300" s="169" t="s">
        <v>893</v>
      </c>
      <c r="B300" s="61" t="s">
        <v>396</v>
      </c>
      <c r="C300" s="61" t="s">
        <v>591</v>
      </c>
      <c r="D300" s="61" t="s">
        <v>594</v>
      </c>
      <c r="E300" s="1" t="s">
        <v>348</v>
      </c>
      <c r="F300" s="62" t="str">
        <f t="shared" si="63"/>
        <v>60606</v>
      </c>
      <c r="G300" s="1">
        <v>10620023</v>
      </c>
      <c r="H300" s="1" t="s">
        <v>387</v>
      </c>
      <c r="I300" s="61">
        <v>20</v>
      </c>
      <c r="J300" s="61">
        <v>5.8</v>
      </c>
      <c r="K300" s="61">
        <v>8.4</v>
      </c>
      <c r="L300" s="69">
        <f t="shared" si="64"/>
        <v>1.1599999999999999</v>
      </c>
      <c r="M300" s="69">
        <f t="shared" si="65"/>
        <v>1.68</v>
      </c>
      <c r="N300" s="56">
        <f>INDEX(Rate_Chart!$A$1:$AK$127,MATCH(Data!J300,Rate_Chart!$A$1:$A$127,0),MATCH(Data!K300,Rate_Chart!$A$1:$AK$1,0))</f>
        <v>46.9771</v>
      </c>
      <c r="O300" s="57">
        <f t="shared" si="66"/>
        <v>939.54200000000003</v>
      </c>
      <c r="P300" s="58">
        <f t="shared" si="67"/>
        <v>412.07982456140354</v>
      </c>
      <c r="Q300" s="58">
        <f t="shared" si="68"/>
        <v>274.71988304093571</v>
      </c>
      <c r="R300" s="66">
        <f t="shared" si="62"/>
        <v>16.441985000000003</v>
      </c>
      <c r="S300" s="64">
        <f t="shared" si="69"/>
        <v>75</v>
      </c>
      <c r="T300" s="66">
        <f t="shared" si="70"/>
        <v>1030.9839850000001</v>
      </c>
      <c r="U300" s="68">
        <f t="shared" si="71"/>
        <v>51.549199250000001</v>
      </c>
      <c r="V300" s="68">
        <f t="shared" si="72"/>
        <v>452.18595833333336</v>
      </c>
      <c r="W300" s="68">
        <f t="shared" si="73"/>
        <v>301.45730555555559</v>
      </c>
    </row>
    <row r="301" spans="1:23" x14ac:dyDescent="0.25">
      <c r="A301" s="169" t="s">
        <v>893</v>
      </c>
      <c r="B301" s="61" t="s">
        <v>397</v>
      </c>
      <c r="C301" s="61" t="s">
        <v>591</v>
      </c>
      <c r="D301" s="61" t="s">
        <v>594</v>
      </c>
      <c r="E301" s="1" t="s">
        <v>348</v>
      </c>
      <c r="F301" s="62" t="str">
        <f t="shared" si="63"/>
        <v>60606</v>
      </c>
      <c r="G301" s="1">
        <v>10620023</v>
      </c>
      <c r="H301" s="1" t="s">
        <v>388</v>
      </c>
      <c r="I301" s="61">
        <v>11</v>
      </c>
      <c r="J301" s="61">
        <v>4.7</v>
      </c>
      <c r="K301" s="61">
        <v>8.1999999999999993</v>
      </c>
      <c r="L301" s="69">
        <f t="shared" si="64"/>
        <v>0.51700000000000002</v>
      </c>
      <c r="M301" s="69">
        <f t="shared" si="65"/>
        <v>0.90199999999999991</v>
      </c>
      <c r="N301" s="56">
        <f>INDEX(Rate_Chart!$A$1:$AK$127,MATCH(Data!J301,Rate_Chart!$A$1:$A$127,0),MATCH(Data!K301,Rate_Chart!$A$1:$AK$1,0))</f>
        <v>42.3961398</v>
      </c>
      <c r="O301" s="57">
        <f t="shared" si="66"/>
        <v>466.35753779999999</v>
      </c>
      <c r="P301" s="58">
        <f t="shared" si="67"/>
        <v>417.01121114754102</v>
      </c>
      <c r="Q301" s="58">
        <f t="shared" si="68"/>
        <v>278.00747409836066</v>
      </c>
      <c r="R301" s="66">
        <f t="shared" si="62"/>
        <v>8.1612569115000007</v>
      </c>
      <c r="S301" s="64">
        <f t="shared" si="69"/>
        <v>41.25</v>
      </c>
      <c r="T301" s="66">
        <f t="shared" si="70"/>
        <v>515.76879471150005</v>
      </c>
      <c r="U301" s="68">
        <f t="shared" si="71"/>
        <v>46.888072246500002</v>
      </c>
      <c r="V301" s="68">
        <f t="shared" si="72"/>
        <v>461.19415324426234</v>
      </c>
      <c r="W301" s="68">
        <f t="shared" si="73"/>
        <v>307.46276882950821</v>
      </c>
    </row>
    <row r="302" spans="1:23" x14ac:dyDescent="0.25">
      <c r="A302" s="169" t="s">
        <v>894</v>
      </c>
      <c r="B302" s="61" t="s">
        <v>396</v>
      </c>
      <c r="C302" s="61" t="s">
        <v>591</v>
      </c>
      <c r="D302" s="61" t="s">
        <v>594</v>
      </c>
      <c r="E302" s="1" t="s">
        <v>348</v>
      </c>
      <c r="F302" s="62" t="str">
        <f t="shared" si="63"/>
        <v>60606</v>
      </c>
      <c r="G302" s="1">
        <v>10620023</v>
      </c>
      <c r="H302" s="1" t="s">
        <v>387</v>
      </c>
      <c r="I302" s="61">
        <v>19</v>
      </c>
      <c r="J302" s="61">
        <v>6.3</v>
      </c>
      <c r="K302" s="61">
        <v>8.4</v>
      </c>
      <c r="L302" s="69">
        <f t="shared" si="64"/>
        <v>1.1970000000000001</v>
      </c>
      <c r="M302" s="69">
        <f t="shared" si="65"/>
        <v>1.5959999999999999</v>
      </c>
      <c r="N302" s="56">
        <f>INDEX(Rate_Chart!$A$1:$AK$127,MATCH(Data!J302,Rate_Chart!$A$1:$A$127,0),MATCH(Data!K302,Rate_Chart!$A$1:$AK$1,0))</f>
        <v>51.026849999999996</v>
      </c>
      <c r="O302" s="57">
        <f t="shared" si="66"/>
        <v>969.51014999999995</v>
      </c>
      <c r="P302" s="58">
        <f t="shared" si="67"/>
        <v>428.79705882352943</v>
      </c>
      <c r="Q302" s="58">
        <f t="shared" si="68"/>
        <v>285.86470588235295</v>
      </c>
      <c r="R302" s="66">
        <f t="shared" si="62"/>
        <v>16.966427625000001</v>
      </c>
      <c r="S302" s="64">
        <f t="shared" si="69"/>
        <v>71.25</v>
      </c>
      <c r="T302" s="66">
        <f t="shared" si="70"/>
        <v>1057.7265776249999</v>
      </c>
      <c r="U302" s="68">
        <f t="shared" si="71"/>
        <v>55.669819874999995</v>
      </c>
      <c r="V302" s="68">
        <f t="shared" si="72"/>
        <v>467.81361239495794</v>
      </c>
      <c r="W302" s="68">
        <f t="shared" si="73"/>
        <v>311.87574159663865</v>
      </c>
    </row>
    <row r="303" spans="1:23" x14ac:dyDescent="0.25">
      <c r="A303" s="169" t="s">
        <v>894</v>
      </c>
      <c r="B303" s="61" t="s">
        <v>397</v>
      </c>
      <c r="C303" s="61" t="s">
        <v>591</v>
      </c>
      <c r="D303" s="61" t="s">
        <v>594</v>
      </c>
      <c r="E303" s="1" t="s">
        <v>348</v>
      </c>
      <c r="F303" s="62" t="str">
        <f t="shared" si="63"/>
        <v>60606</v>
      </c>
      <c r="G303" s="1">
        <v>10620023</v>
      </c>
      <c r="H303" s="1" t="s">
        <v>388</v>
      </c>
      <c r="I303" s="61">
        <v>17</v>
      </c>
      <c r="J303" s="61">
        <v>4.5999999999999996</v>
      </c>
      <c r="K303" s="61">
        <v>8</v>
      </c>
      <c r="L303" s="69">
        <f t="shared" si="64"/>
        <v>0.78199999999999992</v>
      </c>
      <c r="M303" s="69">
        <f t="shared" si="65"/>
        <v>1.36</v>
      </c>
      <c r="N303" s="56">
        <f>INDEX(Rate_Chart!$A$1:$AK$127,MATCH(Data!J303,Rate_Chart!$A$1:$A$127,0),MATCH(Data!K303,Rate_Chart!$A$1:$AK$1,0))</f>
        <v>41.423112000000003</v>
      </c>
      <c r="O303" s="57">
        <f t="shared" si="66"/>
        <v>704.192904</v>
      </c>
      <c r="P303" s="58">
        <f t="shared" si="67"/>
        <v>417.01119463087252</v>
      </c>
      <c r="Q303" s="58">
        <f t="shared" si="68"/>
        <v>278.00746308724837</v>
      </c>
      <c r="R303" s="66">
        <f t="shared" si="62"/>
        <v>12.323375820000001</v>
      </c>
      <c r="S303" s="64">
        <f t="shared" si="69"/>
        <v>63.75</v>
      </c>
      <c r="T303" s="66">
        <f t="shared" si="70"/>
        <v>780.26627982000002</v>
      </c>
      <c r="U303" s="68">
        <f t="shared" si="71"/>
        <v>45.898016460000001</v>
      </c>
      <c r="V303" s="68">
        <f t="shared" si="72"/>
        <v>462.06056838926179</v>
      </c>
      <c r="W303" s="68">
        <f t="shared" si="73"/>
        <v>308.04037892617453</v>
      </c>
    </row>
    <row r="304" spans="1:23" x14ac:dyDescent="0.25">
      <c r="A304" s="169" t="s">
        <v>888</v>
      </c>
      <c r="B304" s="61" t="s">
        <v>396</v>
      </c>
      <c r="C304" s="61" t="s">
        <v>591</v>
      </c>
      <c r="D304" s="61" t="s">
        <v>594</v>
      </c>
      <c r="E304" s="1" t="s">
        <v>349</v>
      </c>
      <c r="F304" s="62" t="str">
        <f t="shared" si="63"/>
        <v>60610</v>
      </c>
      <c r="G304" s="1">
        <v>10620024</v>
      </c>
      <c r="H304" s="1" t="s">
        <v>388</v>
      </c>
      <c r="I304" s="61">
        <v>14</v>
      </c>
      <c r="J304" s="61">
        <v>3</v>
      </c>
      <c r="K304" s="61">
        <v>8</v>
      </c>
      <c r="L304" s="69">
        <f t="shared" si="64"/>
        <v>0.42</v>
      </c>
      <c r="M304" s="69">
        <f t="shared" si="65"/>
        <v>1.1200000000000001</v>
      </c>
      <c r="N304" s="56">
        <f>INDEX(Rate_Chart!$A$1:$AK$127,MATCH(Data!J304,Rate_Chart!$A$1:$A$127,0),MATCH(Data!K304,Rate_Chart!$A$1:$AK$1,0))</f>
        <v>34.751112000000006</v>
      </c>
      <c r="O304" s="57">
        <f t="shared" si="66"/>
        <v>486.51556800000009</v>
      </c>
      <c r="P304" s="58">
        <f t="shared" si="67"/>
        <v>417.01334400000002</v>
      </c>
      <c r="Q304" s="58">
        <f t="shared" si="68"/>
        <v>278.00889599999999</v>
      </c>
      <c r="R304" s="66">
        <f t="shared" si="62"/>
        <v>8.5140224400000015</v>
      </c>
      <c r="S304" s="64">
        <f t="shared" si="69"/>
        <v>52.5</v>
      </c>
      <c r="T304" s="66">
        <f t="shared" si="70"/>
        <v>547.52959044000011</v>
      </c>
      <c r="U304" s="68">
        <f t="shared" si="71"/>
        <v>39.109256460000005</v>
      </c>
      <c r="V304" s="68">
        <f t="shared" si="72"/>
        <v>469.31107752000003</v>
      </c>
      <c r="W304" s="68">
        <f t="shared" si="73"/>
        <v>312.87405168000004</v>
      </c>
    </row>
    <row r="305" spans="1:23" x14ac:dyDescent="0.25">
      <c r="A305" s="169" t="s">
        <v>888</v>
      </c>
      <c r="B305" s="61" t="s">
        <v>397</v>
      </c>
      <c r="C305" s="61" t="s">
        <v>591</v>
      </c>
      <c r="D305" s="61" t="s">
        <v>594</v>
      </c>
      <c r="E305" s="1" t="s">
        <v>349</v>
      </c>
      <c r="F305" s="62" t="str">
        <f t="shared" si="63"/>
        <v>60610</v>
      </c>
      <c r="G305" s="1">
        <v>10620024</v>
      </c>
      <c r="H305" s="1" t="s">
        <v>388</v>
      </c>
      <c r="I305" s="61">
        <v>4</v>
      </c>
      <c r="J305" s="61">
        <v>4</v>
      </c>
      <c r="K305" s="61">
        <v>8</v>
      </c>
      <c r="L305" s="69">
        <f t="shared" si="64"/>
        <v>0.16</v>
      </c>
      <c r="M305" s="69">
        <f t="shared" si="65"/>
        <v>0.32</v>
      </c>
      <c r="N305" s="56">
        <f>INDEX(Rate_Chart!$A$1:$AK$127,MATCH(Data!J305,Rate_Chart!$A$1:$A$127,0),MATCH(Data!K305,Rate_Chart!$A$1:$AK$1,0))</f>
        <v>38.921112000000008</v>
      </c>
      <c r="O305" s="57">
        <f t="shared" si="66"/>
        <v>155.68444800000003</v>
      </c>
      <c r="P305" s="58">
        <f t="shared" si="67"/>
        <v>417.01191428571434</v>
      </c>
      <c r="Q305" s="58">
        <f t="shared" si="68"/>
        <v>278.00794285714289</v>
      </c>
      <c r="R305" s="66">
        <f t="shared" si="62"/>
        <v>2.7244778400000009</v>
      </c>
      <c r="S305" s="64">
        <f t="shared" si="69"/>
        <v>15</v>
      </c>
      <c r="T305" s="66">
        <f t="shared" si="70"/>
        <v>173.40892584000002</v>
      </c>
      <c r="U305" s="68">
        <f t="shared" si="71"/>
        <v>43.352231460000006</v>
      </c>
      <c r="V305" s="68">
        <f t="shared" si="72"/>
        <v>464.48819421428578</v>
      </c>
      <c r="W305" s="68">
        <f t="shared" si="73"/>
        <v>309.65879614285717</v>
      </c>
    </row>
    <row r="306" spans="1:23" x14ac:dyDescent="0.25">
      <c r="A306" s="169" t="s">
        <v>889</v>
      </c>
      <c r="B306" s="61" t="s">
        <v>396</v>
      </c>
      <c r="C306" s="61" t="s">
        <v>591</v>
      </c>
      <c r="D306" s="61" t="s">
        <v>594</v>
      </c>
      <c r="E306" s="1" t="s">
        <v>349</v>
      </c>
      <c r="F306" s="62" t="str">
        <f t="shared" si="63"/>
        <v>60610</v>
      </c>
      <c r="G306" s="1">
        <v>10620024</v>
      </c>
      <c r="H306" s="1" t="s">
        <v>388</v>
      </c>
      <c r="I306" s="61">
        <v>10</v>
      </c>
      <c r="J306" s="61">
        <v>3</v>
      </c>
      <c r="K306" s="61">
        <v>8</v>
      </c>
      <c r="L306" s="69">
        <f t="shared" si="64"/>
        <v>0.3</v>
      </c>
      <c r="M306" s="69">
        <f t="shared" si="65"/>
        <v>0.8</v>
      </c>
      <c r="N306" s="56">
        <f>INDEX(Rate_Chart!$A$1:$AK$127,MATCH(Data!J306,Rate_Chart!$A$1:$A$127,0),MATCH(Data!K306,Rate_Chart!$A$1:$AK$1,0))</f>
        <v>34.751112000000006</v>
      </c>
      <c r="O306" s="57">
        <f t="shared" si="66"/>
        <v>347.51112000000006</v>
      </c>
      <c r="P306" s="58">
        <f t="shared" si="67"/>
        <v>417.01334400000002</v>
      </c>
      <c r="Q306" s="58">
        <f t="shared" si="68"/>
        <v>278.00889599999999</v>
      </c>
      <c r="R306" s="66">
        <f t="shared" si="62"/>
        <v>6.081444600000002</v>
      </c>
      <c r="S306" s="64">
        <f t="shared" si="69"/>
        <v>37.5</v>
      </c>
      <c r="T306" s="66">
        <f t="shared" si="70"/>
        <v>391.09256460000006</v>
      </c>
      <c r="U306" s="68">
        <f t="shared" si="71"/>
        <v>39.109256460000005</v>
      </c>
      <c r="V306" s="68">
        <f t="shared" si="72"/>
        <v>469.31107752000003</v>
      </c>
      <c r="W306" s="68">
        <f t="shared" si="73"/>
        <v>312.87405168000004</v>
      </c>
    </row>
    <row r="307" spans="1:23" x14ac:dyDescent="0.25">
      <c r="A307" s="169" t="s">
        <v>889</v>
      </c>
      <c r="B307" s="61" t="s">
        <v>397</v>
      </c>
      <c r="C307" s="61" t="s">
        <v>591</v>
      </c>
      <c r="D307" s="61" t="s">
        <v>594</v>
      </c>
      <c r="E307" s="1" t="s">
        <v>349</v>
      </c>
      <c r="F307" s="62" t="str">
        <f t="shared" si="63"/>
        <v>60610</v>
      </c>
      <c r="G307" s="1">
        <v>10620024</v>
      </c>
      <c r="H307" s="1" t="s">
        <v>387</v>
      </c>
      <c r="I307" s="61">
        <v>21</v>
      </c>
      <c r="J307" s="61">
        <v>5.6</v>
      </c>
      <c r="K307" s="61">
        <v>8.4</v>
      </c>
      <c r="L307" s="69">
        <f t="shared" si="64"/>
        <v>1.1759999999999999</v>
      </c>
      <c r="M307" s="69">
        <f t="shared" si="65"/>
        <v>1.764</v>
      </c>
      <c r="N307" s="56">
        <f>INDEX(Rate_Chart!$A$1:$AK$127,MATCH(Data!J307,Rate_Chart!$A$1:$A$127,0),MATCH(Data!K307,Rate_Chart!$A$1:$AK$1,0))</f>
        <v>45.357199999999999</v>
      </c>
      <c r="O307" s="57">
        <f t="shared" si="66"/>
        <v>952.50119999999993</v>
      </c>
      <c r="P307" s="58">
        <f t="shared" si="67"/>
        <v>404.97500000000002</v>
      </c>
      <c r="Q307" s="58">
        <f t="shared" si="68"/>
        <v>269.98333333333335</v>
      </c>
      <c r="R307" s="66">
        <f t="shared" si="62"/>
        <v>16.668771</v>
      </c>
      <c r="S307" s="64">
        <f t="shared" si="69"/>
        <v>78.75</v>
      </c>
      <c r="T307" s="66">
        <f t="shared" si="70"/>
        <v>1047.9199709999998</v>
      </c>
      <c r="U307" s="68">
        <f t="shared" si="71"/>
        <v>49.900950999999992</v>
      </c>
      <c r="V307" s="68">
        <f t="shared" si="72"/>
        <v>445.54420535714286</v>
      </c>
      <c r="W307" s="68">
        <f t="shared" si="73"/>
        <v>297.02947023809526</v>
      </c>
    </row>
    <row r="308" spans="1:23" x14ac:dyDescent="0.25">
      <c r="A308" s="169" t="s">
        <v>890</v>
      </c>
      <c r="B308" s="61" t="s">
        <v>396</v>
      </c>
      <c r="C308" s="61" t="s">
        <v>591</v>
      </c>
      <c r="D308" s="61" t="s">
        <v>594</v>
      </c>
      <c r="E308" s="1" t="s">
        <v>349</v>
      </c>
      <c r="F308" s="62" t="str">
        <f t="shared" si="63"/>
        <v>60610</v>
      </c>
      <c r="G308" s="1">
        <v>10620024</v>
      </c>
      <c r="H308" s="1" t="s">
        <v>388</v>
      </c>
      <c r="I308" s="61">
        <v>8</v>
      </c>
      <c r="J308" s="61">
        <v>3</v>
      </c>
      <c r="K308" s="61">
        <v>8</v>
      </c>
      <c r="L308" s="69">
        <f t="shared" si="64"/>
        <v>0.24</v>
      </c>
      <c r="M308" s="69">
        <f t="shared" si="65"/>
        <v>0.64</v>
      </c>
      <c r="N308" s="56">
        <f>INDEX(Rate_Chart!$A$1:$AK$127,MATCH(Data!J308,Rate_Chart!$A$1:$A$127,0),MATCH(Data!K308,Rate_Chart!$A$1:$AK$1,0))</f>
        <v>34.751112000000006</v>
      </c>
      <c r="O308" s="57">
        <f t="shared" si="66"/>
        <v>278.00889600000005</v>
      </c>
      <c r="P308" s="58">
        <f t="shared" si="67"/>
        <v>417.01334400000002</v>
      </c>
      <c r="Q308" s="58">
        <f t="shared" si="68"/>
        <v>278.00889599999999</v>
      </c>
      <c r="R308" s="66">
        <f t="shared" si="62"/>
        <v>4.8651556800000018</v>
      </c>
      <c r="S308" s="64">
        <f t="shared" si="69"/>
        <v>30</v>
      </c>
      <c r="T308" s="66">
        <f t="shared" si="70"/>
        <v>312.87405168000004</v>
      </c>
      <c r="U308" s="68">
        <f t="shared" si="71"/>
        <v>39.109256460000005</v>
      </c>
      <c r="V308" s="68">
        <f t="shared" si="72"/>
        <v>469.31107752000003</v>
      </c>
      <c r="W308" s="68">
        <f t="shared" si="73"/>
        <v>312.87405168000004</v>
      </c>
    </row>
    <row r="309" spans="1:23" x14ac:dyDescent="0.25">
      <c r="A309" s="169" t="s">
        <v>890</v>
      </c>
      <c r="B309" s="61" t="s">
        <v>397</v>
      </c>
      <c r="C309" s="61" t="s">
        <v>591</v>
      </c>
      <c r="D309" s="61" t="s">
        <v>594</v>
      </c>
      <c r="E309" s="1" t="s">
        <v>349</v>
      </c>
      <c r="F309" s="62" t="str">
        <f t="shared" si="63"/>
        <v>60610</v>
      </c>
      <c r="G309" s="1">
        <v>10620024</v>
      </c>
      <c r="H309" s="1" t="s">
        <v>388</v>
      </c>
      <c r="I309" s="61">
        <v>5</v>
      </c>
      <c r="J309" s="61">
        <v>3</v>
      </c>
      <c r="K309" s="61">
        <v>8</v>
      </c>
      <c r="L309" s="69">
        <f t="shared" si="64"/>
        <v>0.15</v>
      </c>
      <c r="M309" s="69">
        <f t="shared" si="65"/>
        <v>0.4</v>
      </c>
      <c r="N309" s="56">
        <f>INDEX(Rate_Chart!$A$1:$AK$127,MATCH(Data!J309,Rate_Chart!$A$1:$A$127,0),MATCH(Data!K309,Rate_Chart!$A$1:$AK$1,0))</f>
        <v>34.751112000000006</v>
      </c>
      <c r="O309" s="57">
        <f t="shared" si="66"/>
        <v>173.75556000000003</v>
      </c>
      <c r="P309" s="58">
        <f t="shared" si="67"/>
        <v>417.01334400000002</v>
      </c>
      <c r="Q309" s="58">
        <f t="shared" si="68"/>
        <v>278.00889599999999</v>
      </c>
      <c r="R309" s="66">
        <f t="shared" si="62"/>
        <v>3.040722300000001</v>
      </c>
      <c r="S309" s="64">
        <f t="shared" si="69"/>
        <v>18.75</v>
      </c>
      <c r="T309" s="66">
        <f t="shared" si="70"/>
        <v>195.54628230000003</v>
      </c>
      <c r="U309" s="68">
        <f t="shared" si="71"/>
        <v>39.109256460000005</v>
      </c>
      <c r="V309" s="68">
        <f t="shared" si="72"/>
        <v>469.31107752000003</v>
      </c>
      <c r="W309" s="68">
        <f t="shared" si="73"/>
        <v>312.87405168000004</v>
      </c>
    </row>
    <row r="310" spans="1:23" x14ac:dyDescent="0.25">
      <c r="A310" s="169" t="s">
        <v>891</v>
      </c>
      <c r="B310" s="61" t="s">
        <v>396</v>
      </c>
      <c r="C310" s="61" t="s">
        <v>591</v>
      </c>
      <c r="D310" s="61" t="s">
        <v>594</v>
      </c>
      <c r="E310" s="1" t="s">
        <v>349</v>
      </c>
      <c r="F310" s="62" t="str">
        <f t="shared" si="63"/>
        <v>60610</v>
      </c>
      <c r="G310" s="1">
        <v>10620024</v>
      </c>
      <c r="H310" s="1" t="s">
        <v>388</v>
      </c>
      <c r="I310" s="61">
        <v>12</v>
      </c>
      <c r="J310" s="61">
        <v>3</v>
      </c>
      <c r="K310" s="61">
        <v>8</v>
      </c>
      <c r="L310" s="69">
        <f t="shared" si="64"/>
        <v>0.36</v>
      </c>
      <c r="M310" s="69">
        <f t="shared" si="65"/>
        <v>0.96</v>
      </c>
      <c r="N310" s="56">
        <f>INDEX(Rate_Chart!$A$1:$AK$127,MATCH(Data!J310,Rate_Chart!$A$1:$A$127,0),MATCH(Data!K310,Rate_Chart!$A$1:$AK$1,0))</f>
        <v>34.751112000000006</v>
      </c>
      <c r="O310" s="57">
        <f t="shared" si="66"/>
        <v>417.01334400000007</v>
      </c>
      <c r="P310" s="58">
        <f t="shared" si="67"/>
        <v>417.01334400000002</v>
      </c>
      <c r="Q310" s="58">
        <f t="shared" si="68"/>
        <v>278.00889599999999</v>
      </c>
      <c r="R310" s="66">
        <f t="shared" si="62"/>
        <v>7.2977335200000022</v>
      </c>
      <c r="S310" s="64">
        <f t="shared" si="69"/>
        <v>45</v>
      </c>
      <c r="T310" s="66">
        <f t="shared" si="70"/>
        <v>469.31107752000008</v>
      </c>
      <c r="U310" s="68">
        <f t="shared" si="71"/>
        <v>39.109256460000005</v>
      </c>
      <c r="V310" s="68">
        <f t="shared" si="72"/>
        <v>469.31107752000003</v>
      </c>
      <c r="W310" s="68">
        <f t="shared" si="73"/>
        <v>312.87405168000004</v>
      </c>
    </row>
    <row r="311" spans="1:23" x14ac:dyDescent="0.25">
      <c r="A311" s="169" t="s">
        <v>891</v>
      </c>
      <c r="B311" s="61" t="s">
        <v>397</v>
      </c>
      <c r="C311" s="61" t="s">
        <v>591</v>
      </c>
      <c r="D311" s="61" t="s">
        <v>594</v>
      </c>
      <c r="E311" s="1" t="s">
        <v>349</v>
      </c>
      <c r="F311" s="62" t="str">
        <f t="shared" si="63"/>
        <v>60610</v>
      </c>
      <c r="G311" s="1">
        <v>10620024</v>
      </c>
      <c r="H311" s="1" t="s">
        <v>388</v>
      </c>
      <c r="I311" s="61">
        <v>5</v>
      </c>
      <c r="J311" s="61">
        <v>5</v>
      </c>
      <c r="K311" s="61">
        <v>8.1</v>
      </c>
      <c r="L311" s="69">
        <f t="shared" si="64"/>
        <v>0.25</v>
      </c>
      <c r="M311" s="69">
        <f t="shared" si="65"/>
        <v>0.40500000000000003</v>
      </c>
      <c r="N311" s="56">
        <f>INDEX(Rate_Chart!$A$1:$AK$127,MATCH(Data!J311,Rate_Chart!$A$1:$A$127,0),MATCH(Data!K311,Rate_Chart!$A$1:$AK$1,0))</f>
        <v>43.3691259</v>
      </c>
      <c r="O311" s="57">
        <f t="shared" si="66"/>
        <v>216.8456295</v>
      </c>
      <c r="P311" s="58">
        <f t="shared" si="67"/>
        <v>417.01082596153844</v>
      </c>
      <c r="Q311" s="58">
        <f t="shared" si="68"/>
        <v>278.00721730769231</v>
      </c>
      <c r="R311" s="66">
        <f t="shared" si="62"/>
        <v>3.7947985162500002</v>
      </c>
      <c r="S311" s="64">
        <f t="shared" si="69"/>
        <v>18.75</v>
      </c>
      <c r="T311" s="66">
        <f t="shared" si="70"/>
        <v>239.39042801625001</v>
      </c>
      <c r="U311" s="68">
        <f t="shared" si="71"/>
        <v>47.87808560325</v>
      </c>
      <c r="V311" s="68">
        <f t="shared" si="72"/>
        <v>460.36620772355764</v>
      </c>
      <c r="W311" s="68">
        <f t="shared" si="73"/>
        <v>306.91080514903842</v>
      </c>
    </row>
    <row r="312" spans="1:23" x14ac:dyDescent="0.25">
      <c r="A312" s="169" t="s">
        <v>892</v>
      </c>
      <c r="B312" s="61" t="s">
        <v>396</v>
      </c>
      <c r="C312" s="61" t="s">
        <v>591</v>
      </c>
      <c r="D312" s="61" t="s">
        <v>594</v>
      </c>
      <c r="E312" s="1" t="s">
        <v>349</v>
      </c>
      <c r="F312" s="62" t="str">
        <f t="shared" si="63"/>
        <v>60610</v>
      </c>
      <c r="G312" s="1">
        <v>10620024</v>
      </c>
      <c r="H312" s="1" t="s">
        <v>388</v>
      </c>
      <c r="I312" s="61">
        <v>8</v>
      </c>
      <c r="J312" s="61">
        <v>3</v>
      </c>
      <c r="K312" s="61">
        <v>8</v>
      </c>
      <c r="L312" s="69">
        <f t="shared" si="64"/>
        <v>0.24</v>
      </c>
      <c r="M312" s="69">
        <f t="shared" si="65"/>
        <v>0.64</v>
      </c>
      <c r="N312" s="56">
        <f>INDEX(Rate_Chart!$A$1:$AK$127,MATCH(Data!J312,Rate_Chart!$A$1:$A$127,0),MATCH(Data!K312,Rate_Chart!$A$1:$AK$1,0))</f>
        <v>34.751112000000006</v>
      </c>
      <c r="O312" s="57">
        <f t="shared" si="66"/>
        <v>278.00889600000005</v>
      </c>
      <c r="P312" s="58">
        <f t="shared" si="67"/>
        <v>417.01334400000002</v>
      </c>
      <c r="Q312" s="58">
        <f t="shared" si="68"/>
        <v>278.00889599999999</v>
      </c>
      <c r="R312" s="66">
        <f t="shared" si="62"/>
        <v>4.8651556800000018</v>
      </c>
      <c r="S312" s="64">
        <f t="shared" si="69"/>
        <v>30</v>
      </c>
      <c r="T312" s="66">
        <f t="shared" si="70"/>
        <v>312.87405168000004</v>
      </c>
      <c r="U312" s="68">
        <f t="shared" si="71"/>
        <v>39.109256460000005</v>
      </c>
      <c r="V312" s="68">
        <f t="shared" si="72"/>
        <v>469.31107752000003</v>
      </c>
      <c r="W312" s="68">
        <f t="shared" si="73"/>
        <v>312.87405168000004</v>
      </c>
    </row>
    <row r="313" spans="1:23" x14ac:dyDescent="0.25">
      <c r="A313" s="169" t="s">
        <v>893</v>
      </c>
      <c r="B313" s="61" t="s">
        <v>396</v>
      </c>
      <c r="C313" s="61" t="s">
        <v>591</v>
      </c>
      <c r="D313" s="61" t="s">
        <v>594</v>
      </c>
      <c r="E313" s="1" t="s">
        <v>349</v>
      </c>
      <c r="F313" s="62" t="str">
        <f t="shared" si="63"/>
        <v>60610</v>
      </c>
      <c r="G313" s="1">
        <v>10620024</v>
      </c>
      <c r="H313" s="1" t="s">
        <v>388</v>
      </c>
      <c r="I313" s="61">
        <v>8</v>
      </c>
      <c r="J313" s="61">
        <v>3</v>
      </c>
      <c r="K313" s="61">
        <v>8</v>
      </c>
      <c r="L313" s="69">
        <f t="shared" si="64"/>
        <v>0.24</v>
      </c>
      <c r="M313" s="69">
        <f t="shared" si="65"/>
        <v>0.64</v>
      </c>
      <c r="N313" s="56">
        <f>INDEX(Rate_Chart!$A$1:$AK$127,MATCH(Data!J313,Rate_Chart!$A$1:$A$127,0),MATCH(Data!K313,Rate_Chart!$A$1:$AK$1,0))</f>
        <v>34.751112000000006</v>
      </c>
      <c r="O313" s="57">
        <f t="shared" si="66"/>
        <v>278.00889600000005</v>
      </c>
      <c r="P313" s="58">
        <f t="shared" si="67"/>
        <v>417.01334400000002</v>
      </c>
      <c r="Q313" s="58">
        <f t="shared" si="68"/>
        <v>278.00889599999999</v>
      </c>
      <c r="R313" s="66">
        <f t="shared" si="62"/>
        <v>4.8651556800000018</v>
      </c>
      <c r="S313" s="64">
        <f t="shared" si="69"/>
        <v>30</v>
      </c>
      <c r="T313" s="66">
        <f t="shared" si="70"/>
        <v>312.87405168000004</v>
      </c>
      <c r="U313" s="68">
        <f t="shared" si="71"/>
        <v>39.109256460000005</v>
      </c>
      <c r="V313" s="68">
        <f t="shared" si="72"/>
        <v>469.31107752000003</v>
      </c>
      <c r="W313" s="68">
        <f t="shared" si="73"/>
        <v>312.87405168000004</v>
      </c>
    </row>
    <row r="314" spans="1:23" x14ac:dyDescent="0.25">
      <c r="A314" s="169" t="s">
        <v>893</v>
      </c>
      <c r="B314" s="61" t="s">
        <v>397</v>
      </c>
      <c r="C314" s="61" t="s">
        <v>591</v>
      </c>
      <c r="D314" s="61" t="s">
        <v>594</v>
      </c>
      <c r="E314" s="1" t="s">
        <v>349</v>
      </c>
      <c r="F314" s="62" t="str">
        <f t="shared" si="63"/>
        <v>60610</v>
      </c>
      <c r="G314" s="1">
        <v>10620024</v>
      </c>
      <c r="H314" s="1" t="s">
        <v>388</v>
      </c>
      <c r="I314" s="61">
        <v>9</v>
      </c>
      <c r="J314" s="61">
        <v>4.4000000000000004</v>
      </c>
      <c r="K314" s="61">
        <v>8.1</v>
      </c>
      <c r="L314" s="69">
        <f t="shared" si="64"/>
        <v>0.39600000000000002</v>
      </c>
      <c r="M314" s="69">
        <f t="shared" si="65"/>
        <v>0.72899999999999987</v>
      </c>
      <c r="N314" s="56">
        <f>INDEX(Rate_Chart!$A$1:$AK$127,MATCH(Data!J314,Rate_Chart!$A$1:$A$127,0),MATCH(Data!K314,Rate_Chart!$A$1:$AK$1,0))</f>
        <v>40.867125900000005</v>
      </c>
      <c r="O314" s="57">
        <f t="shared" si="66"/>
        <v>367.80413310000006</v>
      </c>
      <c r="P314" s="58">
        <f t="shared" si="67"/>
        <v>417.01148877551026</v>
      </c>
      <c r="Q314" s="58">
        <f t="shared" si="68"/>
        <v>278.00765918367352</v>
      </c>
      <c r="R314" s="66">
        <f t="shared" si="62"/>
        <v>6.4365723292500014</v>
      </c>
      <c r="S314" s="64">
        <f t="shared" si="69"/>
        <v>33.75</v>
      </c>
      <c r="T314" s="66">
        <f t="shared" si="70"/>
        <v>407.99070542925006</v>
      </c>
      <c r="U314" s="68">
        <f t="shared" si="71"/>
        <v>45.332300603250005</v>
      </c>
      <c r="V314" s="68">
        <f t="shared" si="72"/>
        <v>462.57449595153065</v>
      </c>
      <c r="W314" s="68">
        <f t="shared" si="73"/>
        <v>308.38299730102045</v>
      </c>
    </row>
    <row r="315" spans="1:23" x14ac:dyDescent="0.25">
      <c r="A315" s="169" t="s">
        <v>894</v>
      </c>
      <c r="B315" s="61" t="s">
        <v>396</v>
      </c>
      <c r="C315" s="61" t="s">
        <v>591</v>
      </c>
      <c r="D315" s="61" t="s">
        <v>594</v>
      </c>
      <c r="E315" s="1" t="s">
        <v>349</v>
      </c>
      <c r="F315" s="62" t="str">
        <f t="shared" si="63"/>
        <v>60610</v>
      </c>
      <c r="G315" s="1">
        <v>10620024</v>
      </c>
      <c r="H315" s="1" t="s">
        <v>388</v>
      </c>
      <c r="I315" s="61">
        <v>9</v>
      </c>
      <c r="J315" s="61">
        <v>3.1</v>
      </c>
      <c r="K315" s="61">
        <v>8</v>
      </c>
      <c r="L315" s="69">
        <f t="shared" si="64"/>
        <v>0.27900000000000003</v>
      </c>
      <c r="M315" s="69">
        <f t="shared" si="65"/>
        <v>0.72</v>
      </c>
      <c r="N315" s="56">
        <f>INDEX(Rate_Chart!$A$1:$AK$127,MATCH(Data!J315,Rate_Chart!$A$1:$A$127,0),MATCH(Data!K315,Rate_Chart!$A$1:$AK$1,0))</f>
        <v>35.168112000000008</v>
      </c>
      <c r="O315" s="57">
        <f t="shared" si="66"/>
        <v>316.51300800000007</v>
      </c>
      <c r="P315" s="58">
        <f t="shared" si="67"/>
        <v>417.01318577075102</v>
      </c>
      <c r="Q315" s="58">
        <f t="shared" si="68"/>
        <v>278.00879051383401</v>
      </c>
      <c r="R315" s="66">
        <f t="shared" si="62"/>
        <v>5.5389776400000015</v>
      </c>
      <c r="S315" s="64">
        <f t="shared" si="69"/>
        <v>33.75</v>
      </c>
      <c r="T315" s="66">
        <f t="shared" si="70"/>
        <v>355.80198564000005</v>
      </c>
      <c r="U315" s="68">
        <f t="shared" si="71"/>
        <v>39.533553960000006</v>
      </c>
      <c r="V315" s="68">
        <f t="shared" si="72"/>
        <v>468.77731968379447</v>
      </c>
      <c r="W315" s="68">
        <f t="shared" si="73"/>
        <v>312.51821312252963</v>
      </c>
    </row>
    <row r="316" spans="1:23" x14ac:dyDescent="0.25">
      <c r="A316" s="169" t="s">
        <v>894</v>
      </c>
      <c r="B316" s="61" t="s">
        <v>397</v>
      </c>
      <c r="C316" s="61" t="s">
        <v>591</v>
      </c>
      <c r="D316" s="61" t="s">
        <v>594</v>
      </c>
      <c r="E316" s="1" t="s">
        <v>349</v>
      </c>
      <c r="F316" s="62" t="str">
        <f t="shared" si="63"/>
        <v>60610</v>
      </c>
      <c r="G316" s="1">
        <v>10620024</v>
      </c>
      <c r="H316" s="1" t="s">
        <v>388</v>
      </c>
      <c r="I316" s="61">
        <v>8</v>
      </c>
      <c r="J316" s="61">
        <v>3</v>
      </c>
      <c r="K316" s="61">
        <v>8</v>
      </c>
      <c r="L316" s="69">
        <f t="shared" si="64"/>
        <v>0.24</v>
      </c>
      <c r="M316" s="69">
        <f t="shared" si="65"/>
        <v>0.64</v>
      </c>
      <c r="N316" s="56">
        <f>INDEX(Rate_Chart!$A$1:$AK$127,MATCH(Data!J316,Rate_Chart!$A$1:$A$127,0),MATCH(Data!K316,Rate_Chart!$A$1:$AK$1,0))</f>
        <v>34.751112000000006</v>
      </c>
      <c r="O316" s="57">
        <f t="shared" si="66"/>
        <v>278.00889600000005</v>
      </c>
      <c r="P316" s="58">
        <f t="shared" si="67"/>
        <v>417.01334400000002</v>
      </c>
      <c r="Q316" s="58">
        <f t="shared" si="68"/>
        <v>278.00889599999999</v>
      </c>
      <c r="R316" s="66">
        <f t="shared" si="62"/>
        <v>4.8651556800000018</v>
      </c>
      <c r="S316" s="64">
        <f t="shared" si="69"/>
        <v>30</v>
      </c>
      <c r="T316" s="66">
        <f t="shared" si="70"/>
        <v>312.87405168000004</v>
      </c>
      <c r="U316" s="68">
        <f t="shared" si="71"/>
        <v>39.109256460000005</v>
      </c>
      <c r="V316" s="68">
        <f t="shared" si="72"/>
        <v>469.31107752000003</v>
      </c>
      <c r="W316" s="68">
        <f t="shared" si="73"/>
        <v>312.87405168000004</v>
      </c>
    </row>
    <row r="317" spans="1:23" x14ac:dyDescent="0.25">
      <c r="A317" s="169" t="s">
        <v>891</v>
      </c>
      <c r="B317" s="61" t="s">
        <v>397</v>
      </c>
      <c r="C317" s="61" t="s">
        <v>591</v>
      </c>
      <c r="D317" s="61" t="s">
        <v>594</v>
      </c>
      <c r="E317" s="1" t="s">
        <v>895</v>
      </c>
      <c r="F317" s="62" t="str">
        <f t="shared" si="63"/>
        <v>60611</v>
      </c>
      <c r="G317" s="1">
        <v>10620028</v>
      </c>
      <c r="H317" s="1" t="s">
        <v>388</v>
      </c>
      <c r="I317" s="61">
        <v>25</v>
      </c>
      <c r="J317" s="61">
        <v>4.7</v>
      </c>
      <c r="K317" s="61">
        <v>8.1999999999999993</v>
      </c>
      <c r="L317" s="69">
        <f t="shared" si="64"/>
        <v>1.175</v>
      </c>
      <c r="M317" s="69">
        <f t="shared" si="65"/>
        <v>2.0499999999999998</v>
      </c>
      <c r="N317" s="56">
        <f>INDEX(Rate_Chart!$A$1:$AK$127,MATCH(Data!J317,Rate_Chart!$A$1:$A$127,0),MATCH(Data!K317,Rate_Chart!$A$1:$AK$1,0))</f>
        <v>42.3961398</v>
      </c>
      <c r="O317" s="57">
        <f t="shared" si="66"/>
        <v>1059.903495</v>
      </c>
      <c r="P317" s="58">
        <f t="shared" si="67"/>
        <v>417.01121114754102</v>
      </c>
      <c r="Q317" s="58">
        <f t="shared" si="68"/>
        <v>278.00747409836066</v>
      </c>
      <c r="R317" s="66">
        <f t="shared" si="62"/>
        <v>18.548311162500003</v>
      </c>
      <c r="S317" s="64">
        <f t="shared" si="69"/>
        <v>93.75</v>
      </c>
      <c r="T317" s="66">
        <f t="shared" si="70"/>
        <v>1172.2018061624999</v>
      </c>
      <c r="U317" s="68">
        <f t="shared" si="71"/>
        <v>46.888072246499995</v>
      </c>
      <c r="V317" s="68">
        <f t="shared" si="72"/>
        <v>461.19415324426228</v>
      </c>
      <c r="W317" s="68">
        <f t="shared" si="73"/>
        <v>307.46276882950821</v>
      </c>
    </row>
    <row r="318" spans="1:23" x14ac:dyDescent="0.25">
      <c r="A318" s="169" t="s">
        <v>888</v>
      </c>
      <c r="B318" s="61" t="s">
        <v>396</v>
      </c>
      <c r="C318" s="61" t="s">
        <v>591</v>
      </c>
      <c r="D318" s="61" t="s">
        <v>594</v>
      </c>
      <c r="E318" s="1" t="s">
        <v>350</v>
      </c>
      <c r="F318" s="62" t="str">
        <f t="shared" si="63"/>
        <v>60612</v>
      </c>
      <c r="G318" s="1">
        <v>10620025</v>
      </c>
      <c r="H318" s="1" t="s">
        <v>388</v>
      </c>
      <c r="I318" s="61">
        <v>35</v>
      </c>
      <c r="J318" s="61">
        <v>4.4000000000000004</v>
      </c>
      <c r="K318" s="61">
        <v>8.1</v>
      </c>
      <c r="L318" s="69">
        <f t="shared" si="64"/>
        <v>1.54</v>
      </c>
      <c r="M318" s="69">
        <f t="shared" si="65"/>
        <v>2.835</v>
      </c>
      <c r="N318" s="56">
        <f>INDEX(Rate_Chart!$A$1:$AK$127,MATCH(Data!J318,Rate_Chart!$A$1:$A$127,0),MATCH(Data!K318,Rate_Chart!$A$1:$AK$1,0))</f>
        <v>40.867125900000005</v>
      </c>
      <c r="O318" s="57">
        <f t="shared" si="66"/>
        <v>1430.3494065000002</v>
      </c>
      <c r="P318" s="58">
        <f t="shared" si="67"/>
        <v>417.01148877551026</v>
      </c>
      <c r="Q318" s="58">
        <f t="shared" si="68"/>
        <v>278.00765918367352</v>
      </c>
      <c r="R318" s="66">
        <f t="shared" si="62"/>
        <v>25.031114613750006</v>
      </c>
      <c r="S318" s="64">
        <f t="shared" si="69"/>
        <v>131.25</v>
      </c>
      <c r="T318" s="66">
        <f t="shared" si="70"/>
        <v>1586.6305211137501</v>
      </c>
      <c r="U318" s="68">
        <f t="shared" si="71"/>
        <v>45.332300603250005</v>
      </c>
      <c r="V318" s="68">
        <f t="shared" si="72"/>
        <v>462.57449595153065</v>
      </c>
      <c r="W318" s="68">
        <f t="shared" si="73"/>
        <v>308.38299730102045</v>
      </c>
    </row>
    <row r="319" spans="1:23" x14ac:dyDescent="0.25">
      <c r="A319" s="169" t="s">
        <v>888</v>
      </c>
      <c r="B319" s="61" t="s">
        <v>397</v>
      </c>
      <c r="C319" s="61" t="s">
        <v>591</v>
      </c>
      <c r="D319" s="61" t="s">
        <v>594</v>
      </c>
      <c r="E319" s="1" t="s">
        <v>350</v>
      </c>
      <c r="F319" s="62" t="str">
        <f t="shared" si="63"/>
        <v>60612</v>
      </c>
      <c r="G319" s="1">
        <v>10620025</v>
      </c>
      <c r="H319" s="1" t="s">
        <v>388</v>
      </c>
      <c r="I319" s="61">
        <v>23</v>
      </c>
      <c r="J319" s="61">
        <v>4.8</v>
      </c>
      <c r="K319" s="61">
        <v>8</v>
      </c>
      <c r="L319" s="69">
        <f t="shared" si="64"/>
        <v>1.1039999999999999</v>
      </c>
      <c r="M319" s="69">
        <f t="shared" si="65"/>
        <v>1.84</v>
      </c>
      <c r="N319" s="56">
        <f>INDEX(Rate_Chart!$A$1:$AK$127,MATCH(Data!J319,Rate_Chart!$A$1:$A$127,0),MATCH(Data!K319,Rate_Chart!$A$1:$AK$1,0))</f>
        <v>42.257112000000006</v>
      </c>
      <c r="O319" s="57">
        <f t="shared" si="66"/>
        <v>971.91357600000015</v>
      </c>
      <c r="P319" s="58">
        <f t="shared" si="67"/>
        <v>417.01097368421063</v>
      </c>
      <c r="Q319" s="58">
        <f t="shared" si="68"/>
        <v>278.00731578947375</v>
      </c>
      <c r="R319" s="66">
        <f t="shared" si="62"/>
        <v>17.008487580000004</v>
      </c>
      <c r="S319" s="64">
        <f t="shared" si="69"/>
        <v>86.25</v>
      </c>
      <c r="T319" s="66">
        <f t="shared" si="70"/>
        <v>1075.1720635800002</v>
      </c>
      <c r="U319" s="68">
        <f t="shared" si="71"/>
        <v>46.746611460000011</v>
      </c>
      <c r="V319" s="68">
        <f t="shared" si="72"/>
        <v>461.31524467105277</v>
      </c>
      <c r="W319" s="68">
        <f t="shared" si="73"/>
        <v>307.54349644736851</v>
      </c>
    </row>
    <row r="320" spans="1:23" x14ac:dyDescent="0.25">
      <c r="A320" s="169" t="s">
        <v>889</v>
      </c>
      <c r="B320" s="61" t="s">
        <v>396</v>
      </c>
      <c r="C320" s="61" t="s">
        <v>591</v>
      </c>
      <c r="D320" s="61" t="s">
        <v>594</v>
      </c>
      <c r="E320" s="1" t="s">
        <v>350</v>
      </c>
      <c r="F320" s="62" t="str">
        <f t="shared" si="63"/>
        <v>60612</v>
      </c>
      <c r="G320" s="1">
        <v>10620025</v>
      </c>
      <c r="H320" s="1" t="s">
        <v>388</v>
      </c>
      <c r="I320" s="61">
        <v>34</v>
      </c>
      <c r="J320" s="61">
        <v>4.4000000000000004</v>
      </c>
      <c r="K320" s="61">
        <v>8.1</v>
      </c>
      <c r="L320" s="69">
        <f t="shared" si="64"/>
        <v>1.4960000000000002</v>
      </c>
      <c r="M320" s="69">
        <f t="shared" si="65"/>
        <v>2.7539999999999996</v>
      </c>
      <c r="N320" s="56">
        <f>INDEX(Rate_Chart!$A$1:$AK$127,MATCH(Data!J320,Rate_Chart!$A$1:$A$127,0),MATCH(Data!K320,Rate_Chart!$A$1:$AK$1,0))</f>
        <v>40.867125900000005</v>
      </c>
      <c r="O320" s="57">
        <f t="shared" si="66"/>
        <v>1389.4822806000002</v>
      </c>
      <c r="P320" s="58">
        <f t="shared" si="67"/>
        <v>417.01148877551026</v>
      </c>
      <c r="Q320" s="58">
        <f t="shared" si="68"/>
        <v>278.00765918367352</v>
      </c>
      <c r="R320" s="66">
        <f t="shared" si="62"/>
        <v>24.315939910500006</v>
      </c>
      <c r="S320" s="64">
        <f t="shared" si="69"/>
        <v>127.5</v>
      </c>
      <c r="T320" s="66">
        <f t="shared" si="70"/>
        <v>1541.2982205105002</v>
      </c>
      <c r="U320" s="68">
        <f t="shared" si="71"/>
        <v>45.332300603250005</v>
      </c>
      <c r="V320" s="68">
        <f t="shared" si="72"/>
        <v>462.57449595153065</v>
      </c>
      <c r="W320" s="68">
        <f t="shared" si="73"/>
        <v>308.38299730102045</v>
      </c>
    </row>
    <row r="321" spans="1:23" x14ac:dyDescent="0.25">
      <c r="A321" s="169" t="s">
        <v>889</v>
      </c>
      <c r="B321" s="61" t="s">
        <v>397</v>
      </c>
      <c r="C321" s="61" t="s">
        <v>591</v>
      </c>
      <c r="D321" s="61" t="s">
        <v>594</v>
      </c>
      <c r="E321" s="1" t="s">
        <v>350</v>
      </c>
      <c r="F321" s="62" t="str">
        <f t="shared" si="63"/>
        <v>60612</v>
      </c>
      <c r="G321" s="1">
        <v>10620025</v>
      </c>
      <c r="H321" s="1" t="s">
        <v>388</v>
      </c>
      <c r="I321" s="61">
        <v>31</v>
      </c>
      <c r="J321" s="61">
        <v>4</v>
      </c>
      <c r="K321" s="61">
        <v>8</v>
      </c>
      <c r="L321" s="69">
        <f t="shared" si="64"/>
        <v>1.24</v>
      </c>
      <c r="M321" s="69">
        <f t="shared" si="65"/>
        <v>2.48</v>
      </c>
      <c r="N321" s="56">
        <f>INDEX(Rate_Chart!$A$1:$AK$127,MATCH(Data!J321,Rate_Chart!$A$1:$A$127,0),MATCH(Data!K321,Rate_Chart!$A$1:$AK$1,0))</f>
        <v>38.921112000000008</v>
      </c>
      <c r="O321" s="57">
        <f t="shared" si="66"/>
        <v>1206.5544720000003</v>
      </c>
      <c r="P321" s="58">
        <f t="shared" si="67"/>
        <v>417.01191428571434</v>
      </c>
      <c r="Q321" s="58">
        <f t="shared" si="68"/>
        <v>278.00794285714289</v>
      </c>
      <c r="R321" s="66">
        <f t="shared" si="62"/>
        <v>21.114703260000006</v>
      </c>
      <c r="S321" s="64">
        <f t="shared" si="69"/>
        <v>116.25</v>
      </c>
      <c r="T321" s="66">
        <f t="shared" si="70"/>
        <v>1343.9191752600002</v>
      </c>
      <c r="U321" s="68">
        <f t="shared" si="71"/>
        <v>43.352231460000006</v>
      </c>
      <c r="V321" s="68">
        <f t="shared" si="72"/>
        <v>464.48819421428578</v>
      </c>
      <c r="W321" s="68">
        <f t="shared" si="73"/>
        <v>309.65879614285717</v>
      </c>
    </row>
    <row r="322" spans="1:23" x14ac:dyDescent="0.25">
      <c r="A322" s="169" t="s">
        <v>890</v>
      </c>
      <c r="B322" s="61" t="s">
        <v>396</v>
      </c>
      <c r="C322" s="61" t="s">
        <v>591</v>
      </c>
      <c r="D322" s="61" t="s">
        <v>594</v>
      </c>
      <c r="E322" s="1" t="s">
        <v>350</v>
      </c>
      <c r="F322" s="62" t="str">
        <f t="shared" si="63"/>
        <v>60612</v>
      </c>
      <c r="G322" s="1">
        <v>10620025</v>
      </c>
      <c r="H322" s="1" t="s">
        <v>388</v>
      </c>
      <c r="I322" s="61">
        <v>33</v>
      </c>
      <c r="J322" s="61">
        <v>4.5999999999999996</v>
      </c>
      <c r="K322" s="61">
        <v>8.1999999999999993</v>
      </c>
      <c r="L322" s="69">
        <f t="shared" si="64"/>
        <v>1.5179999999999998</v>
      </c>
      <c r="M322" s="69">
        <f t="shared" si="65"/>
        <v>2.7059999999999995</v>
      </c>
      <c r="N322" s="56">
        <f>INDEX(Rate_Chart!$A$1:$AK$127,MATCH(Data!J322,Rate_Chart!$A$1:$A$127,0),MATCH(Data!K322,Rate_Chart!$A$1:$AK$1,0))</f>
        <v>41.979139799999999</v>
      </c>
      <c r="O322" s="57">
        <f t="shared" si="66"/>
        <v>1385.3116133999999</v>
      </c>
      <c r="P322" s="58">
        <f t="shared" si="67"/>
        <v>417.01132251655633</v>
      </c>
      <c r="Q322" s="58">
        <f t="shared" si="68"/>
        <v>278.00754834437089</v>
      </c>
      <c r="R322" s="66">
        <f t="shared" si="62"/>
        <v>24.2429532345</v>
      </c>
      <c r="S322" s="64">
        <f t="shared" si="69"/>
        <v>123.75</v>
      </c>
      <c r="T322" s="66">
        <f t="shared" si="70"/>
        <v>1533.3045666344999</v>
      </c>
      <c r="U322" s="68">
        <f t="shared" si="71"/>
        <v>46.4637747465</v>
      </c>
      <c r="V322" s="68">
        <f t="shared" si="72"/>
        <v>461.56067628973517</v>
      </c>
      <c r="W322" s="68">
        <f t="shared" si="73"/>
        <v>307.70711752649009</v>
      </c>
    </row>
    <row r="323" spans="1:23" x14ac:dyDescent="0.25">
      <c r="A323" s="169" t="s">
        <v>890</v>
      </c>
      <c r="B323" s="61" t="s">
        <v>397</v>
      </c>
      <c r="C323" s="61" t="s">
        <v>591</v>
      </c>
      <c r="D323" s="61" t="s">
        <v>594</v>
      </c>
      <c r="E323" s="1" t="s">
        <v>350</v>
      </c>
      <c r="F323" s="62" t="str">
        <f t="shared" si="63"/>
        <v>60612</v>
      </c>
      <c r="G323" s="1">
        <v>10620025</v>
      </c>
      <c r="H323" s="1" t="s">
        <v>388</v>
      </c>
      <c r="I323" s="61">
        <v>23</v>
      </c>
      <c r="J323" s="61">
        <v>3.4</v>
      </c>
      <c r="K323" s="61">
        <v>8</v>
      </c>
      <c r="L323" s="69">
        <f t="shared" si="64"/>
        <v>0.78200000000000003</v>
      </c>
      <c r="M323" s="69">
        <f t="shared" si="65"/>
        <v>1.84</v>
      </c>
      <c r="N323" s="56">
        <f>INDEX(Rate_Chart!$A$1:$AK$127,MATCH(Data!J323,Rate_Chart!$A$1:$A$127,0),MATCH(Data!K323,Rate_Chart!$A$1:$AK$1,0))</f>
        <v>36.419112000000005</v>
      </c>
      <c r="O323" s="57">
        <f t="shared" si="66"/>
        <v>837.63957600000015</v>
      </c>
      <c r="P323" s="58">
        <f t="shared" si="67"/>
        <v>417.01273282442747</v>
      </c>
      <c r="Q323" s="58">
        <f t="shared" si="68"/>
        <v>278.00848854961833</v>
      </c>
      <c r="R323" s="66">
        <f t="shared" si="62"/>
        <v>14.658692580000004</v>
      </c>
      <c r="S323" s="64">
        <f t="shared" si="69"/>
        <v>86.25</v>
      </c>
      <c r="T323" s="66">
        <f t="shared" si="70"/>
        <v>938.54826858000013</v>
      </c>
      <c r="U323" s="68">
        <f t="shared" si="71"/>
        <v>40.806446460000004</v>
      </c>
      <c r="V323" s="68">
        <f t="shared" si="72"/>
        <v>467.24938694656487</v>
      </c>
      <c r="W323" s="68">
        <f t="shared" si="73"/>
        <v>311.49959129770991</v>
      </c>
    </row>
    <row r="324" spans="1:23" x14ac:dyDescent="0.25">
      <c r="A324" s="169" t="s">
        <v>891</v>
      </c>
      <c r="B324" s="61" t="s">
        <v>396</v>
      </c>
      <c r="C324" s="61" t="s">
        <v>591</v>
      </c>
      <c r="D324" s="61" t="s">
        <v>594</v>
      </c>
      <c r="E324" s="1" t="s">
        <v>350</v>
      </c>
      <c r="F324" s="62" t="str">
        <f t="shared" si="63"/>
        <v>60612</v>
      </c>
      <c r="G324" s="1">
        <v>10620025</v>
      </c>
      <c r="H324" s="1" t="s">
        <v>388</v>
      </c>
      <c r="I324" s="61">
        <v>30</v>
      </c>
      <c r="J324" s="61">
        <v>4.2</v>
      </c>
      <c r="K324" s="61">
        <v>8.1</v>
      </c>
      <c r="L324" s="69">
        <f t="shared" si="64"/>
        <v>1.26</v>
      </c>
      <c r="M324" s="69">
        <f t="shared" si="65"/>
        <v>2.4300000000000002</v>
      </c>
      <c r="N324" s="56">
        <f>INDEX(Rate_Chart!$A$1:$AK$127,MATCH(Data!J324,Rate_Chart!$A$1:$A$127,0),MATCH(Data!K324,Rate_Chart!$A$1:$AK$1,0))</f>
        <v>40.033125900000002</v>
      </c>
      <c r="O324" s="57">
        <f t="shared" si="66"/>
        <v>1200.9937770000001</v>
      </c>
      <c r="P324" s="58">
        <f t="shared" si="67"/>
        <v>417.01172812499999</v>
      </c>
      <c r="Q324" s="58">
        <f t="shared" si="68"/>
        <v>278.00781875000001</v>
      </c>
      <c r="R324" s="66">
        <f t="shared" ref="R324:R387" si="74">O324*1.75%</f>
        <v>21.017391097500003</v>
      </c>
      <c r="S324" s="64">
        <f t="shared" si="69"/>
        <v>112.5</v>
      </c>
      <c r="T324" s="66">
        <f t="shared" si="70"/>
        <v>1334.5111680975001</v>
      </c>
      <c r="U324" s="68">
        <f t="shared" si="71"/>
        <v>44.483705603250002</v>
      </c>
      <c r="V324" s="68">
        <f t="shared" si="72"/>
        <v>463.37193336718752</v>
      </c>
      <c r="W324" s="68">
        <f t="shared" si="73"/>
        <v>308.9146222447917</v>
      </c>
    </row>
    <row r="325" spans="1:23" x14ac:dyDescent="0.25">
      <c r="A325" s="169" t="s">
        <v>891</v>
      </c>
      <c r="B325" s="61" t="s">
        <v>397</v>
      </c>
      <c r="C325" s="61" t="s">
        <v>591</v>
      </c>
      <c r="D325" s="61" t="s">
        <v>594</v>
      </c>
      <c r="E325" s="1" t="s">
        <v>350</v>
      </c>
      <c r="F325" s="62" t="str">
        <f t="shared" ref="F325:F388" si="75">MID(E325,2,5)</f>
        <v>60612</v>
      </c>
      <c r="G325" s="1">
        <v>10620025</v>
      </c>
      <c r="H325" s="1" t="s">
        <v>388</v>
      </c>
      <c r="I325" s="61">
        <v>17</v>
      </c>
      <c r="J325" s="61">
        <v>4.4000000000000004</v>
      </c>
      <c r="K325" s="61">
        <v>8.1</v>
      </c>
      <c r="L325" s="69">
        <f t="shared" si="64"/>
        <v>0.74800000000000011</v>
      </c>
      <c r="M325" s="69">
        <f t="shared" si="65"/>
        <v>1.3769999999999998</v>
      </c>
      <c r="N325" s="56">
        <f>INDEX(Rate_Chart!$A$1:$AK$127,MATCH(Data!J325,Rate_Chart!$A$1:$A$127,0),MATCH(Data!K325,Rate_Chart!$A$1:$AK$1,0))</f>
        <v>40.867125900000005</v>
      </c>
      <c r="O325" s="57">
        <f t="shared" si="66"/>
        <v>694.7411403000001</v>
      </c>
      <c r="P325" s="58">
        <f t="shared" si="67"/>
        <v>417.01148877551026</v>
      </c>
      <c r="Q325" s="58">
        <f t="shared" si="68"/>
        <v>278.00765918367352</v>
      </c>
      <c r="R325" s="66">
        <f t="shared" si="74"/>
        <v>12.157969955250003</v>
      </c>
      <c r="S325" s="64">
        <f t="shared" si="69"/>
        <v>63.75</v>
      </c>
      <c r="T325" s="66">
        <f t="shared" si="70"/>
        <v>770.64911025525009</v>
      </c>
      <c r="U325" s="68">
        <f t="shared" si="71"/>
        <v>45.332300603250005</v>
      </c>
      <c r="V325" s="68">
        <f t="shared" si="72"/>
        <v>462.57449595153065</v>
      </c>
      <c r="W325" s="68">
        <f t="shared" si="73"/>
        <v>308.38299730102045</v>
      </c>
    </row>
    <row r="326" spans="1:23" x14ac:dyDescent="0.25">
      <c r="A326" s="169" t="s">
        <v>892</v>
      </c>
      <c r="B326" s="61" t="s">
        <v>396</v>
      </c>
      <c r="C326" s="61" t="s">
        <v>591</v>
      </c>
      <c r="D326" s="61" t="s">
        <v>594</v>
      </c>
      <c r="E326" s="1" t="s">
        <v>350</v>
      </c>
      <c r="F326" s="62" t="str">
        <f t="shared" si="75"/>
        <v>60612</v>
      </c>
      <c r="G326" s="1">
        <v>10620025</v>
      </c>
      <c r="H326" s="1" t="s">
        <v>388</v>
      </c>
      <c r="I326" s="61">
        <v>39</v>
      </c>
      <c r="J326" s="61">
        <v>5.0999999999999996</v>
      </c>
      <c r="K326" s="61">
        <v>8.5</v>
      </c>
      <c r="L326" s="69">
        <f t="shared" si="64"/>
        <v>1.9889999999999999</v>
      </c>
      <c r="M326" s="69">
        <f t="shared" si="65"/>
        <v>3.3149999999999999</v>
      </c>
      <c r="N326" s="56">
        <f>INDEX(Rate_Chart!$A$1:$AK$127,MATCH(Data!J326,Rate_Chart!$A$1:$A$127,0),MATCH(Data!K326,Rate_Chart!$A$1:$AK$1,0))</f>
        <v>44.898181500000007</v>
      </c>
      <c r="O326" s="57">
        <f t="shared" si="66"/>
        <v>1751.0290785000002</v>
      </c>
      <c r="P326" s="58">
        <f t="shared" si="67"/>
        <v>417.01097368421063</v>
      </c>
      <c r="Q326" s="58">
        <f t="shared" si="68"/>
        <v>278.00731578947375</v>
      </c>
      <c r="R326" s="66">
        <f t="shared" si="74"/>
        <v>30.643008873750006</v>
      </c>
      <c r="S326" s="64">
        <f t="shared" si="69"/>
        <v>146.25</v>
      </c>
      <c r="T326" s="66">
        <f t="shared" si="70"/>
        <v>1927.9220873737502</v>
      </c>
      <c r="U326" s="68">
        <f t="shared" si="71"/>
        <v>49.433899676250007</v>
      </c>
      <c r="V326" s="68">
        <f t="shared" si="72"/>
        <v>459.13838708591339</v>
      </c>
      <c r="W326" s="68">
        <f t="shared" si="73"/>
        <v>306.09225805727561</v>
      </c>
    </row>
    <row r="327" spans="1:23" x14ac:dyDescent="0.25">
      <c r="A327" s="169" t="s">
        <v>892</v>
      </c>
      <c r="B327" s="61" t="s">
        <v>397</v>
      </c>
      <c r="C327" s="61" t="s">
        <v>591</v>
      </c>
      <c r="D327" s="61" t="s">
        <v>594</v>
      </c>
      <c r="E327" s="1" t="s">
        <v>350</v>
      </c>
      <c r="F327" s="62" t="str">
        <f t="shared" si="75"/>
        <v>60612</v>
      </c>
      <c r="G327" s="1">
        <v>10620025</v>
      </c>
      <c r="H327" s="1" t="s">
        <v>388</v>
      </c>
      <c r="I327" s="61">
        <v>24</v>
      </c>
      <c r="J327" s="61">
        <v>4</v>
      </c>
      <c r="K327" s="61">
        <v>8</v>
      </c>
      <c r="L327" s="69">
        <f t="shared" si="64"/>
        <v>0.96</v>
      </c>
      <c r="M327" s="69">
        <f t="shared" si="65"/>
        <v>1.92</v>
      </c>
      <c r="N327" s="56">
        <f>INDEX(Rate_Chart!$A$1:$AK$127,MATCH(Data!J327,Rate_Chart!$A$1:$A$127,0),MATCH(Data!K327,Rate_Chart!$A$1:$AK$1,0))</f>
        <v>38.921112000000008</v>
      </c>
      <c r="O327" s="57">
        <f t="shared" si="66"/>
        <v>934.10668800000019</v>
      </c>
      <c r="P327" s="58">
        <f t="shared" si="67"/>
        <v>417.01191428571434</v>
      </c>
      <c r="Q327" s="58">
        <f t="shared" si="68"/>
        <v>278.00794285714289</v>
      </c>
      <c r="R327" s="66">
        <f t="shared" si="74"/>
        <v>16.346867040000006</v>
      </c>
      <c r="S327" s="64">
        <f t="shared" si="69"/>
        <v>90</v>
      </c>
      <c r="T327" s="66">
        <f t="shared" si="70"/>
        <v>1040.4535550400001</v>
      </c>
      <c r="U327" s="68">
        <f t="shared" si="71"/>
        <v>43.352231460000006</v>
      </c>
      <c r="V327" s="68">
        <f t="shared" si="72"/>
        <v>464.48819421428578</v>
      </c>
      <c r="W327" s="68">
        <f t="shared" si="73"/>
        <v>309.65879614285717</v>
      </c>
    </row>
    <row r="328" spans="1:23" x14ac:dyDescent="0.25">
      <c r="A328" s="169" t="s">
        <v>893</v>
      </c>
      <c r="B328" s="61" t="s">
        <v>396</v>
      </c>
      <c r="C328" s="61" t="s">
        <v>591</v>
      </c>
      <c r="D328" s="61" t="s">
        <v>594</v>
      </c>
      <c r="E328" s="1" t="s">
        <v>350</v>
      </c>
      <c r="F328" s="62" t="str">
        <f t="shared" si="75"/>
        <v>60612</v>
      </c>
      <c r="G328" s="1">
        <v>10620025</v>
      </c>
      <c r="H328" s="1" t="s">
        <v>388</v>
      </c>
      <c r="I328" s="61">
        <v>37</v>
      </c>
      <c r="J328" s="61">
        <v>5</v>
      </c>
      <c r="K328" s="61">
        <v>8.5</v>
      </c>
      <c r="L328" s="69">
        <f t="shared" si="64"/>
        <v>1.85</v>
      </c>
      <c r="M328" s="69">
        <f t="shared" si="65"/>
        <v>3.145</v>
      </c>
      <c r="N328" s="56">
        <f>INDEX(Rate_Chart!$A$1:$AK$127,MATCH(Data!J328,Rate_Chart!$A$1:$A$127,0),MATCH(Data!K328,Rate_Chart!$A$1:$AK$1,0))</f>
        <v>44.481181500000005</v>
      </c>
      <c r="O328" s="57">
        <f t="shared" si="66"/>
        <v>1645.8037155000002</v>
      </c>
      <c r="P328" s="58">
        <f t="shared" si="67"/>
        <v>417.01107656250002</v>
      </c>
      <c r="Q328" s="58">
        <f t="shared" si="68"/>
        <v>278.00738437500002</v>
      </c>
      <c r="R328" s="66">
        <f t="shared" si="74"/>
        <v>28.801565021250006</v>
      </c>
      <c r="S328" s="64">
        <f t="shared" si="69"/>
        <v>138.75</v>
      </c>
      <c r="T328" s="66">
        <f t="shared" si="70"/>
        <v>1813.3552805212503</v>
      </c>
      <c r="U328" s="68">
        <f t="shared" si="71"/>
        <v>49.009602176250006</v>
      </c>
      <c r="V328" s="68">
        <f t="shared" si="72"/>
        <v>459.46502040234378</v>
      </c>
      <c r="W328" s="68">
        <f t="shared" si="73"/>
        <v>306.3100136015625</v>
      </c>
    </row>
    <row r="329" spans="1:23" x14ac:dyDescent="0.25">
      <c r="A329" s="169" t="s">
        <v>893</v>
      </c>
      <c r="B329" s="61" t="s">
        <v>397</v>
      </c>
      <c r="C329" s="61" t="s">
        <v>591</v>
      </c>
      <c r="D329" s="61" t="s">
        <v>594</v>
      </c>
      <c r="E329" s="1" t="s">
        <v>350</v>
      </c>
      <c r="F329" s="62" t="str">
        <f t="shared" si="75"/>
        <v>60612</v>
      </c>
      <c r="G329" s="1">
        <v>10620025</v>
      </c>
      <c r="H329" s="1" t="s">
        <v>388</v>
      </c>
      <c r="I329" s="61">
        <v>27</v>
      </c>
      <c r="J329" s="61">
        <v>4.2</v>
      </c>
      <c r="K329" s="61">
        <v>8.1</v>
      </c>
      <c r="L329" s="69">
        <f t="shared" si="64"/>
        <v>1.1340000000000001</v>
      </c>
      <c r="M329" s="69">
        <f t="shared" si="65"/>
        <v>2.1869999999999998</v>
      </c>
      <c r="N329" s="56">
        <f>INDEX(Rate_Chart!$A$1:$AK$127,MATCH(Data!J329,Rate_Chart!$A$1:$A$127,0),MATCH(Data!K329,Rate_Chart!$A$1:$AK$1,0))</f>
        <v>40.033125900000002</v>
      </c>
      <c r="O329" s="57">
        <f t="shared" si="66"/>
        <v>1080.8943993</v>
      </c>
      <c r="P329" s="58">
        <f t="shared" si="67"/>
        <v>417.01172812499999</v>
      </c>
      <c r="Q329" s="58">
        <f t="shared" si="68"/>
        <v>278.00781875000001</v>
      </c>
      <c r="R329" s="66">
        <f t="shared" si="74"/>
        <v>18.915651987750003</v>
      </c>
      <c r="S329" s="64">
        <f t="shared" si="69"/>
        <v>101.25</v>
      </c>
      <c r="T329" s="66">
        <f t="shared" si="70"/>
        <v>1201.06005128775</v>
      </c>
      <c r="U329" s="68">
        <f t="shared" si="71"/>
        <v>44.483705603250002</v>
      </c>
      <c r="V329" s="68">
        <f t="shared" si="72"/>
        <v>463.37193336718752</v>
      </c>
      <c r="W329" s="68">
        <f t="shared" si="73"/>
        <v>308.9146222447917</v>
      </c>
    </row>
    <row r="330" spans="1:23" x14ac:dyDescent="0.25">
      <c r="A330" s="169" t="s">
        <v>894</v>
      </c>
      <c r="B330" s="61" t="s">
        <v>396</v>
      </c>
      <c r="C330" s="61" t="s">
        <v>591</v>
      </c>
      <c r="D330" s="61" t="s">
        <v>594</v>
      </c>
      <c r="E330" s="1" t="s">
        <v>350</v>
      </c>
      <c r="F330" s="62" t="str">
        <f t="shared" si="75"/>
        <v>60612</v>
      </c>
      <c r="G330" s="1">
        <v>10620025</v>
      </c>
      <c r="H330" s="1" t="s">
        <v>388</v>
      </c>
      <c r="I330" s="61">
        <v>33</v>
      </c>
      <c r="J330" s="61">
        <v>5.3</v>
      </c>
      <c r="K330" s="61">
        <v>8.5</v>
      </c>
      <c r="L330" s="69">
        <f t="shared" si="64"/>
        <v>1.7490000000000001</v>
      </c>
      <c r="M330" s="69">
        <f t="shared" si="65"/>
        <v>2.8050000000000002</v>
      </c>
      <c r="N330" s="56">
        <f>INDEX(Rate_Chart!$A$1:$AK$127,MATCH(Data!J330,Rate_Chart!$A$1:$A$127,0),MATCH(Data!K330,Rate_Chart!$A$1:$AK$1,0))</f>
        <v>45.732181500000003</v>
      </c>
      <c r="O330" s="57">
        <f t="shared" si="66"/>
        <v>1509.1619895000001</v>
      </c>
      <c r="P330" s="58">
        <f t="shared" si="67"/>
        <v>417.01077355623107</v>
      </c>
      <c r="Q330" s="58">
        <f t="shared" si="68"/>
        <v>278.00718237082071</v>
      </c>
      <c r="R330" s="66">
        <f t="shared" si="74"/>
        <v>26.410334816250003</v>
      </c>
      <c r="S330" s="64">
        <f t="shared" si="69"/>
        <v>123.75</v>
      </c>
      <c r="T330" s="66">
        <f t="shared" si="70"/>
        <v>1659.3223243162502</v>
      </c>
      <c r="U330" s="68">
        <f t="shared" si="71"/>
        <v>50.282494676250003</v>
      </c>
      <c r="V330" s="68">
        <f t="shared" si="72"/>
        <v>458.50299096884504</v>
      </c>
      <c r="W330" s="68">
        <f t="shared" si="73"/>
        <v>305.66866064589669</v>
      </c>
    </row>
    <row r="331" spans="1:23" x14ac:dyDescent="0.25">
      <c r="A331" s="169" t="s">
        <v>894</v>
      </c>
      <c r="B331" s="61" t="s">
        <v>397</v>
      </c>
      <c r="C331" s="61" t="s">
        <v>591</v>
      </c>
      <c r="D331" s="61" t="s">
        <v>594</v>
      </c>
      <c r="E331" s="1" t="s">
        <v>350</v>
      </c>
      <c r="F331" s="62" t="str">
        <f t="shared" si="75"/>
        <v>60612</v>
      </c>
      <c r="G331" s="1">
        <v>10620025</v>
      </c>
      <c r="H331" s="1" t="s">
        <v>388</v>
      </c>
      <c r="I331" s="61">
        <v>29</v>
      </c>
      <c r="J331" s="61">
        <v>3.6</v>
      </c>
      <c r="K331" s="61">
        <v>8</v>
      </c>
      <c r="L331" s="69">
        <f t="shared" si="64"/>
        <v>1.044</v>
      </c>
      <c r="M331" s="69">
        <f t="shared" si="65"/>
        <v>2.3199999999999998</v>
      </c>
      <c r="N331" s="56">
        <f>INDEX(Rate_Chart!$A$1:$AK$127,MATCH(Data!J331,Rate_Chart!$A$1:$A$127,0),MATCH(Data!K331,Rate_Chart!$A$1:$AK$1,0))</f>
        <v>37.253112000000009</v>
      </c>
      <c r="O331" s="57">
        <f t="shared" si="66"/>
        <v>1080.3402480000002</v>
      </c>
      <c r="P331" s="58">
        <f t="shared" si="67"/>
        <v>417.01244776119404</v>
      </c>
      <c r="Q331" s="58">
        <f t="shared" si="68"/>
        <v>278.00829850746271</v>
      </c>
      <c r="R331" s="66">
        <f t="shared" si="74"/>
        <v>18.905954340000005</v>
      </c>
      <c r="S331" s="64">
        <f t="shared" si="69"/>
        <v>108.75</v>
      </c>
      <c r="T331" s="66">
        <f t="shared" si="70"/>
        <v>1207.9962023400003</v>
      </c>
      <c r="U331" s="68">
        <f t="shared" si="71"/>
        <v>41.655041460000014</v>
      </c>
      <c r="V331" s="68">
        <f t="shared" si="72"/>
        <v>466.2877775373135</v>
      </c>
      <c r="W331" s="68">
        <f t="shared" si="73"/>
        <v>310.85851835820898</v>
      </c>
    </row>
    <row r="332" spans="1:23" x14ac:dyDescent="0.25">
      <c r="A332" s="169" t="s">
        <v>888</v>
      </c>
      <c r="B332" s="61" t="s">
        <v>396</v>
      </c>
      <c r="C332" s="61" t="s">
        <v>591</v>
      </c>
      <c r="D332" s="61" t="s">
        <v>592</v>
      </c>
      <c r="E332" s="1" t="s">
        <v>351</v>
      </c>
      <c r="F332" s="62" t="str">
        <f t="shared" si="75"/>
        <v>60614</v>
      </c>
      <c r="G332" s="1">
        <v>10620052</v>
      </c>
      <c r="H332" s="1" t="s">
        <v>387</v>
      </c>
      <c r="I332" s="61">
        <v>63</v>
      </c>
      <c r="J332" s="61">
        <v>6.8</v>
      </c>
      <c r="K332" s="61">
        <v>8.8000000000000007</v>
      </c>
      <c r="L332" s="69">
        <f t="shared" si="64"/>
        <v>4.2839999999999998</v>
      </c>
      <c r="M332" s="69">
        <f t="shared" si="65"/>
        <v>5.5440000000000005</v>
      </c>
      <c r="N332" s="56">
        <f>INDEX(Rate_Chart!$A$1:$AK$127,MATCH(Data!J332,Rate_Chart!$A$1:$A$127,0),MATCH(Data!K332,Rate_Chart!$A$1:$AK$1,0))</f>
        <v>56.212200000000003</v>
      </c>
      <c r="O332" s="57">
        <f t="shared" si="66"/>
        <v>3541.3686000000002</v>
      </c>
      <c r="P332" s="58">
        <f t="shared" si="67"/>
        <v>443.78052631578947</v>
      </c>
      <c r="Q332" s="58">
        <f t="shared" si="68"/>
        <v>295.8536842105263</v>
      </c>
      <c r="R332" s="66">
        <f t="shared" si="74"/>
        <v>61.973950500000008</v>
      </c>
      <c r="S332" s="64">
        <f t="shared" si="69"/>
        <v>236.25</v>
      </c>
      <c r="T332" s="66">
        <f t="shared" si="70"/>
        <v>3839.5925505000005</v>
      </c>
      <c r="U332" s="68">
        <f t="shared" si="71"/>
        <v>60.94591350000001</v>
      </c>
      <c r="V332" s="68">
        <f t="shared" si="72"/>
        <v>481.15194868421059</v>
      </c>
      <c r="W332" s="68">
        <f t="shared" si="73"/>
        <v>320.76796578947375</v>
      </c>
    </row>
    <row r="333" spans="1:23" x14ac:dyDescent="0.25">
      <c r="A333" s="169" t="s">
        <v>888</v>
      </c>
      <c r="B333" s="61" t="s">
        <v>396</v>
      </c>
      <c r="C333" s="61" t="s">
        <v>591</v>
      </c>
      <c r="D333" s="61" t="s">
        <v>592</v>
      </c>
      <c r="E333" s="1" t="s">
        <v>351</v>
      </c>
      <c r="F333" s="62" t="str">
        <f t="shared" si="75"/>
        <v>60614</v>
      </c>
      <c r="G333" s="1">
        <v>10620052</v>
      </c>
      <c r="H333" s="1" t="s">
        <v>388</v>
      </c>
      <c r="I333" s="61">
        <v>8</v>
      </c>
      <c r="J333" s="61">
        <v>3.4</v>
      </c>
      <c r="K333" s="61">
        <v>8.1999999999999993</v>
      </c>
      <c r="L333" s="69">
        <f t="shared" si="64"/>
        <v>0.27200000000000002</v>
      </c>
      <c r="M333" s="69">
        <f t="shared" si="65"/>
        <v>0.65599999999999992</v>
      </c>
      <c r="N333" s="56">
        <f>INDEX(Rate_Chart!$A$1:$AK$127,MATCH(Data!J333,Rate_Chart!$A$1:$A$127,0),MATCH(Data!K333,Rate_Chart!$A$1:$AK$1,0))</f>
        <v>36.975139800000001</v>
      </c>
      <c r="O333" s="57">
        <f t="shared" si="66"/>
        <v>295.80111840000001</v>
      </c>
      <c r="P333" s="58">
        <f t="shared" si="67"/>
        <v>417.01285488721805</v>
      </c>
      <c r="Q333" s="58">
        <f t="shared" si="68"/>
        <v>278.00856992481204</v>
      </c>
      <c r="R333" s="66">
        <f t="shared" si="74"/>
        <v>5.176519572000001</v>
      </c>
      <c r="S333" s="64">
        <f t="shared" si="69"/>
        <v>30</v>
      </c>
      <c r="T333" s="66">
        <f t="shared" si="70"/>
        <v>330.97763797200003</v>
      </c>
      <c r="U333" s="68">
        <f t="shared" si="71"/>
        <v>41.372204746500003</v>
      </c>
      <c r="V333" s="68">
        <f t="shared" si="72"/>
        <v>466.60381293045111</v>
      </c>
      <c r="W333" s="68">
        <f t="shared" si="73"/>
        <v>311.06920862030074</v>
      </c>
    </row>
    <row r="334" spans="1:23" x14ac:dyDescent="0.25">
      <c r="A334" s="169" t="s">
        <v>888</v>
      </c>
      <c r="B334" s="61" t="s">
        <v>397</v>
      </c>
      <c r="C334" s="61" t="s">
        <v>591</v>
      </c>
      <c r="D334" s="61" t="s">
        <v>592</v>
      </c>
      <c r="E334" s="1" t="s">
        <v>351</v>
      </c>
      <c r="F334" s="62" t="str">
        <f t="shared" si="75"/>
        <v>60614</v>
      </c>
      <c r="G334" s="1">
        <v>10620052</v>
      </c>
      <c r="H334" s="1" t="s">
        <v>387</v>
      </c>
      <c r="I334" s="61">
        <v>28</v>
      </c>
      <c r="J334" s="61">
        <v>6</v>
      </c>
      <c r="K334" s="61">
        <v>8.4</v>
      </c>
      <c r="L334" s="69">
        <f t="shared" si="64"/>
        <v>1.68</v>
      </c>
      <c r="M334" s="69">
        <f t="shared" si="65"/>
        <v>2.3520000000000003</v>
      </c>
      <c r="N334" s="56">
        <f>INDEX(Rate_Chart!$A$1:$AK$127,MATCH(Data!J334,Rate_Chart!$A$1:$A$127,0),MATCH(Data!K334,Rate_Chart!$A$1:$AK$1,0))</f>
        <v>48.597000000000001</v>
      </c>
      <c r="O334" s="57">
        <f t="shared" si="66"/>
        <v>1360.7160000000001</v>
      </c>
      <c r="P334" s="58">
        <f t="shared" si="67"/>
        <v>418.93965517241384</v>
      </c>
      <c r="Q334" s="58">
        <f t="shared" si="68"/>
        <v>279.29310344827587</v>
      </c>
      <c r="R334" s="66">
        <f t="shared" si="74"/>
        <v>23.812530000000006</v>
      </c>
      <c r="S334" s="64">
        <f t="shared" si="69"/>
        <v>105</v>
      </c>
      <c r="T334" s="66">
        <f t="shared" si="70"/>
        <v>1489.52853</v>
      </c>
      <c r="U334" s="68">
        <f t="shared" si="71"/>
        <v>53.197447500000003</v>
      </c>
      <c r="V334" s="68">
        <f t="shared" si="72"/>
        <v>458.59868534482763</v>
      </c>
      <c r="W334" s="68">
        <f t="shared" si="73"/>
        <v>305.73245689655175</v>
      </c>
    </row>
    <row r="335" spans="1:23" x14ac:dyDescent="0.25">
      <c r="A335" s="169" t="s">
        <v>888</v>
      </c>
      <c r="B335" s="61" t="s">
        <v>397</v>
      </c>
      <c r="C335" s="61" t="s">
        <v>591</v>
      </c>
      <c r="D335" s="61" t="s">
        <v>592</v>
      </c>
      <c r="E335" s="1" t="s">
        <v>351</v>
      </c>
      <c r="F335" s="62" t="str">
        <f t="shared" si="75"/>
        <v>60614</v>
      </c>
      <c r="G335" s="1">
        <v>10620052</v>
      </c>
      <c r="H335" s="1" t="s">
        <v>388</v>
      </c>
      <c r="I335" s="61">
        <v>73</v>
      </c>
      <c r="J335" s="61">
        <v>3</v>
      </c>
      <c r="K335" s="61">
        <v>8</v>
      </c>
      <c r="L335" s="69">
        <f t="shared" si="64"/>
        <v>2.19</v>
      </c>
      <c r="M335" s="69">
        <f t="shared" si="65"/>
        <v>5.84</v>
      </c>
      <c r="N335" s="56">
        <f>INDEX(Rate_Chart!$A$1:$AK$127,MATCH(Data!J335,Rate_Chart!$A$1:$A$127,0),MATCH(Data!K335,Rate_Chart!$A$1:$AK$1,0))</f>
        <v>34.751112000000006</v>
      </c>
      <c r="O335" s="57">
        <f t="shared" si="66"/>
        <v>2536.8311760000006</v>
      </c>
      <c r="P335" s="58">
        <f t="shared" si="67"/>
        <v>417.01334400000002</v>
      </c>
      <c r="Q335" s="58">
        <f t="shared" si="68"/>
        <v>278.00889599999999</v>
      </c>
      <c r="R335" s="66">
        <f t="shared" si="74"/>
        <v>44.394545580000013</v>
      </c>
      <c r="S335" s="64">
        <f t="shared" si="69"/>
        <v>273.75</v>
      </c>
      <c r="T335" s="66">
        <f t="shared" si="70"/>
        <v>2854.9757215800005</v>
      </c>
      <c r="U335" s="68">
        <f t="shared" si="71"/>
        <v>39.109256460000005</v>
      </c>
      <c r="V335" s="68">
        <f t="shared" si="72"/>
        <v>469.31107752000003</v>
      </c>
      <c r="W335" s="68">
        <f t="shared" si="73"/>
        <v>312.87405168000004</v>
      </c>
    </row>
    <row r="336" spans="1:23" x14ac:dyDescent="0.25">
      <c r="A336" s="169" t="s">
        <v>889</v>
      </c>
      <c r="B336" s="61" t="s">
        <v>396</v>
      </c>
      <c r="C336" s="61" t="s">
        <v>591</v>
      </c>
      <c r="D336" s="61" t="s">
        <v>592</v>
      </c>
      <c r="E336" s="1" t="s">
        <v>351</v>
      </c>
      <c r="F336" s="62" t="str">
        <f t="shared" si="75"/>
        <v>60614</v>
      </c>
      <c r="G336" s="1">
        <v>10620052</v>
      </c>
      <c r="H336" s="1" t="s">
        <v>387</v>
      </c>
      <c r="I336" s="61">
        <v>59</v>
      </c>
      <c r="J336" s="61">
        <v>6.7</v>
      </c>
      <c r="K336" s="61">
        <v>9</v>
      </c>
      <c r="L336" s="69">
        <f t="shared" si="64"/>
        <v>3.9530000000000003</v>
      </c>
      <c r="M336" s="69">
        <f t="shared" si="65"/>
        <v>5.31</v>
      </c>
      <c r="N336" s="56">
        <f>INDEX(Rate_Chart!$A$1:$AK$127,MATCH(Data!J336,Rate_Chart!$A$1:$A$127,0),MATCH(Data!K336,Rate_Chart!$A$1:$AK$1,0))</f>
        <v>55.945</v>
      </c>
      <c r="O336" s="57">
        <f t="shared" si="66"/>
        <v>3300.7550000000001</v>
      </c>
      <c r="P336" s="58">
        <f t="shared" si="67"/>
        <v>440.51181102362204</v>
      </c>
      <c r="Q336" s="58">
        <f t="shared" si="68"/>
        <v>293.67454068241472</v>
      </c>
      <c r="R336" s="66">
        <f t="shared" si="74"/>
        <v>57.763212500000009</v>
      </c>
      <c r="S336" s="64">
        <f t="shared" si="69"/>
        <v>221.25</v>
      </c>
      <c r="T336" s="66">
        <f t="shared" si="70"/>
        <v>3579.7682125000001</v>
      </c>
      <c r="U336" s="68">
        <f t="shared" si="71"/>
        <v>60.674037500000004</v>
      </c>
      <c r="V336" s="68">
        <f t="shared" si="72"/>
        <v>477.74832677165358</v>
      </c>
      <c r="W336" s="68">
        <f t="shared" si="73"/>
        <v>318.4988845144357</v>
      </c>
    </row>
    <row r="337" spans="1:23" x14ac:dyDescent="0.25">
      <c r="A337" s="169" t="s">
        <v>890</v>
      </c>
      <c r="B337" s="61" t="s">
        <v>396</v>
      </c>
      <c r="C337" s="61" t="s">
        <v>591</v>
      </c>
      <c r="D337" s="61" t="s">
        <v>592</v>
      </c>
      <c r="E337" s="1" t="s">
        <v>351</v>
      </c>
      <c r="F337" s="62" t="str">
        <f t="shared" si="75"/>
        <v>60614</v>
      </c>
      <c r="G337" s="1">
        <v>10620052</v>
      </c>
      <c r="H337" s="1" t="s">
        <v>387</v>
      </c>
      <c r="I337" s="61">
        <v>68</v>
      </c>
      <c r="J337" s="61">
        <v>6.2</v>
      </c>
      <c r="K337" s="61">
        <v>9</v>
      </c>
      <c r="L337" s="69">
        <f t="shared" si="64"/>
        <v>4.2160000000000002</v>
      </c>
      <c r="M337" s="69">
        <f t="shared" si="65"/>
        <v>6.12</v>
      </c>
      <c r="N337" s="56">
        <f>INDEX(Rate_Chart!$A$1:$AK$127,MATCH(Data!J337,Rate_Chart!$A$1:$A$127,0),MATCH(Data!K337,Rate_Chart!$A$1:$AK$1,0))</f>
        <v>51.77</v>
      </c>
      <c r="O337" s="57">
        <f t="shared" si="66"/>
        <v>3520.36</v>
      </c>
      <c r="P337" s="58">
        <f t="shared" si="67"/>
        <v>424.34426229508199</v>
      </c>
      <c r="Q337" s="58">
        <f t="shared" si="68"/>
        <v>282.89617486338801</v>
      </c>
      <c r="R337" s="66">
        <f t="shared" si="74"/>
        <v>61.606300000000012</v>
      </c>
      <c r="S337" s="64">
        <f t="shared" si="69"/>
        <v>255</v>
      </c>
      <c r="T337" s="66">
        <f t="shared" si="70"/>
        <v>3836.9663</v>
      </c>
      <c r="U337" s="68">
        <f t="shared" si="71"/>
        <v>56.425975000000001</v>
      </c>
      <c r="V337" s="68">
        <f t="shared" si="72"/>
        <v>462.50799180327868</v>
      </c>
      <c r="W337" s="68">
        <f t="shared" si="73"/>
        <v>308.33866120218579</v>
      </c>
    </row>
    <row r="338" spans="1:23" x14ac:dyDescent="0.25">
      <c r="A338" s="169" t="s">
        <v>890</v>
      </c>
      <c r="B338" s="61" t="s">
        <v>396</v>
      </c>
      <c r="C338" s="61" t="s">
        <v>591</v>
      </c>
      <c r="D338" s="61" t="s">
        <v>592</v>
      </c>
      <c r="E338" s="1" t="s">
        <v>351</v>
      </c>
      <c r="F338" s="62" t="str">
        <f t="shared" si="75"/>
        <v>60614</v>
      </c>
      <c r="G338" s="1">
        <v>10620052</v>
      </c>
      <c r="H338" s="1" t="s">
        <v>388</v>
      </c>
      <c r="I338" s="61">
        <v>15</v>
      </c>
      <c r="J338" s="61">
        <v>3</v>
      </c>
      <c r="K338" s="61">
        <v>8</v>
      </c>
      <c r="L338" s="69">
        <f t="shared" si="64"/>
        <v>0.45</v>
      </c>
      <c r="M338" s="69">
        <f t="shared" si="65"/>
        <v>1.2</v>
      </c>
      <c r="N338" s="56">
        <f>INDEX(Rate_Chart!$A$1:$AK$127,MATCH(Data!J338,Rate_Chart!$A$1:$A$127,0),MATCH(Data!K338,Rate_Chart!$A$1:$AK$1,0))</f>
        <v>34.751112000000006</v>
      </c>
      <c r="O338" s="57">
        <f t="shared" si="66"/>
        <v>521.26668000000006</v>
      </c>
      <c r="P338" s="58">
        <f t="shared" si="67"/>
        <v>417.01334400000002</v>
      </c>
      <c r="Q338" s="58">
        <f t="shared" si="68"/>
        <v>278.00889599999999</v>
      </c>
      <c r="R338" s="66">
        <f t="shared" si="74"/>
        <v>9.1221669000000016</v>
      </c>
      <c r="S338" s="64">
        <f t="shared" si="69"/>
        <v>56.25</v>
      </c>
      <c r="T338" s="66">
        <f t="shared" si="70"/>
        <v>586.63884690000009</v>
      </c>
      <c r="U338" s="68">
        <f t="shared" si="71"/>
        <v>39.109256460000005</v>
      </c>
      <c r="V338" s="68">
        <f t="shared" si="72"/>
        <v>469.31107752000003</v>
      </c>
      <c r="W338" s="68">
        <f t="shared" si="73"/>
        <v>312.87405168000004</v>
      </c>
    </row>
    <row r="339" spans="1:23" x14ac:dyDescent="0.25">
      <c r="A339" s="169" t="s">
        <v>890</v>
      </c>
      <c r="B339" s="61" t="s">
        <v>397</v>
      </c>
      <c r="C339" s="61" t="s">
        <v>591</v>
      </c>
      <c r="D339" s="61" t="s">
        <v>592</v>
      </c>
      <c r="E339" s="1" t="s">
        <v>351</v>
      </c>
      <c r="F339" s="62" t="str">
        <f t="shared" si="75"/>
        <v>60614</v>
      </c>
      <c r="G339" s="1">
        <v>10620052</v>
      </c>
      <c r="H339" s="1" t="s">
        <v>387</v>
      </c>
      <c r="I339" s="61">
        <v>33</v>
      </c>
      <c r="J339" s="61">
        <v>6.5</v>
      </c>
      <c r="K339" s="61">
        <v>8.4</v>
      </c>
      <c r="L339" s="69">
        <f t="shared" si="64"/>
        <v>2.145</v>
      </c>
      <c r="M339" s="69">
        <f t="shared" si="65"/>
        <v>2.7719999999999998</v>
      </c>
      <c r="N339" s="56">
        <f>INDEX(Rate_Chart!$A$1:$AK$127,MATCH(Data!J339,Rate_Chart!$A$1:$A$127,0),MATCH(Data!K339,Rate_Chart!$A$1:$AK$1,0))</f>
        <v>52.646749999999997</v>
      </c>
      <c r="O339" s="57">
        <f t="shared" si="66"/>
        <v>1737.3427499999998</v>
      </c>
      <c r="P339" s="58">
        <f t="shared" si="67"/>
        <v>435.09710743801651</v>
      </c>
      <c r="Q339" s="58">
        <f t="shared" si="68"/>
        <v>290.06473829201099</v>
      </c>
      <c r="R339" s="66">
        <f t="shared" si="74"/>
        <v>30.403498124999999</v>
      </c>
      <c r="S339" s="64">
        <f t="shared" si="69"/>
        <v>123.75</v>
      </c>
      <c r="T339" s="66">
        <f t="shared" si="70"/>
        <v>1891.4962481249997</v>
      </c>
      <c r="U339" s="68">
        <f t="shared" si="71"/>
        <v>57.318068124999989</v>
      </c>
      <c r="V339" s="68">
        <f t="shared" si="72"/>
        <v>473.70304235537185</v>
      </c>
      <c r="W339" s="68">
        <f t="shared" si="73"/>
        <v>315.80202823691457</v>
      </c>
    </row>
    <row r="340" spans="1:23" x14ac:dyDescent="0.25">
      <c r="A340" s="169" t="s">
        <v>890</v>
      </c>
      <c r="B340" s="61" t="s">
        <v>397</v>
      </c>
      <c r="C340" s="61" t="s">
        <v>591</v>
      </c>
      <c r="D340" s="61" t="s">
        <v>592</v>
      </c>
      <c r="E340" s="1" t="s">
        <v>351</v>
      </c>
      <c r="F340" s="62" t="str">
        <f t="shared" si="75"/>
        <v>60614</v>
      </c>
      <c r="G340" s="1">
        <v>10620052</v>
      </c>
      <c r="H340" s="1" t="s">
        <v>388</v>
      </c>
      <c r="I340" s="61">
        <v>80</v>
      </c>
      <c r="J340" s="61">
        <v>3</v>
      </c>
      <c r="K340" s="61">
        <v>8</v>
      </c>
      <c r="L340" s="69">
        <f t="shared" si="64"/>
        <v>2.4</v>
      </c>
      <c r="M340" s="69">
        <f t="shared" si="65"/>
        <v>6.4</v>
      </c>
      <c r="N340" s="56">
        <f>INDEX(Rate_Chart!$A$1:$AK$127,MATCH(Data!J340,Rate_Chart!$A$1:$A$127,0),MATCH(Data!K340,Rate_Chart!$A$1:$AK$1,0))</f>
        <v>34.751112000000006</v>
      </c>
      <c r="O340" s="57">
        <f t="shared" si="66"/>
        <v>2780.0889600000005</v>
      </c>
      <c r="P340" s="58">
        <f t="shared" si="67"/>
        <v>417.01334400000002</v>
      </c>
      <c r="Q340" s="58">
        <f t="shared" si="68"/>
        <v>278.00889599999999</v>
      </c>
      <c r="R340" s="66">
        <f t="shared" si="74"/>
        <v>48.651556800000016</v>
      </c>
      <c r="S340" s="64">
        <f t="shared" si="69"/>
        <v>300</v>
      </c>
      <c r="T340" s="66">
        <f t="shared" si="70"/>
        <v>3128.7405168000005</v>
      </c>
      <c r="U340" s="68">
        <f t="shared" si="71"/>
        <v>39.109256460000005</v>
      </c>
      <c r="V340" s="68">
        <f t="shared" si="72"/>
        <v>469.31107752000003</v>
      </c>
      <c r="W340" s="68">
        <f t="shared" si="73"/>
        <v>312.87405168000004</v>
      </c>
    </row>
    <row r="341" spans="1:23" x14ac:dyDescent="0.25">
      <c r="A341" s="169" t="s">
        <v>891</v>
      </c>
      <c r="B341" s="61" t="s">
        <v>396</v>
      </c>
      <c r="C341" s="61" t="s">
        <v>591</v>
      </c>
      <c r="D341" s="61" t="s">
        <v>592</v>
      </c>
      <c r="E341" s="1" t="s">
        <v>351</v>
      </c>
      <c r="F341" s="62" t="str">
        <f t="shared" si="75"/>
        <v>60614</v>
      </c>
      <c r="G341" s="1">
        <v>10620052</v>
      </c>
      <c r="H341" s="1" t="s">
        <v>387</v>
      </c>
      <c r="I341" s="61">
        <v>61</v>
      </c>
      <c r="J341" s="61">
        <v>6.9</v>
      </c>
      <c r="K341" s="61">
        <v>8.4</v>
      </c>
      <c r="L341" s="69">
        <f t="shared" si="64"/>
        <v>4.2090000000000005</v>
      </c>
      <c r="M341" s="69">
        <f t="shared" si="65"/>
        <v>5.1239999999999997</v>
      </c>
      <c r="N341" s="56">
        <f>INDEX(Rate_Chart!$A$1:$AK$127,MATCH(Data!J341,Rate_Chart!$A$1:$A$127,0),MATCH(Data!K341,Rate_Chart!$A$1:$AK$1,0))</f>
        <v>55.88655</v>
      </c>
      <c r="O341" s="57">
        <f t="shared" si="66"/>
        <v>3409.0795499999999</v>
      </c>
      <c r="P341" s="58">
        <f t="shared" si="67"/>
        <v>447.0924</v>
      </c>
      <c r="Q341" s="58">
        <f t="shared" si="68"/>
        <v>298.0616</v>
      </c>
      <c r="R341" s="66">
        <f t="shared" si="74"/>
        <v>59.658892125000001</v>
      </c>
      <c r="S341" s="64">
        <f t="shared" si="69"/>
        <v>228.75</v>
      </c>
      <c r="T341" s="66">
        <f t="shared" si="70"/>
        <v>3697.4884421249999</v>
      </c>
      <c r="U341" s="68">
        <f t="shared" si="71"/>
        <v>60.614564625</v>
      </c>
      <c r="V341" s="68">
        <f t="shared" si="72"/>
        <v>484.916517</v>
      </c>
      <c r="W341" s="68">
        <f t="shared" si="73"/>
        <v>323.27767799999998</v>
      </c>
    </row>
    <row r="342" spans="1:23" x14ac:dyDescent="0.25">
      <c r="A342" s="169" t="s">
        <v>891</v>
      </c>
      <c r="B342" s="61" t="s">
        <v>396</v>
      </c>
      <c r="C342" s="61" t="s">
        <v>591</v>
      </c>
      <c r="D342" s="61" t="s">
        <v>592</v>
      </c>
      <c r="E342" s="1" t="s">
        <v>351</v>
      </c>
      <c r="F342" s="62" t="str">
        <f t="shared" si="75"/>
        <v>60614</v>
      </c>
      <c r="G342" s="1">
        <v>10620052</v>
      </c>
      <c r="H342" s="1" t="s">
        <v>388</v>
      </c>
      <c r="I342" s="61">
        <v>64</v>
      </c>
      <c r="J342" s="61">
        <v>3</v>
      </c>
      <c r="K342" s="61">
        <v>8</v>
      </c>
      <c r="L342" s="69">
        <f t="shared" si="64"/>
        <v>1.92</v>
      </c>
      <c r="M342" s="69">
        <f t="shared" si="65"/>
        <v>5.12</v>
      </c>
      <c r="N342" s="56">
        <f>INDEX(Rate_Chart!$A$1:$AK$127,MATCH(Data!J342,Rate_Chart!$A$1:$A$127,0),MATCH(Data!K342,Rate_Chart!$A$1:$AK$1,0))</f>
        <v>34.751112000000006</v>
      </c>
      <c r="O342" s="57">
        <f t="shared" si="66"/>
        <v>2224.0711680000004</v>
      </c>
      <c r="P342" s="58">
        <f t="shared" si="67"/>
        <v>417.01334400000002</v>
      </c>
      <c r="Q342" s="58">
        <f t="shared" si="68"/>
        <v>278.00889599999999</v>
      </c>
      <c r="R342" s="66">
        <f t="shared" si="74"/>
        <v>38.921245440000014</v>
      </c>
      <c r="S342" s="64">
        <f t="shared" si="69"/>
        <v>240</v>
      </c>
      <c r="T342" s="66">
        <f t="shared" si="70"/>
        <v>2502.9924134400003</v>
      </c>
      <c r="U342" s="68">
        <f t="shared" si="71"/>
        <v>39.109256460000005</v>
      </c>
      <c r="V342" s="68">
        <f t="shared" si="72"/>
        <v>469.31107752000003</v>
      </c>
      <c r="W342" s="68">
        <f t="shared" si="73"/>
        <v>312.87405168000004</v>
      </c>
    </row>
    <row r="343" spans="1:23" x14ac:dyDescent="0.25">
      <c r="A343" s="169" t="s">
        <v>891</v>
      </c>
      <c r="B343" s="61" t="s">
        <v>397</v>
      </c>
      <c r="C343" s="61" t="s">
        <v>591</v>
      </c>
      <c r="D343" s="61" t="s">
        <v>592</v>
      </c>
      <c r="E343" s="1" t="s">
        <v>351</v>
      </c>
      <c r="F343" s="62" t="str">
        <f t="shared" si="75"/>
        <v>60614</v>
      </c>
      <c r="G343" s="1">
        <v>10620052</v>
      </c>
      <c r="H343" s="1" t="s">
        <v>387</v>
      </c>
      <c r="I343" s="61">
        <v>26</v>
      </c>
      <c r="J343" s="61">
        <v>6.7</v>
      </c>
      <c r="K343" s="61">
        <v>8.8000000000000007</v>
      </c>
      <c r="L343" s="69">
        <f t="shared" si="64"/>
        <v>1.7420000000000002</v>
      </c>
      <c r="M343" s="69">
        <f t="shared" si="65"/>
        <v>2.2880000000000003</v>
      </c>
      <c r="N343" s="56">
        <f>INDEX(Rate_Chart!$A$1:$AK$127,MATCH(Data!J343,Rate_Chart!$A$1:$A$127,0),MATCH(Data!K343,Rate_Chart!$A$1:$AK$1,0))</f>
        <v>55.385550000000002</v>
      </c>
      <c r="O343" s="57">
        <f t="shared" si="66"/>
        <v>1440.0243</v>
      </c>
      <c r="P343" s="58">
        <f t="shared" si="67"/>
        <v>440.73381962864721</v>
      </c>
      <c r="Q343" s="58">
        <f t="shared" si="68"/>
        <v>293.82254641909816</v>
      </c>
      <c r="R343" s="66">
        <f t="shared" si="74"/>
        <v>25.200425250000002</v>
      </c>
      <c r="S343" s="64">
        <f t="shared" si="69"/>
        <v>97.5</v>
      </c>
      <c r="T343" s="66">
        <f t="shared" si="70"/>
        <v>1562.7247252500001</v>
      </c>
      <c r="U343" s="68">
        <f t="shared" si="71"/>
        <v>60.104797125000005</v>
      </c>
      <c r="V343" s="68">
        <f t="shared" si="72"/>
        <v>478.28751027851456</v>
      </c>
      <c r="W343" s="68">
        <f t="shared" si="73"/>
        <v>318.85834018567635</v>
      </c>
    </row>
    <row r="344" spans="1:23" x14ac:dyDescent="0.25">
      <c r="A344" s="169" t="s">
        <v>891</v>
      </c>
      <c r="B344" s="61" t="s">
        <v>397</v>
      </c>
      <c r="C344" s="61" t="s">
        <v>591</v>
      </c>
      <c r="D344" s="61" t="s">
        <v>592</v>
      </c>
      <c r="E344" s="1" t="s">
        <v>351</v>
      </c>
      <c r="F344" s="62" t="str">
        <f t="shared" si="75"/>
        <v>60614</v>
      </c>
      <c r="G344" s="1">
        <v>10620052</v>
      </c>
      <c r="H344" s="1" t="s">
        <v>388</v>
      </c>
      <c r="I344" s="61">
        <v>79</v>
      </c>
      <c r="J344" s="61">
        <v>3</v>
      </c>
      <c r="K344" s="61">
        <v>8</v>
      </c>
      <c r="L344" s="69">
        <f t="shared" si="64"/>
        <v>2.37</v>
      </c>
      <c r="M344" s="69">
        <f t="shared" si="65"/>
        <v>6.32</v>
      </c>
      <c r="N344" s="56">
        <f>INDEX(Rate_Chart!$A$1:$AK$127,MATCH(Data!J344,Rate_Chart!$A$1:$A$127,0),MATCH(Data!K344,Rate_Chart!$A$1:$AK$1,0))</f>
        <v>34.751112000000006</v>
      </c>
      <c r="O344" s="57">
        <f t="shared" si="66"/>
        <v>2745.3378480000006</v>
      </c>
      <c r="P344" s="58">
        <f t="shared" si="67"/>
        <v>417.01334400000002</v>
      </c>
      <c r="Q344" s="58">
        <f t="shared" si="68"/>
        <v>278.00889599999999</v>
      </c>
      <c r="R344" s="66">
        <f t="shared" si="74"/>
        <v>48.043412340000017</v>
      </c>
      <c r="S344" s="64">
        <f t="shared" si="69"/>
        <v>296.25</v>
      </c>
      <c r="T344" s="66">
        <f t="shared" si="70"/>
        <v>3089.6312603400006</v>
      </c>
      <c r="U344" s="68">
        <f t="shared" si="71"/>
        <v>39.109256460000005</v>
      </c>
      <c r="V344" s="68">
        <f t="shared" si="72"/>
        <v>469.31107752000003</v>
      </c>
      <c r="W344" s="68">
        <f t="shared" si="73"/>
        <v>312.87405168000004</v>
      </c>
    </row>
    <row r="345" spans="1:23" x14ac:dyDescent="0.25">
      <c r="A345" s="169" t="s">
        <v>892</v>
      </c>
      <c r="B345" s="61" t="s">
        <v>396</v>
      </c>
      <c r="C345" s="61" t="s">
        <v>591</v>
      </c>
      <c r="D345" s="61" t="s">
        <v>592</v>
      </c>
      <c r="E345" s="1" t="s">
        <v>351</v>
      </c>
      <c r="F345" s="62" t="str">
        <f t="shared" si="75"/>
        <v>60614</v>
      </c>
      <c r="G345" s="1">
        <v>10620052</v>
      </c>
      <c r="H345" s="1" t="s">
        <v>387</v>
      </c>
      <c r="I345" s="61">
        <v>40</v>
      </c>
      <c r="J345" s="61">
        <v>6.9</v>
      </c>
      <c r="K345" s="61">
        <v>9</v>
      </c>
      <c r="L345" s="69">
        <f t="shared" si="64"/>
        <v>2.76</v>
      </c>
      <c r="M345" s="69">
        <f t="shared" si="65"/>
        <v>3.6</v>
      </c>
      <c r="N345" s="56">
        <f>INDEX(Rate_Chart!$A$1:$AK$127,MATCH(Data!J345,Rate_Chart!$A$1:$A$127,0),MATCH(Data!K345,Rate_Chart!$A$1:$AK$1,0))</f>
        <v>57.615000000000002</v>
      </c>
      <c r="O345" s="57">
        <f t="shared" si="66"/>
        <v>2304.6</v>
      </c>
      <c r="P345" s="58">
        <f t="shared" si="67"/>
        <v>446.62790697674421</v>
      </c>
      <c r="Q345" s="58">
        <f t="shared" si="68"/>
        <v>297.75193798449612</v>
      </c>
      <c r="R345" s="66">
        <f t="shared" si="74"/>
        <v>40.330500000000001</v>
      </c>
      <c r="S345" s="64">
        <f t="shared" si="69"/>
        <v>150</v>
      </c>
      <c r="T345" s="66">
        <f t="shared" si="70"/>
        <v>2494.9304999999999</v>
      </c>
      <c r="U345" s="68">
        <f t="shared" si="71"/>
        <v>62.373262499999996</v>
      </c>
      <c r="V345" s="68">
        <f t="shared" si="72"/>
        <v>483.51366279069765</v>
      </c>
      <c r="W345" s="68">
        <f t="shared" si="73"/>
        <v>322.3424418604651</v>
      </c>
    </row>
    <row r="346" spans="1:23" x14ac:dyDescent="0.25">
      <c r="A346" s="169" t="s">
        <v>892</v>
      </c>
      <c r="B346" s="61" t="s">
        <v>396</v>
      </c>
      <c r="C346" s="61" t="s">
        <v>591</v>
      </c>
      <c r="D346" s="61" t="s">
        <v>592</v>
      </c>
      <c r="E346" s="1" t="s">
        <v>351</v>
      </c>
      <c r="F346" s="62" t="str">
        <f t="shared" si="75"/>
        <v>60614</v>
      </c>
      <c r="G346" s="1">
        <v>10620052</v>
      </c>
      <c r="H346" s="1" t="s">
        <v>388</v>
      </c>
      <c r="I346" s="61">
        <v>7</v>
      </c>
      <c r="J346" s="61">
        <v>3.3</v>
      </c>
      <c r="K346" s="61">
        <v>8.1</v>
      </c>
      <c r="L346" s="69">
        <f t="shared" si="64"/>
        <v>0.23099999999999998</v>
      </c>
      <c r="M346" s="69">
        <f t="shared" si="65"/>
        <v>0.56699999999999995</v>
      </c>
      <c r="N346" s="56">
        <f>INDEX(Rate_Chart!$A$1:$AK$127,MATCH(Data!J346,Rate_Chart!$A$1:$A$127,0),MATCH(Data!K346,Rate_Chart!$A$1:$AK$1,0))</f>
        <v>36.280125900000002</v>
      </c>
      <c r="O346" s="57">
        <f t="shared" si="66"/>
        <v>253.96088130000001</v>
      </c>
      <c r="P346" s="58">
        <f t="shared" si="67"/>
        <v>417.0129413793104</v>
      </c>
      <c r="Q346" s="58">
        <f t="shared" si="68"/>
        <v>278.00862758620696</v>
      </c>
      <c r="R346" s="66">
        <f t="shared" si="74"/>
        <v>4.4443154227500008</v>
      </c>
      <c r="S346" s="64">
        <f t="shared" si="69"/>
        <v>26.25</v>
      </c>
      <c r="T346" s="66">
        <f t="shared" si="70"/>
        <v>284.65519672275002</v>
      </c>
      <c r="U346" s="68">
        <f t="shared" si="71"/>
        <v>40.665028103250002</v>
      </c>
      <c r="V346" s="68">
        <f t="shared" si="72"/>
        <v>467.4141161293104</v>
      </c>
      <c r="W346" s="68">
        <f t="shared" si="73"/>
        <v>311.6094107528736</v>
      </c>
    </row>
    <row r="347" spans="1:23" x14ac:dyDescent="0.25">
      <c r="A347" s="169" t="s">
        <v>892</v>
      </c>
      <c r="B347" s="61" t="s">
        <v>397</v>
      </c>
      <c r="C347" s="61" t="s">
        <v>591</v>
      </c>
      <c r="D347" s="61" t="s">
        <v>592</v>
      </c>
      <c r="E347" s="1" t="s">
        <v>351</v>
      </c>
      <c r="F347" s="62" t="str">
        <f t="shared" si="75"/>
        <v>60614</v>
      </c>
      <c r="G347" s="1">
        <v>10620052</v>
      </c>
      <c r="H347" s="1" t="s">
        <v>387</v>
      </c>
      <c r="I347" s="61">
        <v>22</v>
      </c>
      <c r="J347" s="61">
        <v>6.8</v>
      </c>
      <c r="K347" s="61">
        <v>9</v>
      </c>
      <c r="L347" s="69">
        <f t="shared" si="64"/>
        <v>1.496</v>
      </c>
      <c r="M347" s="69">
        <f t="shared" si="65"/>
        <v>1.98</v>
      </c>
      <c r="N347" s="56">
        <f>INDEX(Rate_Chart!$A$1:$AK$127,MATCH(Data!J347,Rate_Chart!$A$1:$A$127,0),MATCH(Data!K347,Rate_Chart!$A$1:$AK$1,0))</f>
        <v>56.78</v>
      </c>
      <c r="O347" s="57">
        <f t="shared" si="66"/>
        <v>1249.1600000000001</v>
      </c>
      <c r="P347" s="58">
        <f t="shared" si="67"/>
        <v>443.59375</v>
      </c>
      <c r="Q347" s="58">
        <f t="shared" si="68"/>
        <v>295.72916666666669</v>
      </c>
      <c r="R347" s="66">
        <f t="shared" si="74"/>
        <v>21.860300000000002</v>
      </c>
      <c r="S347" s="64">
        <f t="shared" si="69"/>
        <v>82.5</v>
      </c>
      <c r="T347" s="66">
        <f t="shared" si="70"/>
        <v>1353.5203000000001</v>
      </c>
      <c r="U347" s="68">
        <f t="shared" si="71"/>
        <v>61.523650000000004</v>
      </c>
      <c r="V347" s="68">
        <f t="shared" si="72"/>
        <v>480.65351562500001</v>
      </c>
      <c r="W347" s="68">
        <f t="shared" si="73"/>
        <v>320.43567708333336</v>
      </c>
    </row>
    <row r="348" spans="1:23" x14ac:dyDescent="0.25">
      <c r="A348" s="169" t="s">
        <v>892</v>
      </c>
      <c r="B348" s="61" t="s">
        <v>397</v>
      </c>
      <c r="C348" s="61" t="s">
        <v>591</v>
      </c>
      <c r="D348" s="61" t="s">
        <v>592</v>
      </c>
      <c r="E348" s="1" t="s">
        <v>351</v>
      </c>
      <c r="F348" s="62" t="str">
        <f t="shared" si="75"/>
        <v>60614</v>
      </c>
      <c r="G348" s="1">
        <v>10620052</v>
      </c>
      <c r="H348" s="1" t="s">
        <v>388</v>
      </c>
      <c r="I348" s="61">
        <v>72</v>
      </c>
      <c r="J348" s="61">
        <v>3.3</v>
      </c>
      <c r="K348" s="61">
        <v>8</v>
      </c>
      <c r="L348" s="69">
        <f t="shared" si="64"/>
        <v>2.3759999999999999</v>
      </c>
      <c r="M348" s="69">
        <f t="shared" si="65"/>
        <v>5.76</v>
      </c>
      <c r="N348" s="56">
        <f>INDEX(Rate_Chart!$A$1:$AK$127,MATCH(Data!J348,Rate_Chart!$A$1:$A$127,0),MATCH(Data!K348,Rate_Chart!$A$1:$AK$1,0))</f>
        <v>36.002112000000004</v>
      </c>
      <c r="O348" s="57">
        <f t="shared" si="66"/>
        <v>2592.1520640000003</v>
      </c>
      <c r="P348" s="58">
        <f t="shared" si="67"/>
        <v>417.01288030888031</v>
      </c>
      <c r="Q348" s="58">
        <f t="shared" si="68"/>
        <v>278.00858687258687</v>
      </c>
      <c r="R348" s="66">
        <f t="shared" si="74"/>
        <v>45.362661120000013</v>
      </c>
      <c r="S348" s="64">
        <f t="shared" si="69"/>
        <v>270</v>
      </c>
      <c r="T348" s="66">
        <f t="shared" si="70"/>
        <v>2907.5147251200005</v>
      </c>
      <c r="U348" s="68">
        <f t="shared" si="71"/>
        <v>40.382148960000009</v>
      </c>
      <c r="V348" s="68">
        <f t="shared" si="72"/>
        <v>467.74689915057917</v>
      </c>
      <c r="W348" s="68">
        <f t="shared" si="73"/>
        <v>311.83126610038613</v>
      </c>
    </row>
    <row r="349" spans="1:23" x14ac:dyDescent="0.25">
      <c r="A349" s="169" t="s">
        <v>893</v>
      </c>
      <c r="B349" s="61" t="s">
        <v>396</v>
      </c>
      <c r="C349" s="61" t="s">
        <v>591</v>
      </c>
      <c r="D349" s="61" t="s">
        <v>592</v>
      </c>
      <c r="E349" s="1" t="s">
        <v>351</v>
      </c>
      <c r="F349" s="62" t="str">
        <f t="shared" si="75"/>
        <v>60614</v>
      </c>
      <c r="G349" s="1">
        <v>10620052</v>
      </c>
      <c r="H349" s="1" t="s">
        <v>387</v>
      </c>
      <c r="I349" s="61">
        <v>58</v>
      </c>
      <c r="J349" s="61">
        <v>6.9</v>
      </c>
      <c r="K349" s="61">
        <v>9</v>
      </c>
      <c r="L349" s="69">
        <f t="shared" si="64"/>
        <v>4.0020000000000007</v>
      </c>
      <c r="M349" s="69">
        <f t="shared" si="65"/>
        <v>5.22</v>
      </c>
      <c r="N349" s="56">
        <f>INDEX(Rate_Chart!$A$1:$AK$127,MATCH(Data!J349,Rate_Chart!$A$1:$A$127,0),MATCH(Data!K349,Rate_Chart!$A$1:$AK$1,0))</f>
        <v>57.615000000000002</v>
      </c>
      <c r="O349" s="57">
        <f t="shared" si="66"/>
        <v>3341.67</v>
      </c>
      <c r="P349" s="58">
        <f t="shared" si="67"/>
        <v>446.62790697674421</v>
      </c>
      <c r="Q349" s="58">
        <f t="shared" si="68"/>
        <v>297.75193798449612</v>
      </c>
      <c r="R349" s="66">
        <f t="shared" si="74"/>
        <v>58.479225000000007</v>
      </c>
      <c r="S349" s="64">
        <f t="shared" si="69"/>
        <v>217.5</v>
      </c>
      <c r="T349" s="66">
        <f t="shared" si="70"/>
        <v>3617.6492250000001</v>
      </c>
      <c r="U349" s="68">
        <f t="shared" si="71"/>
        <v>62.373262500000003</v>
      </c>
      <c r="V349" s="68">
        <f t="shared" si="72"/>
        <v>483.51366279069771</v>
      </c>
      <c r="W349" s="68">
        <f t="shared" si="73"/>
        <v>322.34244186046516</v>
      </c>
    </row>
    <row r="350" spans="1:23" x14ac:dyDescent="0.25">
      <c r="A350" s="169" t="s">
        <v>893</v>
      </c>
      <c r="B350" s="61" t="s">
        <v>396</v>
      </c>
      <c r="C350" s="61" t="s">
        <v>591</v>
      </c>
      <c r="D350" s="61" t="s">
        <v>592</v>
      </c>
      <c r="E350" s="1" t="s">
        <v>351</v>
      </c>
      <c r="F350" s="62" t="str">
        <f t="shared" si="75"/>
        <v>60614</v>
      </c>
      <c r="G350" s="1">
        <v>10620052</v>
      </c>
      <c r="H350" s="1" t="s">
        <v>388</v>
      </c>
      <c r="I350" s="61">
        <v>102</v>
      </c>
      <c r="J350" s="61">
        <v>3.7</v>
      </c>
      <c r="K350" s="61">
        <v>8</v>
      </c>
      <c r="L350" s="69">
        <f t="shared" si="64"/>
        <v>3.7740000000000005</v>
      </c>
      <c r="M350" s="69">
        <f t="shared" si="65"/>
        <v>8.16</v>
      </c>
      <c r="N350" s="56">
        <f>INDEX(Rate_Chart!$A$1:$AK$127,MATCH(Data!J350,Rate_Chart!$A$1:$A$127,0),MATCH(Data!K350,Rate_Chart!$A$1:$AK$1,0))</f>
        <v>37.670112000000003</v>
      </c>
      <c r="O350" s="57">
        <f t="shared" si="66"/>
        <v>3842.3514240000004</v>
      </c>
      <c r="P350" s="58">
        <f t="shared" si="67"/>
        <v>417.0123099630996</v>
      </c>
      <c r="Q350" s="58">
        <f t="shared" si="68"/>
        <v>278.0082066420664</v>
      </c>
      <c r="R350" s="66">
        <f t="shared" si="74"/>
        <v>67.241149920000012</v>
      </c>
      <c r="S350" s="64">
        <f t="shared" si="69"/>
        <v>382.5</v>
      </c>
      <c r="T350" s="66">
        <f t="shared" si="70"/>
        <v>4292.0925739200002</v>
      </c>
      <c r="U350" s="68">
        <f t="shared" si="71"/>
        <v>42.079338960000001</v>
      </c>
      <c r="V350" s="68">
        <f t="shared" si="72"/>
        <v>465.82294051660512</v>
      </c>
      <c r="W350" s="68">
        <f t="shared" si="73"/>
        <v>310.5486270110701</v>
      </c>
    </row>
    <row r="351" spans="1:23" x14ac:dyDescent="0.25">
      <c r="A351" s="169" t="s">
        <v>893</v>
      </c>
      <c r="B351" s="61" t="s">
        <v>397</v>
      </c>
      <c r="C351" s="61" t="s">
        <v>591</v>
      </c>
      <c r="D351" s="61" t="s">
        <v>592</v>
      </c>
      <c r="E351" s="1" t="s">
        <v>351</v>
      </c>
      <c r="F351" s="62" t="str">
        <f t="shared" si="75"/>
        <v>60614</v>
      </c>
      <c r="G351" s="1">
        <v>10620052</v>
      </c>
      <c r="H351" s="1" t="s">
        <v>387</v>
      </c>
      <c r="I351" s="61">
        <v>29</v>
      </c>
      <c r="J351" s="61">
        <v>6.8</v>
      </c>
      <c r="K351" s="61">
        <v>9</v>
      </c>
      <c r="L351" s="69">
        <f t="shared" si="64"/>
        <v>1.972</v>
      </c>
      <c r="M351" s="69">
        <f t="shared" si="65"/>
        <v>2.61</v>
      </c>
      <c r="N351" s="56">
        <f>INDEX(Rate_Chart!$A$1:$AK$127,MATCH(Data!J351,Rate_Chart!$A$1:$A$127,0),MATCH(Data!K351,Rate_Chart!$A$1:$AK$1,0))</f>
        <v>56.78</v>
      </c>
      <c r="O351" s="57">
        <f t="shared" si="66"/>
        <v>1646.6200000000001</v>
      </c>
      <c r="P351" s="58">
        <f t="shared" si="67"/>
        <v>443.59375</v>
      </c>
      <c r="Q351" s="58">
        <f t="shared" si="68"/>
        <v>295.72916666666669</v>
      </c>
      <c r="R351" s="66">
        <f t="shared" si="74"/>
        <v>28.815850000000005</v>
      </c>
      <c r="S351" s="64">
        <f t="shared" si="69"/>
        <v>108.75</v>
      </c>
      <c r="T351" s="66">
        <f t="shared" si="70"/>
        <v>1784.1858500000001</v>
      </c>
      <c r="U351" s="68">
        <f t="shared" si="71"/>
        <v>61.523650000000004</v>
      </c>
      <c r="V351" s="68">
        <f t="shared" si="72"/>
        <v>480.65351562500001</v>
      </c>
      <c r="W351" s="68">
        <f t="shared" si="73"/>
        <v>320.43567708333336</v>
      </c>
    </row>
    <row r="352" spans="1:23" x14ac:dyDescent="0.25">
      <c r="A352" s="169" t="s">
        <v>893</v>
      </c>
      <c r="B352" s="61" t="s">
        <v>397</v>
      </c>
      <c r="C352" s="61" t="s">
        <v>591</v>
      </c>
      <c r="D352" s="61" t="s">
        <v>592</v>
      </c>
      <c r="E352" s="1" t="s">
        <v>351</v>
      </c>
      <c r="F352" s="62" t="str">
        <f t="shared" si="75"/>
        <v>60614</v>
      </c>
      <c r="G352" s="1">
        <v>10620052</v>
      </c>
      <c r="H352" s="1" t="s">
        <v>388</v>
      </c>
      <c r="I352" s="61">
        <v>66</v>
      </c>
      <c r="J352" s="61">
        <v>3</v>
      </c>
      <c r="K352" s="61">
        <v>8</v>
      </c>
      <c r="L352" s="69">
        <f t="shared" ref="L352:L412" si="76">J352*I352/100</f>
        <v>1.98</v>
      </c>
      <c r="M352" s="69">
        <f t="shared" ref="M352:M412" si="77">K352*I352/100</f>
        <v>5.28</v>
      </c>
      <c r="N352" s="56">
        <f>INDEX(Rate_Chart!$A$1:$AK$127,MATCH(Data!J352,Rate_Chart!$A$1:$A$127,0),MATCH(Data!K352,Rate_Chart!$A$1:$AK$1,0))</f>
        <v>34.751112000000006</v>
      </c>
      <c r="O352" s="57">
        <f t="shared" ref="O352:O412" si="78">N352*I352</f>
        <v>2293.5733920000002</v>
      </c>
      <c r="P352" s="58">
        <f t="shared" ref="P352:P412" si="79">N352/(J352%+K352%*2/3)</f>
        <v>417.01334400000002</v>
      </c>
      <c r="Q352" s="58">
        <f t="shared" ref="Q352:Q412" si="80">P352*2/3</f>
        <v>278.00889599999999</v>
      </c>
      <c r="R352" s="66">
        <f t="shared" si="74"/>
        <v>40.137534360000011</v>
      </c>
      <c r="S352" s="64">
        <f t="shared" ref="S352:S412" si="81">I352*3.75</f>
        <v>247.5</v>
      </c>
      <c r="T352" s="66">
        <f t="shared" ref="T352:T412" si="82">R352+S352+O352</f>
        <v>2581.2109263600005</v>
      </c>
      <c r="U352" s="68">
        <f t="shared" ref="U352:U412" si="83">T352/I352</f>
        <v>39.109256460000005</v>
      </c>
      <c r="V352" s="68">
        <f t="shared" ref="V352:V412" si="84">U352/(J352%+K352%*2/3)</f>
        <v>469.31107752000003</v>
      </c>
      <c r="W352" s="68">
        <f t="shared" ref="W352:W412" si="85">V352*2/3</f>
        <v>312.87405168000004</v>
      </c>
    </row>
    <row r="353" spans="1:23" x14ac:dyDescent="0.25">
      <c r="A353" s="169" t="s">
        <v>894</v>
      </c>
      <c r="B353" s="61" t="s">
        <v>396</v>
      </c>
      <c r="C353" s="61" t="s">
        <v>591</v>
      </c>
      <c r="D353" s="61" t="s">
        <v>592</v>
      </c>
      <c r="E353" s="1" t="s">
        <v>351</v>
      </c>
      <c r="F353" s="62" t="str">
        <f t="shared" si="75"/>
        <v>60614</v>
      </c>
      <c r="G353" s="1">
        <v>10620052</v>
      </c>
      <c r="H353" s="1" t="s">
        <v>387</v>
      </c>
      <c r="I353" s="61">
        <v>69</v>
      </c>
      <c r="J353" s="61">
        <v>6.9</v>
      </c>
      <c r="K353" s="61">
        <v>9</v>
      </c>
      <c r="L353" s="69">
        <f t="shared" si="76"/>
        <v>4.7610000000000001</v>
      </c>
      <c r="M353" s="69">
        <f t="shared" si="77"/>
        <v>6.21</v>
      </c>
      <c r="N353" s="56">
        <f>INDEX(Rate_Chart!$A$1:$AK$127,MATCH(Data!J353,Rate_Chart!$A$1:$A$127,0),MATCH(Data!K353,Rate_Chart!$A$1:$AK$1,0))</f>
        <v>57.615000000000002</v>
      </c>
      <c r="O353" s="57">
        <f t="shared" si="78"/>
        <v>3975.4349999999999</v>
      </c>
      <c r="P353" s="58">
        <f t="shared" si="79"/>
        <v>446.62790697674421</v>
      </c>
      <c r="Q353" s="58">
        <f t="shared" si="80"/>
        <v>297.75193798449612</v>
      </c>
      <c r="R353" s="66">
        <f t="shared" si="74"/>
        <v>69.570112500000008</v>
      </c>
      <c r="S353" s="64">
        <f t="shared" si="81"/>
        <v>258.75</v>
      </c>
      <c r="T353" s="66">
        <f t="shared" si="82"/>
        <v>4303.7551125</v>
      </c>
      <c r="U353" s="68">
        <f t="shared" si="83"/>
        <v>62.373262500000003</v>
      </c>
      <c r="V353" s="68">
        <f t="shared" si="84"/>
        <v>483.51366279069771</v>
      </c>
      <c r="W353" s="68">
        <f t="shared" si="85"/>
        <v>322.34244186046516</v>
      </c>
    </row>
    <row r="354" spans="1:23" x14ac:dyDescent="0.25">
      <c r="A354" s="169" t="s">
        <v>894</v>
      </c>
      <c r="B354" s="61" t="s">
        <v>396</v>
      </c>
      <c r="C354" s="61" t="s">
        <v>591</v>
      </c>
      <c r="D354" s="61" t="s">
        <v>592</v>
      </c>
      <c r="E354" s="1" t="s">
        <v>351</v>
      </c>
      <c r="F354" s="62" t="str">
        <f t="shared" si="75"/>
        <v>60614</v>
      </c>
      <c r="G354" s="1">
        <v>10620052</v>
      </c>
      <c r="H354" s="1" t="s">
        <v>388</v>
      </c>
      <c r="I354" s="61">
        <v>34</v>
      </c>
      <c r="J354" s="61">
        <v>3.3</v>
      </c>
      <c r="K354" s="61">
        <v>8</v>
      </c>
      <c r="L354" s="69">
        <f t="shared" si="76"/>
        <v>1.1219999999999999</v>
      </c>
      <c r="M354" s="69">
        <f t="shared" si="77"/>
        <v>2.72</v>
      </c>
      <c r="N354" s="56">
        <f>INDEX(Rate_Chart!$A$1:$AK$127,MATCH(Data!J354,Rate_Chart!$A$1:$A$127,0),MATCH(Data!K354,Rate_Chart!$A$1:$AK$1,0))</f>
        <v>36.002112000000004</v>
      </c>
      <c r="O354" s="57">
        <f t="shared" si="78"/>
        <v>1224.0718080000001</v>
      </c>
      <c r="P354" s="58">
        <f t="shared" si="79"/>
        <v>417.01288030888031</v>
      </c>
      <c r="Q354" s="58">
        <f t="shared" si="80"/>
        <v>278.00858687258687</v>
      </c>
      <c r="R354" s="66">
        <f t="shared" si="74"/>
        <v>21.421256640000003</v>
      </c>
      <c r="S354" s="64">
        <f t="shared" si="81"/>
        <v>127.5</v>
      </c>
      <c r="T354" s="66">
        <f t="shared" si="82"/>
        <v>1372.9930646400001</v>
      </c>
      <c r="U354" s="68">
        <f t="shared" si="83"/>
        <v>40.382148960000002</v>
      </c>
      <c r="V354" s="68">
        <f t="shared" si="84"/>
        <v>467.74689915057911</v>
      </c>
      <c r="W354" s="68">
        <f t="shared" si="85"/>
        <v>311.83126610038607</v>
      </c>
    </row>
    <row r="355" spans="1:23" x14ac:dyDescent="0.25">
      <c r="A355" s="169" t="s">
        <v>894</v>
      </c>
      <c r="B355" s="61" t="s">
        <v>397</v>
      </c>
      <c r="C355" s="61" t="s">
        <v>591</v>
      </c>
      <c r="D355" s="61" t="s">
        <v>592</v>
      </c>
      <c r="E355" s="1" t="s">
        <v>351</v>
      </c>
      <c r="F355" s="62" t="str">
        <f t="shared" si="75"/>
        <v>60614</v>
      </c>
      <c r="G355" s="1">
        <v>10620052</v>
      </c>
      <c r="H355" s="1" t="s">
        <v>388</v>
      </c>
      <c r="I355" s="61">
        <v>50</v>
      </c>
      <c r="J355" s="61">
        <v>3.1</v>
      </c>
      <c r="K355" s="61">
        <v>8</v>
      </c>
      <c r="L355" s="69">
        <f t="shared" si="76"/>
        <v>1.55</v>
      </c>
      <c r="M355" s="69">
        <f t="shared" si="77"/>
        <v>4</v>
      </c>
      <c r="N355" s="56">
        <f>INDEX(Rate_Chart!$A$1:$AK$127,MATCH(Data!J355,Rate_Chart!$A$1:$A$127,0),MATCH(Data!K355,Rate_Chart!$A$1:$AK$1,0))</f>
        <v>35.168112000000008</v>
      </c>
      <c r="O355" s="57">
        <f t="shared" si="78"/>
        <v>1758.4056000000005</v>
      </c>
      <c r="P355" s="58">
        <f t="shared" si="79"/>
        <v>417.01318577075102</v>
      </c>
      <c r="Q355" s="58">
        <f t="shared" si="80"/>
        <v>278.00879051383401</v>
      </c>
      <c r="R355" s="66">
        <f t="shared" si="74"/>
        <v>30.77209800000001</v>
      </c>
      <c r="S355" s="64">
        <f t="shared" si="81"/>
        <v>187.5</v>
      </c>
      <c r="T355" s="66">
        <f t="shared" si="82"/>
        <v>1976.6776980000004</v>
      </c>
      <c r="U355" s="68">
        <f t="shared" si="83"/>
        <v>39.533553960000006</v>
      </c>
      <c r="V355" s="68">
        <f t="shared" si="84"/>
        <v>468.77731968379447</v>
      </c>
      <c r="W355" s="68">
        <f t="shared" si="85"/>
        <v>312.51821312252963</v>
      </c>
    </row>
    <row r="356" spans="1:23" x14ac:dyDescent="0.25">
      <c r="A356" s="169" t="s">
        <v>888</v>
      </c>
      <c r="B356" s="61" t="s">
        <v>396</v>
      </c>
      <c r="C356" s="61" t="s">
        <v>591</v>
      </c>
      <c r="D356" s="61" t="s">
        <v>869</v>
      </c>
      <c r="E356" s="1" t="s">
        <v>352</v>
      </c>
      <c r="F356" s="62" t="str">
        <f t="shared" si="75"/>
        <v>60616</v>
      </c>
      <c r="G356" s="1">
        <v>10620070</v>
      </c>
      <c r="H356" s="1" t="s">
        <v>387</v>
      </c>
      <c r="I356" s="61">
        <v>12</v>
      </c>
      <c r="J356" s="61">
        <v>7</v>
      </c>
      <c r="K356" s="61">
        <v>8.8000000000000007</v>
      </c>
      <c r="L356" s="69">
        <f t="shared" si="76"/>
        <v>0.84</v>
      </c>
      <c r="M356" s="69">
        <f t="shared" si="77"/>
        <v>1.056</v>
      </c>
      <c r="N356" s="56">
        <f>INDEX(Rate_Chart!$A$1:$AK$127,MATCH(Data!J356,Rate_Chart!$A$1:$A$127,0),MATCH(Data!K356,Rate_Chart!$A$1:$AK$1,0))</f>
        <v>57.865500000000004</v>
      </c>
      <c r="O356" s="57">
        <f t="shared" si="78"/>
        <v>694.38600000000008</v>
      </c>
      <c r="P356" s="58">
        <f t="shared" si="79"/>
        <v>449.73186528497411</v>
      </c>
      <c r="Q356" s="58">
        <f t="shared" si="80"/>
        <v>299.82124352331607</v>
      </c>
      <c r="R356" s="66">
        <f t="shared" si="74"/>
        <v>12.151755000000003</v>
      </c>
      <c r="S356" s="64">
        <f t="shared" si="81"/>
        <v>45</v>
      </c>
      <c r="T356" s="66">
        <f t="shared" si="82"/>
        <v>751.53775500000006</v>
      </c>
      <c r="U356" s="68">
        <f t="shared" si="83"/>
        <v>62.628146250000007</v>
      </c>
      <c r="V356" s="68">
        <f t="shared" si="84"/>
        <v>486.74725064766841</v>
      </c>
      <c r="W356" s="68">
        <f t="shared" si="85"/>
        <v>324.49816709844561</v>
      </c>
    </row>
    <row r="357" spans="1:23" x14ac:dyDescent="0.25">
      <c r="A357" s="169" t="s">
        <v>888</v>
      </c>
      <c r="B357" s="61" t="s">
        <v>396</v>
      </c>
      <c r="C357" s="61" t="s">
        <v>591</v>
      </c>
      <c r="D357" s="61" t="s">
        <v>869</v>
      </c>
      <c r="E357" s="1" t="s">
        <v>352</v>
      </c>
      <c r="F357" s="62" t="str">
        <f t="shared" si="75"/>
        <v>60616</v>
      </c>
      <c r="G357" s="1">
        <v>10620070</v>
      </c>
      <c r="H357" s="1" t="s">
        <v>388</v>
      </c>
      <c r="I357" s="61">
        <v>59</v>
      </c>
      <c r="J357" s="61">
        <v>3.7</v>
      </c>
      <c r="K357" s="61">
        <v>8.1</v>
      </c>
      <c r="L357" s="69">
        <f t="shared" si="76"/>
        <v>2.1830000000000003</v>
      </c>
      <c r="M357" s="69">
        <f t="shared" si="77"/>
        <v>4.7789999999999999</v>
      </c>
      <c r="N357" s="56">
        <f>INDEX(Rate_Chart!$A$1:$AK$127,MATCH(Data!J357,Rate_Chart!$A$1:$A$127,0),MATCH(Data!K357,Rate_Chart!$A$1:$AK$1,0))</f>
        <v>37.948125900000008</v>
      </c>
      <c r="O357" s="57">
        <f t="shared" si="78"/>
        <v>2238.9394281000004</v>
      </c>
      <c r="P357" s="58">
        <f t="shared" si="79"/>
        <v>417.01237252747262</v>
      </c>
      <c r="Q357" s="58">
        <f t="shared" si="80"/>
        <v>278.00824835164843</v>
      </c>
      <c r="R357" s="66">
        <f t="shared" si="74"/>
        <v>39.181439991750011</v>
      </c>
      <c r="S357" s="64">
        <f t="shared" si="81"/>
        <v>221.25</v>
      </c>
      <c r="T357" s="66">
        <f t="shared" si="82"/>
        <v>2499.3708680917507</v>
      </c>
      <c r="U357" s="68">
        <f t="shared" si="83"/>
        <v>42.362218103250015</v>
      </c>
      <c r="V357" s="68">
        <f t="shared" si="84"/>
        <v>465.51888025549471</v>
      </c>
      <c r="W357" s="68">
        <f t="shared" si="85"/>
        <v>310.3459201703298</v>
      </c>
    </row>
    <row r="358" spans="1:23" x14ac:dyDescent="0.25">
      <c r="A358" s="169" t="s">
        <v>888</v>
      </c>
      <c r="B358" s="61" t="s">
        <v>397</v>
      </c>
      <c r="C358" s="61" t="s">
        <v>591</v>
      </c>
      <c r="D358" s="61" t="s">
        <v>869</v>
      </c>
      <c r="E358" s="1" t="s">
        <v>352</v>
      </c>
      <c r="F358" s="62" t="str">
        <f t="shared" si="75"/>
        <v>60616</v>
      </c>
      <c r="G358" s="1">
        <v>10620070</v>
      </c>
      <c r="H358" s="1" t="s">
        <v>387</v>
      </c>
      <c r="I358" s="61">
        <v>10</v>
      </c>
      <c r="J358" s="61">
        <v>7.5</v>
      </c>
      <c r="K358" s="61">
        <v>8.8000000000000007</v>
      </c>
      <c r="L358" s="69">
        <f t="shared" si="76"/>
        <v>0.75</v>
      </c>
      <c r="M358" s="69">
        <f t="shared" si="77"/>
        <v>0.88</v>
      </c>
      <c r="N358" s="56">
        <f>INDEX(Rate_Chart!$A$1:$AK$127,MATCH(Data!J358,Rate_Chart!$A$1:$A$127,0),MATCH(Data!K358,Rate_Chart!$A$1:$AK$1,0))</f>
        <v>61.998750000000001</v>
      </c>
      <c r="O358" s="57">
        <f t="shared" si="78"/>
        <v>619.98749999999995</v>
      </c>
      <c r="P358" s="58">
        <f t="shared" si="79"/>
        <v>463.83104738154617</v>
      </c>
      <c r="Q358" s="58">
        <f t="shared" si="80"/>
        <v>309.22069825436409</v>
      </c>
      <c r="R358" s="66">
        <f t="shared" si="74"/>
        <v>10.849781249999999</v>
      </c>
      <c r="S358" s="64">
        <f t="shared" si="81"/>
        <v>37.5</v>
      </c>
      <c r="T358" s="66">
        <f t="shared" si="82"/>
        <v>668.33728124999993</v>
      </c>
      <c r="U358" s="68">
        <f t="shared" si="83"/>
        <v>66.833728124999993</v>
      </c>
      <c r="V358" s="68">
        <f t="shared" si="84"/>
        <v>500.00295355361595</v>
      </c>
      <c r="W358" s="68">
        <f t="shared" si="85"/>
        <v>333.33530236907728</v>
      </c>
    </row>
    <row r="359" spans="1:23" x14ac:dyDescent="0.25">
      <c r="A359" s="169" t="s">
        <v>888</v>
      </c>
      <c r="B359" s="61" t="s">
        <v>397</v>
      </c>
      <c r="C359" s="61" t="s">
        <v>591</v>
      </c>
      <c r="D359" s="61" t="s">
        <v>869</v>
      </c>
      <c r="E359" s="1" t="s">
        <v>352</v>
      </c>
      <c r="F359" s="62" t="str">
        <f t="shared" si="75"/>
        <v>60616</v>
      </c>
      <c r="G359" s="1">
        <v>10620070</v>
      </c>
      <c r="H359" s="1" t="s">
        <v>388</v>
      </c>
      <c r="I359" s="61">
        <v>64</v>
      </c>
      <c r="J359" s="61">
        <v>3</v>
      </c>
      <c r="K359" s="61">
        <v>8</v>
      </c>
      <c r="L359" s="69">
        <f t="shared" si="76"/>
        <v>1.92</v>
      </c>
      <c r="M359" s="69">
        <f t="shared" si="77"/>
        <v>5.12</v>
      </c>
      <c r="N359" s="56">
        <f>INDEX(Rate_Chart!$A$1:$AK$127,MATCH(Data!J359,Rate_Chart!$A$1:$A$127,0),MATCH(Data!K359,Rate_Chart!$A$1:$AK$1,0))</f>
        <v>34.751112000000006</v>
      </c>
      <c r="O359" s="57">
        <f t="shared" si="78"/>
        <v>2224.0711680000004</v>
      </c>
      <c r="P359" s="58">
        <f t="shared" si="79"/>
        <v>417.01334400000002</v>
      </c>
      <c r="Q359" s="58">
        <f t="shared" si="80"/>
        <v>278.00889599999999</v>
      </c>
      <c r="R359" s="66">
        <f t="shared" si="74"/>
        <v>38.921245440000014</v>
      </c>
      <c r="S359" s="64">
        <f t="shared" si="81"/>
        <v>240</v>
      </c>
      <c r="T359" s="66">
        <f t="shared" si="82"/>
        <v>2502.9924134400003</v>
      </c>
      <c r="U359" s="68">
        <f t="shared" si="83"/>
        <v>39.109256460000005</v>
      </c>
      <c r="V359" s="68">
        <f t="shared" si="84"/>
        <v>469.31107752000003</v>
      </c>
      <c r="W359" s="68">
        <f t="shared" si="85"/>
        <v>312.87405168000004</v>
      </c>
    </row>
    <row r="360" spans="1:23" x14ac:dyDescent="0.25">
      <c r="A360" s="169" t="s">
        <v>889</v>
      </c>
      <c r="B360" s="61" t="s">
        <v>396</v>
      </c>
      <c r="C360" s="61" t="s">
        <v>591</v>
      </c>
      <c r="D360" s="61" t="s">
        <v>869</v>
      </c>
      <c r="E360" s="1" t="s">
        <v>352</v>
      </c>
      <c r="F360" s="62" t="str">
        <f t="shared" si="75"/>
        <v>60616</v>
      </c>
      <c r="G360" s="1">
        <v>10620070</v>
      </c>
      <c r="H360" s="1" t="s">
        <v>387</v>
      </c>
      <c r="I360" s="61">
        <v>26</v>
      </c>
      <c r="J360" s="61">
        <v>6.6</v>
      </c>
      <c r="K360" s="61">
        <v>8.8000000000000007</v>
      </c>
      <c r="L360" s="69">
        <f t="shared" si="76"/>
        <v>1.716</v>
      </c>
      <c r="M360" s="69">
        <f t="shared" si="77"/>
        <v>2.2880000000000003</v>
      </c>
      <c r="N360" s="56">
        <f>INDEX(Rate_Chart!$A$1:$AK$127,MATCH(Data!J360,Rate_Chart!$A$1:$A$127,0),MATCH(Data!K360,Rate_Chart!$A$1:$AK$1,0))</f>
        <v>54.558900000000001</v>
      </c>
      <c r="O360" s="57">
        <f t="shared" si="78"/>
        <v>1418.5314000000001</v>
      </c>
      <c r="P360" s="58">
        <f t="shared" si="79"/>
        <v>437.63823529411764</v>
      </c>
      <c r="Q360" s="58">
        <f t="shared" si="80"/>
        <v>291.75882352941176</v>
      </c>
      <c r="R360" s="66">
        <f t="shared" si="74"/>
        <v>24.824299500000002</v>
      </c>
      <c r="S360" s="64">
        <f t="shared" si="81"/>
        <v>97.5</v>
      </c>
      <c r="T360" s="66">
        <f t="shared" si="82"/>
        <v>1540.8556995000001</v>
      </c>
      <c r="U360" s="68">
        <f t="shared" si="83"/>
        <v>59.263680750000006</v>
      </c>
      <c r="V360" s="68">
        <f t="shared" si="84"/>
        <v>475.37711831550803</v>
      </c>
      <c r="W360" s="68">
        <f t="shared" si="85"/>
        <v>316.91807887700537</v>
      </c>
    </row>
    <row r="361" spans="1:23" x14ac:dyDescent="0.25">
      <c r="A361" s="169" t="s">
        <v>889</v>
      </c>
      <c r="B361" s="61" t="s">
        <v>396</v>
      </c>
      <c r="C361" s="61" t="s">
        <v>591</v>
      </c>
      <c r="D361" s="61" t="s">
        <v>869</v>
      </c>
      <c r="E361" s="1" t="s">
        <v>352</v>
      </c>
      <c r="F361" s="62" t="str">
        <f t="shared" si="75"/>
        <v>60616</v>
      </c>
      <c r="G361" s="1">
        <v>10620070</v>
      </c>
      <c r="H361" s="1" t="s">
        <v>388</v>
      </c>
      <c r="I361" s="61">
        <v>55</v>
      </c>
      <c r="J361" s="61">
        <v>3.4</v>
      </c>
      <c r="K361" s="61">
        <v>8.1999999999999993</v>
      </c>
      <c r="L361" s="69">
        <f t="shared" si="76"/>
        <v>1.87</v>
      </c>
      <c r="M361" s="69">
        <f t="shared" si="77"/>
        <v>4.51</v>
      </c>
      <c r="N361" s="56">
        <f>INDEX(Rate_Chart!$A$1:$AK$127,MATCH(Data!J361,Rate_Chart!$A$1:$A$127,0),MATCH(Data!K361,Rate_Chart!$A$1:$AK$1,0))</f>
        <v>36.975139800000001</v>
      </c>
      <c r="O361" s="57">
        <f t="shared" si="78"/>
        <v>2033.632689</v>
      </c>
      <c r="P361" s="58">
        <f t="shared" si="79"/>
        <v>417.01285488721805</v>
      </c>
      <c r="Q361" s="58">
        <f t="shared" si="80"/>
        <v>278.00856992481204</v>
      </c>
      <c r="R361" s="66">
        <f t="shared" si="74"/>
        <v>35.588572057500002</v>
      </c>
      <c r="S361" s="64">
        <f t="shared" si="81"/>
        <v>206.25</v>
      </c>
      <c r="T361" s="66">
        <f t="shared" si="82"/>
        <v>2275.4712610575002</v>
      </c>
      <c r="U361" s="68">
        <f t="shared" si="83"/>
        <v>41.372204746500003</v>
      </c>
      <c r="V361" s="68">
        <f t="shared" si="84"/>
        <v>466.60381293045111</v>
      </c>
      <c r="W361" s="68">
        <f t="shared" si="85"/>
        <v>311.06920862030074</v>
      </c>
    </row>
    <row r="362" spans="1:23" x14ac:dyDescent="0.25">
      <c r="A362" s="169" t="s">
        <v>889</v>
      </c>
      <c r="B362" s="61" t="s">
        <v>397</v>
      </c>
      <c r="C362" s="61" t="s">
        <v>591</v>
      </c>
      <c r="D362" s="61" t="s">
        <v>869</v>
      </c>
      <c r="E362" s="1" t="s">
        <v>352</v>
      </c>
      <c r="F362" s="62" t="str">
        <f t="shared" si="75"/>
        <v>60616</v>
      </c>
      <c r="G362" s="1">
        <v>10620070</v>
      </c>
      <c r="H362" s="1" t="s">
        <v>387</v>
      </c>
      <c r="I362" s="61">
        <v>18</v>
      </c>
      <c r="J362" s="61">
        <v>7</v>
      </c>
      <c r="K362" s="61">
        <v>8.8000000000000007</v>
      </c>
      <c r="L362" s="69">
        <f t="shared" si="76"/>
        <v>1.26</v>
      </c>
      <c r="M362" s="69">
        <f t="shared" si="77"/>
        <v>1.5840000000000001</v>
      </c>
      <c r="N362" s="56">
        <f>INDEX(Rate_Chart!$A$1:$AK$127,MATCH(Data!J362,Rate_Chart!$A$1:$A$127,0),MATCH(Data!K362,Rate_Chart!$A$1:$AK$1,0))</f>
        <v>57.865500000000004</v>
      </c>
      <c r="O362" s="57">
        <f t="shared" si="78"/>
        <v>1041.5790000000002</v>
      </c>
      <c r="P362" s="58">
        <f t="shared" si="79"/>
        <v>449.73186528497411</v>
      </c>
      <c r="Q362" s="58">
        <f t="shared" si="80"/>
        <v>299.82124352331607</v>
      </c>
      <c r="R362" s="66">
        <f t="shared" si="74"/>
        <v>18.227632500000006</v>
      </c>
      <c r="S362" s="64">
        <f t="shared" si="81"/>
        <v>67.5</v>
      </c>
      <c r="T362" s="66">
        <f t="shared" si="82"/>
        <v>1127.3066325000002</v>
      </c>
      <c r="U362" s="68">
        <f t="shared" si="83"/>
        <v>62.628146250000015</v>
      </c>
      <c r="V362" s="68">
        <f t="shared" si="84"/>
        <v>486.74725064766847</v>
      </c>
      <c r="W362" s="68">
        <f t="shared" si="85"/>
        <v>324.49816709844566</v>
      </c>
    </row>
    <row r="363" spans="1:23" x14ac:dyDescent="0.25">
      <c r="A363" s="169" t="s">
        <v>889</v>
      </c>
      <c r="B363" s="61" t="s">
        <v>397</v>
      </c>
      <c r="C363" s="61" t="s">
        <v>591</v>
      </c>
      <c r="D363" s="61" t="s">
        <v>869</v>
      </c>
      <c r="E363" s="1" t="s">
        <v>352</v>
      </c>
      <c r="F363" s="62" t="str">
        <f t="shared" si="75"/>
        <v>60616</v>
      </c>
      <c r="G363" s="1">
        <v>10620070</v>
      </c>
      <c r="H363" s="1" t="s">
        <v>388</v>
      </c>
      <c r="I363" s="61">
        <v>63</v>
      </c>
      <c r="J363" s="61">
        <v>3.1</v>
      </c>
      <c r="K363" s="61">
        <v>8.1</v>
      </c>
      <c r="L363" s="69">
        <f t="shared" si="76"/>
        <v>1.9530000000000001</v>
      </c>
      <c r="M363" s="69">
        <f t="shared" si="77"/>
        <v>5.1029999999999998</v>
      </c>
      <c r="N363" s="56">
        <f>INDEX(Rate_Chart!$A$1:$AK$127,MATCH(Data!J363,Rate_Chart!$A$1:$A$127,0),MATCH(Data!K363,Rate_Chart!$A$1:$AK$1,0))</f>
        <v>35.446125899999998</v>
      </c>
      <c r="O363" s="57">
        <f t="shared" si="78"/>
        <v>2233.1059316999999</v>
      </c>
      <c r="P363" s="58">
        <f t="shared" si="79"/>
        <v>417.01324588235298</v>
      </c>
      <c r="Q363" s="58">
        <f t="shared" si="80"/>
        <v>278.0088305882353</v>
      </c>
      <c r="R363" s="66">
        <f t="shared" si="74"/>
        <v>39.079353804749999</v>
      </c>
      <c r="S363" s="64">
        <f t="shared" si="81"/>
        <v>236.25</v>
      </c>
      <c r="T363" s="66">
        <f t="shared" si="82"/>
        <v>2508.43528550475</v>
      </c>
      <c r="U363" s="68">
        <f t="shared" si="83"/>
        <v>39.816433103249999</v>
      </c>
      <c r="V363" s="68">
        <f t="shared" si="84"/>
        <v>468.42862474411766</v>
      </c>
      <c r="W363" s="68">
        <f t="shared" si="85"/>
        <v>312.28574982941177</v>
      </c>
    </row>
    <row r="364" spans="1:23" x14ac:dyDescent="0.25">
      <c r="A364" s="169" t="s">
        <v>890</v>
      </c>
      <c r="B364" s="61" t="s">
        <v>396</v>
      </c>
      <c r="C364" s="61" t="s">
        <v>591</v>
      </c>
      <c r="D364" s="61" t="s">
        <v>869</v>
      </c>
      <c r="E364" s="1" t="s">
        <v>352</v>
      </c>
      <c r="F364" s="62" t="str">
        <f t="shared" si="75"/>
        <v>60616</v>
      </c>
      <c r="G364" s="1">
        <v>10620070</v>
      </c>
      <c r="H364" s="1" t="s">
        <v>387</v>
      </c>
      <c r="I364" s="61">
        <v>21</v>
      </c>
      <c r="J364" s="61">
        <v>7.8</v>
      </c>
      <c r="K364" s="61">
        <v>9</v>
      </c>
      <c r="L364" s="69">
        <f t="shared" si="76"/>
        <v>1.6379999999999999</v>
      </c>
      <c r="M364" s="69">
        <f t="shared" si="77"/>
        <v>1.89</v>
      </c>
      <c r="N364" s="56">
        <f>INDEX(Rate_Chart!$A$1:$AK$127,MATCH(Data!J364,Rate_Chart!$A$1:$A$127,0),MATCH(Data!K364,Rate_Chart!$A$1:$AK$1,0))</f>
        <v>65.13</v>
      </c>
      <c r="O364" s="57">
        <f t="shared" si="78"/>
        <v>1367.73</v>
      </c>
      <c r="P364" s="58">
        <f t="shared" si="79"/>
        <v>471.95652173913038</v>
      </c>
      <c r="Q364" s="58">
        <f t="shared" si="80"/>
        <v>314.63768115942025</v>
      </c>
      <c r="R364" s="66">
        <f t="shared" si="74"/>
        <v>23.935275000000004</v>
      </c>
      <c r="S364" s="64">
        <f t="shared" si="81"/>
        <v>78.75</v>
      </c>
      <c r="T364" s="66">
        <f t="shared" si="82"/>
        <v>1470.4152750000001</v>
      </c>
      <c r="U364" s="68">
        <f t="shared" si="83"/>
        <v>70.01977500000001</v>
      </c>
      <c r="V364" s="68">
        <f t="shared" si="84"/>
        <v>507.38967391304351</v>
      </c>
      <c r="W364" s="68">
        <f t="shared" si="85"/>
        <v>338.25978260869567</v>
      </c>
    </row>
    <row r="365" spans="1:23" x14ac:dyDescent="0.25">
      <c r="A365" s="169" t="s">
        <v>890</v>
      </c>
      <c r="B365" s="61" t="s">
        <v>396</v>
      </c>
      <c r="C365" s="61" t="s">
        <v>591</v>
      </c>
      <c r="D365" s="61" t="s">
        <v>869</v>
      </c>
      <c r="E365" s="1" t="s">
        <v>352</v>
      </c>
      <c r="F365" s="62" t="str">
        <f t="shared" si="75"/>
        <v>60616</v>
      </c>
      <c r="G365" s="1">
        <v>10620070</v>
      </c>
      <c r="H365" s="1" t="s">
        <v>388</v>
      </c>
      <c r="I365" s="61">
        <v>70</v>
      </c>
      <c r="J365" s="61">
        <v>3.8</v>
      </c>
      <c r="K365" s="61">
        <v>8</v>
      </c>
      <c r="L365" s="69">
        <f t="shared" si="76"/>
        <v>2.66</v>
      </c>
      <c r="M365" s="69">
        <f t="shared" si="77"/>
        <v>5.6</v>
      </c>
      <c r="N365" s="56">
        <f>INDEX(Rate_Chart!$A$1:$AK$127,MATCH(Data!J365,Rate_Chart!$A$1:$A$127,0),MATCH(Data!K365,Rate_Chart!$A$1:$AK$1,0))</f>
        <v>38.087112000000005</v>
      </c>
      <c r="O365" s="57">
        <f t="shared" si="78"/>
        <v>2666.0978400000004</v>
      </c>
      <c r="P365" s="58">
        <f t="shared" si="79"/>
        <v>417.01217518248177</v>
      </c>
      <c r="Q365" s="58">
        <f t="shared" si="80"/>
        <v>278.00811678832116</v>
      </c>
      <c r="R365" s="66">
        <f t="shared" si="74"/>
        <v>46.656712200000008</v>
      </c>
      <c r="S365" s="64">
        <f t="shared" si="81"/>
        <v>262.5</v>
      </c>
      <c r="T365" s="66">
        <f t="shared" si="82"/>
        <v>2975.2545522000005</v>
      </c>
      <c r="U365" s="68">
        <f t="shared" si="83"/>
        <v>42.50363646000001</v>
      </c>
      <c r="V365" s="68">
        <f t="shared" si="84"/>
        <v>465.36828240875923</v>
      </c>
      <c r="W365" s="68">
        <f t="shared" si="85"/>
        <v>310.24552160583949</v>
      </c>
    </row>
    <row r="366" spans="1:23" x14ac:dyDescent="0.25">
      <c r="A366" s="169" t="s">
        <v>890</v>
      </c>
      <c r="B366" s="61" t="s">
        <v>397</v>
      </c>
      <c r="C366" s="61" t="s">
        <v>591</v>
      </c>
      <c r="D366" s="61" t="s">
        <v>869</v>
      </c>
      <c r="E366" s="1" t="s">
        <v>352</v>
      </c>
      <c r="F366" s="62" t="str">
        <f t="shared" si="75"/>
        <v>60616</v>
      </c>
      <c r="G366" s="1">
        <v>10620070</v>
      </c>
      <c r="H366" s="1" t="s">
        <v>387</v>
      </c>
      <c r="I366" s="61">
        <v>9</v>
      </c>
      <c r="J366" s="61">
        <v>7.8</v>
      </c>
      <c r="K366" s="61">
        <v>9</v>
      </c>
      <c r="L366" s="69">
        <f t="shared" si="76"/>
        <v>0.70200000000000007</v>
      </c>
      <c r="M366" s="69">
        <f t="shared" si="77"/>
        <v>0.81</v>
      </c>
      <c r="N366" s="56">
        <f>INDEX(Rate_Chart!$A$1:$AK$127,MATCH(Data!J366,Rate_Chart!$A$1:$A$127,0),MATCH(Data!K366,Rate_Chart!$A$1:$AK$1,0))</f>
        <v>65.13</v>
      </c>
      <c r="O366" s="57">
        <f t="shared" si="78"/>
        <v>586.16999999999996</v>
      </c>
      <c r="P366" s="58">
        <f t="shared" si="79"/>
        <v>471.95652173913038</v>
      </c>
      <c r="Q366" s="58">
        <f t="shared" si="80"/>
        <v>314.63768115942025</v>
      </c>
      <c r="R366" s="66">
        <f t="shared" si="74"/>
        <v>10.257975</v>
      </c>
      <c r="S366" s="64">
        <f t="shared" si="81"/>
        <v>33.75</v>
      </c>
      <c r="T366" s="66">
        <f t="shared" si="82"/>
        <v>630.17797499999995</v>
      </c>
      <c r="U366" s="68">
        <f t="shared" si="83"/>
        <v>70.019774999999996</v>
      </c>
      <c r="V366" s="68">
        <f t="shared" si="84"/>
        <v>507.3896739130434</v>
      </c>
      <c r="W366" s="68">
        <f t="shared" si="85"/>
        <v>338.25978260869562</v>
      </c>
    </row>
    <row r="367" spans="1:23" x14ac:dyDescent="0.25">
      <c r="A367" s="169" t="s">
        <v>890</v>
      </c>
      <c r="B367" s="61" t="s">
        <v>397</v>
      </c>
      <c r="C367" s="61" t="s">
        <v>591</v>
      </c>
      <c r="D367" s="61" t="s">
        <v>869</v>
      </c>
      <c r="E367" s="1" t="s">
        <v>352</v>
      </c>
      <c r="F367" s="62" t="str">
        <f t="shared" si="75"/>
        <v>60616</v>
      </c>
      <c r="G367" s="1">
        <v>10620070</v>
      </c>
      <c r="H367" s="1" t="s">
        <v>388</v>
      </c>
      <c r="I367" s="61">
        <v>66</v>
      </c>
      <c r="J367" s="61">
        <v>3.7</v>
      </c>
      <c r="K367" s="61">
        <v>8.4</v>
      </c>
      <c r="L367" s="69">
        <f t="shared" si="76"/>
        <v>2.4420000000000002</v>
      </c>
      <c r="M367" s="69">
        <f t="shared" si="77"/>
        <v>5.5439999999999996</v>
      </c>
      <c r="N367" s="56">
        <f>INDEX(Rate_Chart!$A$1:$AK$127,MATCH(Data!J367,Rate_Chart!$A$1:$A$127,0),MATCH(Data!K367,Rate_Chart!$A$1:$AK$1,0))</f>
        <v>38.782167600000008</v>
      </c>
      <c r="O367" s="57">
        <f t="shared" si="78"/>
        <v>2559.6230616000007</v>
      </c>
      <c r="P367" s="58">
        <f t="shared" si="79"/>
        <v>417.01255483870978</v>
      </c>
      <c r="Q367" s="58">
        <f t="shared" si="80"/>
        <v>278.00836989247318</v>
      </c>
      <c r="R367" s="66">
        <f t="shared" si="74"/>
        <v>44.793403578000017</v>
      </c>
      <c r="S367" s="64">
        <f t="shared" si="81"/>
        <v>247.5</v>
      </c>
      <c r="T367" s="66">
        <f t="shared" si="82"/>
        <v>2851.9164651780006</v>
      </c>
      <c r="U367" s="68">
        <f t="shared" si="83"/>
        <v>43.210855533000007</v>
      </c>
      <c r="V367" s="68">
        <f t="shared" si="84"/>
        <v>464.63285519354849</v>
      </c>
      <c r="W367" s="68">
        <f t="shared" si="85"/>
        <v>309.75523679569898</v>
      </c>
    </row>
    <row r="368" spans="1:23" x14ac:dyDescent="0.25">
      <c r="A368" s="169" t="s">
        <v>891</v>
      </c>
      <c r="B368" s="61" t="s">
        <v>396</v>
      </c>
      <c r="C368" s="61" t="s">
        <v>591</v>
      </c>
      <c r="D368" s="61" t="s">
        <v>869</v>
      </c>
      <c r="E368" s="1" t="s">
        <v>352</v>
      </c>
      <c r="F368" s="62" t="str">
        <f t="shared" si="75"/>
        <v>60616</v>
      </c>
      <c r="G368" s="1">
        <v>10620070</v>
      </c>
      <c r="H368" s="1" t="s">
        <v>387</v>
      </c>
      <c r="I368" s="61">
        <v>17</v>
      </c>
      <c r="J368" s="61">
        <v>6.9</v>
      </c>
      <c r="K368" s="61">
        <v>9</v>
      </c>
      <c r="L368" s="69">
        <f t="shared" si="76"/>
        <v>1.173</v>
      </c>
      <c r="M368" s="69">
        <f t="shared" si="77"/>
        <v>1.53</v>
      </c>
      <c r="N368" s="56">
        <f>INDEX(Rate_Chart!$A$1:$AK$127,MATCH(Data!J368,Rate_Chart!$A$1:$A$127,0),MATCH(Data!K368,Rate_Chart!$A$1:$AK$1,0))</f>
        <v>57.615000000000002</v>
      </c>
      <c r="O368" s="57">
        <f t="shared" si="78"/>
        <v>979.45500000000004</v>
      </c>
      <c r="P368" s="58">
        <f t="shared" si="79"/>
        <v>446.62790697674421</v>
      </c>
      <c r="Q368" s="58">
        <f t="shared" si="80"/>
        <v>297.75193798449612</v>
      </c>
      <c r="R368" s="66">
        <f t="shared" si="74"/>
        <v>17.140462500000002</v>
      </c>
      <c r="S368" s="64">
        <f t="shared" si="81"/>
        <v>63.75</v>
      </c>
      <c r="T368" s="66">
        <f t="shared" si="82"/>
        <v>1060.3454624999999</v>
      </c>
      <c r="U368" s="68">
        <f t="shared" si="83"/>
        <v>62.373262499999996</v>
      </c>
      <c r="V368" s="68">
        <f t="shared" si="84"/>
        <v>483.51366279069765</v>
      </c>
      <c r="W368" s="68">
        <f t="shared" si="85"/>
        <v>322.3424418604651</v>
      </c>
    </row>
    <row r="369" spans="1:23" x14ac:dyDescent="0.25">
      <c r="A369" s="169" t="s">
        <v>891</v>
      </c>
      <c r="B369" s="61" t="s">
        <v>396</v>
      </c>
      <c r="C369" s="61" t="s">
        <v>591</v>
      </c>
      <c r="D369" s="61" t="s">
        <v>869</v>
      </c>
      <c r="E369" s="1" t="s">
        <v>352</v>
      </c>
      <c r="F369" s="62" t="str">
        <f t="shared" si="75"/>
        <v>60616</v>
      </c>
      <c r="G369" s="1">
        <v>10620070</v>
      </c>
      <c r="H369" s="1" t="s">
        <v>388</v>
      </c>
      <c r="I369" s="61">
        <v>68</v>
      </c>
      <c r="J369" s="61">
        <v>3.3</v>
      </c>
      <c r="K369" s="61">
        <v>8</v>
      </c>
      <c r="L369" s="69">
        <f t="shared" si="76"/>
        <v>2.2439999999999998</v>
      </c>
      <c r="M369" s="69">
        <f t="shared" si="77"/>
        <v>5.44</v>
      </c>
      <c r="N369" s="56">
        <f>INDEX(Rate_Chart!$A$1:$AK$127,MATCH(Data!J369,Rate_Chart!$A$1:$A$127,0),MATCH(Data!K369,Rate_Chart!$A$1:$AK$1,0))</f>
        <v>36.002112000000004</v>
      </c>
      <c r="O369" s="57">
        <f t="shared" si="78"/>
        <v>2448.1436160000003</v>
      </c>
      <c r="P369" s="58">
        <f t="shared" si="79"/>
        <v>417.01288030888031</v>
      </c>
      <c r="Q369" s="58">
        <f t="shared" si="80"/>
        <v>278.00858687258687</v>
      </c>
      <c r="R369" s="66">
        <f t="shared" si="74"/>
        <v>42.842513280000006</v>
      </c>
      <c r="S369" s="64">
        <f t="shared" si="81"/>
        <v>255</v>
      </c>
      <c r="T369" s="66">
        <f t="shared" si="82"/>
        <v>2745.9861292800001</v>
      </c>
      <c r="U369" s="68">
        <f t="shared" si="83"/>
        <v>40.382148960000002</v>
      </c>
      <c r="V369" s="68">
        <f t="shared" si="84"/>
        <v>467.74689915057911</v>
      </c>
      <c r="W369" s="68">
        <f t="shared" si="85"/>
        <v>311.83126610038607</v>
      </c>
    </row>
    <row r="370" spans="1:23" x14ac:dyDescent="0.25">
      <c r="A370" s="169" t="s">
        <v>891</v>
      </c>
      <c r="B370" s="61" t="s">
        <v>397</v>
      </c>
      <c r="C370" s="61" t="s">
        <v>591</v>
      </c>
      <c r="D370" s="61" t="s">
        <v>869</v>
      </c>
      <c r="E370" s="1" t="s">
        <v>352</v>
      </c>
      <c r="F370" s="62" t="str">
        <f t="shared" si="75"/>
        <v>60616</v>
      </c>
      <c r="G370" s="1">
        <v>10620070</v>
      </c>
      <c r="H370" s="1" t="s">
        <v>387</v>
      </c>
      <c r="I370" s="61">
        <v>13</v>
      </c>
      <c r="J370" s="61">
        <v>6.9</v>
      </c>
      <c r="K370" s="61">
        <v>9</v>
      </c>
      <c r="L370" s="69">
        <f t="shared" si="76"/>
        <v>0.89700000000000002</v>
      </c>
      <c r="M370" s="69">
        <f t="shared" si="77"/>
        <v>1.17</v>
      </c>
      <c r="N370" s="56">
        <f>INDEX(Rate_Chart!$A$1:$AK$127,MATCH(Data!J370,Rate_Chart!$A$1:$A$127,0),MATCH(Data!K370,Rate_Chart!$A$1:$AK$1,0))</f>
        <v>57.615000000000002</v>
      </c>
      <c r="O370" s="57">
        <f t="shared" si="78"/>
        <v>748.995</v>
      </c>
      <c r="P370" s="58">
        <f t="shared" si="79"/>
        <v>446.62790697674421</v>
      </c>
      <c r="Q370" s="58">
        <f t="shared" si="80"/>
        <v>297.75193798449612</v>
      </c>
      <c r="R370" s="66">
        <f t="shared" si="74"/>
        <v>13.107412500000001</v>
      </c>
      <c r="S370" s="64">
        <f t="shared" si="81"/>
        <v>48.75</v>
      </c>
      <c r="T370" s="66">
        <f t="shared" si="82"/>
        <v>810.85241250000001</v>
      </c>
      <c r="U370" s="68">
        <f t="shared" si="83"/>
        <v>62.373262500000003</v>
      </c>
      <c r="V370" s="68">
        <f t="shared" si="84"/>
        <v>483.51366279069771</v>
      </c>
      <c r="W370" s="68">
        <f t="shared" si="85"/>
        <v>322.34244186046516</v>
      </c>
    </row>
    <row r="371" spans="1:23" x14ac:dyDescent="0.25">
      <c r="A371" s="169" t="s">
        <v>891</v>
      </c>
      <c r="B371" s="61" t="s">
        <v>397</v>
      </c>
      <c r="C371" s="61" t="s">
        <v>591</v>
      </c>
      <c r="D371" s="61" t="s">
        <v>869</v>
      </c>
      <c r="E371" s="1" t="s">
        <v>352</v>
      </c>
      <c r="F371" s="62" t="str">
        <f t="shared" si="75"/>
        <v>60616</v>
      </c>
      <c r="G371" s="1">
        <v>10620070</v>
      </c>
      <c r="H371" s="1" t="s">
        <v>388</v>
      </c>
      <c r="I371" s="61">
        <v>57</v>
      </c>
      <c r="J371" s="61">
        <v>3.3</v>
      </c>
      <c r="K371" s="61">
        <v>8.1999999999999993</v>
      </c>
      <c r="L371" s="69">
        <f t="shared" si="76"/>
        <v>1.881</v>
      </c>
      <c r="M371" s="69">
        <f t="shared" si="77"/>
        <v>4.6739999999999995</v>
      </c>
      <c r="N371" s="56">
        <f>INDEX(Rate_Chart!$A$1:$AK$127,MATCH(Data!J371,Rate_Chart!$A$1:$A$127,0),MATCH(Data!K371,Rate_Chart!$A$1:$AK$1,0))</f>
        <v>36.558139799999999</v>
      </c>
      <c r="O371" s="57">
        <f t="shared" si="78"/>
        <v>2083.8139686</v>
      </c>
      <c r="P371" s="58">
        <f t="shared" si="79"/>
        <v>417.0130015209125</v>
      </c>
      <c r="Q371" s="58">
        <f t="shared" si="80"/>
        <v>278.00866768060831</v>
      </c>
      <c r="R371" s="66">
        <f t="shared" si="74"/>
        <v>36.466744450500002</v>
      </c>
      <c r="S371" s="64">
        <f t="shared" si="81"/>
        <v>213.75</v>
      </c>
      <c r="T371" s="66">
        <f t="shared" si="82"/>
        <v>2334.0307130504998</v>
      </c>
      <c r="U371" s="68">
        <f t="shared" si="83"/>
        <v>40.947907246499994</v>
      </c>
      <c r="V371" s="68">
        <f t="shared" si="84"/>
        <v>467.086394446768</v>
      </c>
      <c r="W371" s="68">
        <f t="shared" si="85"/>
        <v>311.39092963117866</v>
      </c>
    </row>
    <row r="372" spans="1:23" x14ac:dyDescent="0.25">
      <c r="A372" s="169" t="s">
        <v>892</v>
      </c>
      <c r="B372" s="61" t="s">
        <v>396</v>
      </c>
      <c r="C372" s="61" t="s">
        <v>591</v>
      </c>
      <c r="D372" s="61" t="s">
        <v>869</v>
      </c>
      <c r="E372" s="1" t="s">
        <v>352</v>
      </c>
      <c r="F372" s="62" t="str">
        <f t="shared" si="75"/>
        <v>60616</v>
      </c>
      <c r="G372" s="1">
        <v>10620070</v>
      </c>
      <c r="H372" s="1" t="s">
        <v>387</v>
      </c>
      <c r="I372" s="61">
        <v>16</v>
      </c>
      <c r="J372" s="61">
        <v>7.5</v>
      </c>
      <c r="K372" s="61">
        <v>8.8000000000000007</v>
      </c>
      <c r="L372" s="69">
        <f t="shared" si="76"/>
        <v>1.2</v>
      </c>
      <c r="M372" s="69">
        <f t="shared" si="77"/>
        <v>1.4080000000000001</v>
      </c>
      <c r="N372" s="56">
        <f>INDEX(Rate_Chart!$A$1:$AK$127,MATCH(Data!J372,Rate_Chart!$A$1:$A$127,0),MATCH(Data!K372,Rate_Chart!$A$1:$AK$1,0))</f>
        <v>61.998750000000001</v>
      </c>
      <c r="O372" s="57">
        <f t="shared" si="78"/>
        <v>991.98</v>
      </c>
      <c r="P372" s="58">
        <f t="shared" si="79"/>
        <v>463.83104738154617</v>
      </c>
      <c r="Q372" s="58">
        <f t="shared" si="80"/>
        <v>309.22069825436409</v>
      </c>
      <c r="R372" s="66">
        <f t="shared" si="74"/>
        <v>17.359650000000002</v>
      </c>
      <c r="S372" s="64">
        <f t="shared" si="81"/>
        <v>60</v>
      </c>
      <c r="T372" s="66">
        <f t="shared" si="82"/>
        <v>1069.3396500000001</v>
      </c>
      <c r="U372" s="68">
        <f t="shared" si="83"/>
        <v>66.833728125000007</v>
      </c>
      <c r="V372" s="68">
        <f t="shared" si="84"/>
        <v>500.00295355361607</v>
      </c>
      <c r="W372" s="68">
        <f t="shared" si="85"/>
        <v>333.3353023690774</v>
      </c>
    </row>
    <row r="373" spans="1:23" x14ac:dyDescent="0.25">
      <c r="A373" s="169" t="s">
        <v>892</v>
      </c>
      <c r="B373" s="61" t="s">
        <v>396</v>
      </c>
      <c r="C373" s="61" t="s">
        <v>591</v>
      </c>
      <c r="D373" s="61" t="s">
        <v>869</v>
      </c>
      <c r="E373" s="1" t="s">
        <v>352</v>
      </c>
      <c r="F373" s="62" t="str">
        <f t="shared" si="75"/>
        <v>60616</v>
      </c>
      <c r="G373" s="1">
        <v>10620070</v>
      </c>
      <c r="H373" s="1" t="s">
        <v>388</v>
      </c>
      <c r="I373" s="61">
        <v>77</v>
      </c>
      <c r="J373" s="61">
        <v>3</v>
      </c>
      <c r="K373" s="61">
        <v>8</v>
      </c>
      <c r="L373" s="69">
        <f t="shared" si="76"/>
        <v>2.31</v>
      </c>
      <c r="M373" s="69">
        <f t="shared" si="77"/>
        <v>6.16</v>
      </c>
      <c r="N373" s="56">
        <f>INDEX(Rate_Chart!$A$1:$AK$127,MATCH(Data!J373,Rate_Chart!$A$1:$A$127,0),MATCH(Data!K373,Rate_Chart!$A$1:$AK$1,0))</f>
        <v>34.751112000000006</v>
      </c>
      <c r="O373" s="57">
        <f t="shared" si="78"/>
        <v>2675.8356240000003</v>
      </c>
      <c r="P373" s="58">
        <f t="shared" si="79"/>
        <v>417.01334400000002</v>
      </c>
      <c r="Q373" s="58">
        <f t="shared" si="80"/>
        <v>278.00889599999999</v>
      </c>
      <c r="R373" s="66">
        <f t="shared" si="74"/>
        <v>46.827123420000007</v>
      </c>
      <c r="S373" s="64">
        <f t="shared" si="81"/>
        <v>288.75</v>
      </c>
      <c r="T373" s="66">
        <f t="shared" si="82"/>
        <v>3011.4127474200004</v>
      </c>
      <c r="U373" s="68">
        <f t="shared" si="83"/>
        <v>39.109256460000005</v>
      </c>
      <c r="V373" s="68">
        <f t="shared" si="84"/>
        <v>469.31107752000003</v>
      </c>
      <c r="W373" s="68">
        <f t="shared" si="85"/>
        <v>312.87405168000004</v>
      </c>
    </row>
    <row r="374" spans="1:23" x14ac:dyDescent="0.25">
      <c r="A374" s="169" t="s">
        <v>892</v>
      </c>
      <c r="B374" s="61" t="s">
        <v>397</v>
      </c>
      <c r="C374" s="61" t="s">
        <v>591</v>
      </c>
      <c r="D374" s="61" t="s">
        <v>869</v>
      </c>
      <c r="E374" s="1" t="s">
        <v>352</v>
      </c>
      <c r="F374" s="62" t="str">
        <f t="shared" si="75"/>
        <v>60616</v>
      </c>
      <c r="G374" s="1">
        <v>10620070</v>
      </c>
      <c r="H374" s="1" t="s">
        <v>387</v>
      </c>
      <c r="I374" s="61">
        <v>18</v>
      </c>
      <c r="J374" s="61">
        <v>6.9</v>
      </c>
      <c r="K374" s="61">
        <v>9</v>
      </c>
      <c r="L374" s="69">
        <f t="shared" si="76"/>
        <v>1.242</v>
      </c>
      <c r="M374" s="69">
        <f t="shared" si="77"/>
        <v>1.62</v>
      </c>
      <c r="N374" s="56">
        <f>INDEX(Rate_Chart!$A$1:$AK$127,MATCH(Data!J374,Rate_Chart!$A$1:$A$127,0),MATCH(Data!K374,Rate_Chart!$A$1:$AK$1,0))</f>
        <v>57.615000000000002</v>
      </c>
      <c r="O374" s="57">
        <f t="shared" si="78"/>
        <v>1037.07</v>
      </c>
      <c r="P374" s="58">
        <f t="shared" si="79"/>
        <v>446.62790697674421</v>
      </c>
      <c r="Q374" s="58">
        <f t="shared" si="80"/>
        <v>297.75193798449612</v>
      </c>
      <c r="R374" s="66">
        <f t="shared" si="74"/>
        <v>18.148724999999999</v>
      </c>
      <c r="S374" s="64">
        <f t="shared" si="81"/>
        <v>67.5</v>
      </c>
      <c r="T374" s="66">
        <f t="shared" si="82"/>
        <v>1122.7187249999999</v>
      </c>
      <c r="U374" s="68">
        <f t="shared" si="83"/>
        <v>62.373262499999996</v>
      </c>
      <c r="V374" s="68">
        <f t="shared" si="84"/>
        <v>483.51366279069765</v>
      </c>
      <c r="W374" s="68">
        <f t="shared" si="85"/>
        <v>322.3424418604651</v>
      </c>
    </row>
    <row r="375" spans="1:23" x14ac:dyDescent="0.25">
      <c r="A375" s="169" t="s">
        <v>892</v>
      </c>
      <c r="B375" s="61" t="s">
        <v>397</v>
      </c>
      <c r="C375" s="61" t="s">
        <v>591</v>
      </c>
      <c r="D375" s="61" t="s">
        <v>869</v>
      </c>
      <c r="E375" s="1" t="s">
        <v>352</v>
      </c>
      <c r="F375" s="62" t="str">
        <f t="shared" si="75"/>
        <v>60616</v>
      </c>
      <c r="G375" s="1">
        <v>10620070</v>
      </c>
      <c r="H375" s="1" t="s">
        <v>388</v>
      </c>
      <c r="I375" s="61">
        <v>63</v>
      </c>
      <c r="J375" s="61">
        <v>3.1</v>
      </c>
      <c r="K375" s="61">
        <v>8</v>
      </c>
      <c r="L375" s="69">
        <f t="shared" si="76"/>
        <v>1.9530000000000001</v>
      </c>
      <c r="M375" s="69">
        <f t="shared" si="77"/>
        <v>5.04</v>
      </c>
      <c r="N375" s="56">
        <f>INDEX(Rate_Chart!$A$1:$AK$127,MATCH(Data!J375,Rate_Chart!$A$1:$A$127,0),MATCH(Data!K375,Rate_Chart!$A$1:$AK$1,0))</f>
        <v>35.168112000000008</v>
      </c>
      <c r="O375" s="57">
        <f t="shared" si="78"/>
        <v>2215.5910560000007</v>
      </c>
      <c r="P375" s="58">
        <f t="shared" si="79"/>
        <v>417.01318577075102</v>
      </c>
      <c r="Q375" s="58">
        <f t="shared" si="80"/>
        <v>278.00879051383401</v>
      </c>
      <c r="R375" s="66">
        <f t="shared" si="74"/>
        <v>38.772843480000013</v>
      </c>
      <c r="S375" s="64">
        <f t="shared" si="81"/>
        <v>236.25</v>
      </c>
      <c r="T375" s="66">
        <f t="shared" si="82"/>
        <v>2490.6138994800008</v>
      </c>
      <c r="U375" s="68">
        <f t="shared" si="83"/>
        <v>39.533553960000013</v>
      </c>
      <c r="V375" s="68">
        <f t="shared" si="84"/>
        <v>468.77731968379459</v>
      </c>
      <c r="W375" s="68">
        <f t="shared" si="85"/>
        <v>312.51821312252974</v>
      </c>
    </row>
    <row r="376" spans="1:23" x14ac:dyDescent="0.25">
      <c r="A376" s="169" t="s">
        <v>893</v>
      </c>
      <c r="B376" s="61" t="s">
        <v>396</v>
      </c>
      <c r="C376" s="61" t="s">
        <v>591</v>
      </c>
      <c r="D376" s="61" t="s">
        <v>869</v>
      </c>
      <c r="E376" s="1" t="s">
        <v>352</v>
      </c>
      <c r="F376" s="62" t="str">
        <f t="shared" si="75"/>
        <v>60616</v>
      </c>
      <c r="G376" s="1">
        <v>10620070</v>
      </c>
      <c r="H376" s="1" t="s">
        <v>387</v>
      </c>
      <c r="I376" s="61">
        <v>12</v>
      </c>
      <c r="J376" s="61">
        <v>7.4</v>
      </c>
      <c r="K376" s="61">
        <v>9</v>
      </c>
      <c r="L376" s="69">
        <f t="shared" si="76"/>
        <v>0.88800000000000012</v>
      </c>
      <c r="M376" s="69">
        <f t="shared" si="77"/>
        <v>1.08</v>
      </c>
      <c r="N376" s="56">
        <f>INDEX(Rate_Chart!$A$1:$AK$127,MATCH(Data!J376,Rate_Chart!$A$1:$A$127,0),MATCH(Data!K376,Rate_Chart!$A$1:$AK$1,0))</f>
        <v>61.790000000000006</v>
      </c>
      <c r="O376" s="57">
        <f t="shared" si="78"/>
        <v>741.48</v>
      </c>
      <c r="P376" s="58">
        <f t="shared" si="79"/>
        <v>461.11940298507466</v>
      </c>
      <c r="Q376" s="58">
        <f t="shared" si="80"/>
        <v>307.41293532338312</v>
      </c>
      <c r="R376" s="66">
        <f t="shared" si="74"/>
        <v>12.975900000000001</v>
      </c>
      <c r="S376" s="64">
        <f t="shared" si="81"/>
        <v>45</v>
      </c>
      <c r="T376" s="66">
        <f t="shared" si="82"/>
        <v>799.45590000000004</v>
      </c>
      <c r="U376" s="68">
        <f t="shared" si="83"/>
        <v>66.621324999999999</v>
      </c>
      <c r="V376" s="68">
        <f t="shared" si="84"/>
        <v>497.17406716417906</v>
      </c>
      <c r="W376" s="68">
        <f t="shared" si="85"/>
        <v>331.44937810945271</v>
      </c>
    </row>
    <row r="377" spans="1:23" x14ac:dyDescent="0.25">
      <c r="A377" s="169" t="s">
        <v>893</v>
      </c>
      <c r="B377" s="61" t="s">
        <v>396</v>
      </c>
      <c r="C377" s="61" t="s">
        <v>591</v>
      </c>
      <c r="D377" s="61" t="s">
        <v>869</v>
      </c>
      <c r="E377" s="1" t="s">
        <v>352</v>
      </c>
      <c r="F377" s="62" t="str">
        <f t="shared" si="75"/>
        <v>60616</v>
      </c>
      <c r="G377" s="1">
        <v>10620070</v>
      </c>
      <c r="H377" s="1" t="s">
        <v>388</v>
      </c>
      <c r="I377" s="61">
        <v>69</v>
      </c>
      <c r="J377" s="61">
        <v>3</v>
      </c>
      <c r="K377" s="61">
        <v>8</v>
      </c>
      <c r="L377" s="69">
        <f t="shared" si="76"/>
        <v>2.0699999999999998</v>
      </c>
      <c r="M377" s="69">
        <f t="shared" si="77"/>
        <v>5.52</v>
      </c>
      <c r="N377" s="56">
        <f>INDEX(Rate_Chart!$A$1:$AK$127,MATCH(Data!J377,Rate_Chart!$A$1:$A$127,0),MATCH(Data!K377,Rate_Chart!$A$1:$AK$1,0))</f>
        <v>34.751112000000006</v>
      </c>
      <c r="O377" s="57">
        <f t="shared" si="78"/>
        <v>2397.8267280000005</v>
      </c>
      <c r="P377" s="58">
        <f t="shared" si="79"/>
        <v>417.01334400000002</v>
      </c>
      <c r="Q377" s="58">
        <f t="shared" si="80"/>
        <v>278.00889599999999</v>
      </c>
      <c r="R377" s="66">
        <f t="shared" si="74"/>
        <v>41.961967740000013</v>
      </c>
      <c r="S377" s="64">
        <f t="shared" si="81"/>
        <v>258.75</v>
      </c>
      <c r="T377" s="66">
        <f t="shared" si="82"/>
        <v>2698.5386957400005</v>
      </c>
      <c r="U377" s="68">
        <f t="shared" si="83"/>
        <v>39.109256460000005</v>
      </c>
      <c r="V377" s="68">
        <f t="shared" si="84"/>
        <v>469.31107752000003</v>
      </c>
      <c r="W377" s="68">
        <f t="shared" si="85"/>
        <v>312.87405168000004</v>
      </c>
    </row>
    <row r="378" spans="1:23" x14ac:dyDescent="0.25">
      <c r="A378" s="169" t="s">
        <v>893</v>
      </c>
      <c r="B378" s="61" t="s">
        <v>397</v>
      </c>
      <c r="C378" s="61" t="s">
        <v>591</v>
      </c>
      <c r="D378" s="61" t="s">
        <v>869</v>
      </c>
      <c r="E378" s="1" t="s">
        <v>352</v>
      </c>
      <c r="F378" s="62" t="str">
        <f t="shared" si="75"/>
        <v>60616</v>
      </c>
      <c r="G378" s="1">
        <v>10620070</v>
      </c>
      <c r="H378" s="1" t="s">
        <v>387</v>
      </c>
      <c r="I378" s="61">
        <v>14</v>
      </c>
      <c r="J378" s="61">
        <v>6.7</v>
      </c>
      <c r="K378" s="61">
        <v>9</v>
      </c>
      <c r="L378" s="69">
        <f t="shared" si="76"/>
        <v>0.93799999999999994</v>
      </c>
      <c r="M378" s="69">
        <f t="shared" si="77"/>
        <v>1.26</v>
      </c>
      <c r="N378" s="56">
        <f>INDEX(Rate_Chart!$A$1:$AK$127,MATCH(Data!J378,Rate_Chart!$A$1:$A$127,0),MATCH(Data!K378,Rate_Chart!$A$1:$AK$1,0))</f>
        <v>55.945</v>
      </c>
      <c r="O378" s="57">
        <f t="shared" si="78"/>
        <v>783.23</v>
      </c>
      <c r="P378" s="58">
        <f t="shared" si="79"/>
        <v>440.51181102362204</v>
      </c>
      <c r="Q378" s="58">
        <f t="shared" si="80"/>
        <v>293.67454068241472</v>
      </c>
      <c r="R378" s="66">
        <f t="shared" si="74"/>
        <v>13.706525000000001</v>
      </c>
      <c r="S378" s="64">
        <f t="shared" si="81"/>
        <v>52.5</v>
      </c>
      <c r="T378" s="66">
        <f t="shared" si="82"/>
        <v>849.43652500000007</v>
      </c>
      <c r="U378" s="68">
        <f t="shared" si="83"/>
        <v>60.674037500000004</v>
      </c>
      <c r="V378" s="68">
        <f t="shared" si="84"/>
        <v>477.74832677165358</v>
      </c>
      <c r="W378" s="68">
        <f t="shared" si="85"/>
        <v>318.4988845144357</v>
      </c>
    </row>
    <row r="379" spans="1:23" x14ac:dyDescent="0.25">
      <c r="A379" s="169" t="s">
        <v>893</v>
      </c>
      <c r="B379" s="61" t="s">
        <v>397</v>
      </c>
      <c r="C379" s="61" t="s">
        <v>591</v>
      </c>
      <c r="D379" s="61" t="s">
        <v>869</v>
      </c>
      <c r="E379" s="1" t="s">
        <v>352</v>
      </c>
      <c r="F379" s="62" t="str">
        <f t="shared" si="75"/>
        <v>60616</v>
      </c>
      <c r="G379" s="1">
        <v>10620070</v>
      </c>
      <c r="H379" s="1" t="s">
        <v>388</v>
      </c>
      <c r="I379" s="61">
        <v>72</v>
      </c>
      <c r="J379" s="61">
        <v>3.7</v>
      </c>
      <c r="K379" s="61">
        <v>8.4</v>
      </c>
      <c r="L379" s="69">
        <f t="shared" si="76"/>
        <v>2.6640000000000001</v>
      </c>
      <c r="M379" s="69">
        <f t="shared" si="77"/>
        <v>6.0480000000000009</v>
      </c>
      <c r="N379" s="56">
        <f>INDEX(Rate_Chart!$A$1:$AK$127,MATCH(Data!J379,Rate_Chart!$A$1:$A$127,0),MATCH(Data!K379,Rate_Chart!$A$1:$AK$1,0))</f>
        <v>38.782167600000008</v>
      </c>
      <c r="O379" s="57">
        <f t="shared" si="78"/>
        <v>2792.3160672000004</v>
      </c>
      <c r="P379" s="58">
        <f t="shared" si="79"/>
        <v>417.01255483870978</v>
      </c>
      <c r="Q379" s="58">
        <f t="shared" si="80"/>
        <v>278.00836989247318</v>
      </c>
      <c r="R379" s="66">
        <f t="shared" si="74"/>
        <v>48.865531176000012</v>
      </c>
      <c r="S379" s="64">
        <f t="shared" si="81"/>
        <v>270</v>
      </c>
      <c r="T379" s="66">
        <f t="shared" si="82"/>
        <v>3111.1815983760002</v>
      </c>
      <c r="U379" s="68">
        <f t="shared" si="83"/>
        <v>43.210855533</v>
      </c>
      <c r="V379" s="68">
        <f t="shared" si="84"/>
        <v>464.63285519354838</v>
      </c>
      <c r="W379" s="68">
        <f t="shared" si="85"/>
        <v>309.75523679569892</v>
      </c>
    </row>
    <row r="380" spans="1:23" x14ac:dyDescent="0.25">
      <c r="A380" s="169" t="s">
        <v>894</v>
      </c>
      <c r="B380" s="61" t="s">
        <v>396</v>
      </c>
      <c r="C380" s="61" t="s">
        <v>591</v>
      </c>
      <c r="D380" s="61" t="s">
        <v>869</v>
      </c>
      <c r="E380" s="1" t="s">
        <v>352</v>
      </c>
      <c r="F380" s="62" t="str">
        <f t="shared" si="75"/>
        <v>60616</v>
      </c>
      <c r="G380" s="1">
        <v>10620070</v>
      </c>
      <c r="H380" s="1" t="s">
        <v>387</v>
      </c>
      <c r="I380" s="61">
        <v>18</v>
      </c>
      <c r="J380" s="61">
        <v>7.2</v>
      </c>
      <c r="K380" s="61">
        <v>8.8000000000000007</v>
      </c>
      <c r="L380" s="69">
        <f t="shared" si="76"/>
        <v>1.296</v>
      </c>
      <c r="M380" s="69">
        <f t="shared" si="77"/>
        <v>1.5840000000000001</v>
      </c>
      <c r="N380" s="56">
        <f>INDEX(Rate_Chart!$A$1:$AK$127,MATCH(Data!J380,Rate_Chart!$A$1:$A$127,0),MATCH(Data!K380,Rate_Chart!$A$1:$AK$1,0))</f>
        <v>59.518800000000006</v>
      </c>
      <c r="O380" s="57">
        <f t="shared" si="78"/>
        <v>1071.3384000000001</v>
      </c>
      <c r="P380" s="58">
        <f t="shared" si="79"/>
        <v>455.50102040816324</v>
      </c>
      <c r="Q380" s="58">
        <f t="shared" si="80"/>
        <v>303.66734693877549</v>
      </c>
      <c r="R380" s="66">
        <f t="shared" si="74"/>
        <v>18.748422000000005</v>
      </c>
      <c r="S380" s="64">
        <f t="shared" si="81"/>
        <v>67.5</v>
      </c>
      <c r="T380" s="66">
        <f t="shared" si="82"/>
        <v>1157.5868220000002</v>
      </c>
      <c r="U380" s="68">
        <f t="shared" si="83"/>
        <v>64.310379000000012</v>
      </c>
      <c r="V380" s="68">
        <f t="shared" si="84"/>
        <v>492.17126785714288</v>
      </c>
      <c r="W380" s="68">
        <f t="shared" si="85"/>
        <v>328.11417857142857</v>
      </c>
    </row>
    <row r="381" spans="1:23" x14ac:dyDescent="0.25">
      <c r="A381" s="169" t="s">
        <v>894</v>
      </c>
      <c r="B381" s="61" t="s">
        <v>396</v>
      </c>
      <c r="C381" s="61" t="s">
        <v>591</v>
      </c>
      <c r="D381" s="61" t="s">
        <v>869</v>
      </c>
      <c r="E381" s="1" t="s">
        <v>352</v>
      </c>
      <c r="F381" s="62" t="str">
        <f t="shared" si="75"/>
        <v>60616</v>
      </c>
      <c r="G381" s="1">
        <v>10620070</v>
      </c>
      <c r="H381" s="1" t="s">
        <v>388</v>
      </c>
      <c r="I381" s="61">
        <v>63</v>
      </c>
      <c r="J381" s="61">
        <v>4</v>
      </c>
      <c r="K381" s="61">
        <v>8.1</v>
      </c>
      <c r="L381" s="69">
        <f t="shared" si="76"/>
        <v>2.52</v>
      </c>
      <c r="M381" s="69">
        <f t="shared" si="77"/>
        <v>5.1029999999999998</v>
      </c>
      <c r="N381" s="56">
        <f>INDEX(Rate_Chart!$A$1:$AK$127,MATCH(Data!J381,Rate_Chart!$A$1:$A$127,0),MATCH(Data!K381,Rate_Chart!$A$1:$AK$1,0))</f>
        <v>39.199125899999999</v>
      </c>
      <c r="O381" s="57">
        <f t="shared" si="78"/>
        <v>2469.5449316999998</v>
      </c>
      <c r="P381" s="58">
        <f t="shared" si="79"/>
        <v>417.01197765957443</v>
      </c>
      <c r="Q381" s="58">
        <f t="shared" si="80"/>
        <v>278.00798510638293</v>
      </c>
      <c r="R381" s="66">
        <f t="shared" si="74"/>
        <v>43.217036304750003</v>
      </c>
      <c r="S381" s="64">
        <f t="shared" si="81"/>
        <v>236.25</v>
      </c>
      <c r="T381" s="66">
        <f t="shared" si="82"/>
        <v>2749.0119680047496</v>
      </c>
      <c r="U381" s="68">
        <f t="shared" si="83"/>
        <v>43.635110603249991</v>
      </c>
      <c r="V381" s="68">
        <f t="shared" si="84"/>
        <v>464.20330428989354</v>
      </c>
      <c r="W381" s="68">
        <f t="shared" si="85"/>
        <v>309.46886952659571</v>
      </c>
    </row>
    <row r="382" spans="1:23" x14ac:dyDescent="0.25">
      <c r="A382" s="169" t="s">
        <v>894</v>
      </c>
      <c r="B382" s="61" t="s">
        <v>397</v>
      </c>
      <c r="C382" s="61" t="s">
        <v>591</v>
      </c>
      <c r="D382" s="61" t="s">
        <v>869</v>
      </c>
      <c r="E382" s="1" t="s">
        <v>352</v>
      </c>
      <c r="F382" s="62" t="str">
        <f t="shared" si="75"/>
        <v>60616</v>
      </c>
      <c r="G382" s="1">
        <v>10620070</v>
      </c>
      <c r="H382" s="1" t="s">
        <v>387</v>
      </c>
      <c r="I382" s="61">
        <v>12</v>
      </c>
      <c r="J382" s="61">
        <v>6.9</v>
      </c>
      <c r="K382" s="61">
        <v>9</v>
      </c>
      <c r="L382" s="69">
        <f t="shared" si="76"/>
        <v>0.82800000000000007</v>
      </c>
      <c r="M382" s="69">
        <f t="shared" si="77"/>
        <v>1.08</v>
      </c>
      <c r="N382" s="56">
        <f>INDEX(Rate_Chart!$A$1:$AK$127,MATCH(Data!J382,Rate_Chart!$A$1:$A$127,0),MATCH(Data!K382,Rate_Chart!$A$1:$AK$1,0))</f>
        <v>57.615000000000002</v>
      </c>
      <c r="O382" s="57">
        <f t="shared" si="78"/>
        <v>691.38</v>
      </c>
      <c r="P382" s="58">
        <f t="shared" si="79"/>
        <v>446.62790697674421</v>
      </c>
      <c r="Q382" s="58">
        <f t="shared" si="80"/>
        <v>297.75193798449612</v>
      </c>
      <c r="R382" s="66">
        <f t="shared" si="74"/>
        <v>12.099150000000002</v>
      </c>
      <c r="S382" s="64">
        <f t="shared" si="81"/>
        <v>45</v>
      </c>
      <c r="T382" s="66">
        <f t="shared" si="82"/>
        <v>748.47915</v>
      </c>
      <c r="U382" s="68">
        <f t="shared" si="83"/>
        <v>62.373262500000003</v>
      </c>
      <c r="V382" s="68">
        <f t="shared" si="84"/>
        <v>483.51366279069771</v>
      </c>
      <c r="W382" s="68">
        <f t="shared" si="85"/>
        <v>322.34244186046516</v>
      </c>
    </row>
    <row r="383" spans="1:23" x14ac:dyDescent="0.25">
      <c r="A383" s="169" t="s">
        <v>894</v>
      </c>
      <c r="B383" s="61" t="s">
        <v>397</v>
      </c>
      <c r="C383" s="61" t="s">
        <v>591</v>
      </c>
      <c r="D383" s="61" t="s">
        <v>869</v>
      </c>
      <c r="E383" s="1" t="s">
        <v>352</v>
      </c>
      <c r="F383" s="62" t="str">
        <f t="shared" si="75"/>
        <v>60616</v>
      </c>
      <c r="G383" s="1">
        <v>10620070</v>
      </c>
      <c r="H383" s="1" t="s">
        <v>388</v>
      </c>
      <c r="I383" s="61">
        <v>66</v>
      </c>
      <c r="J383" s="61">
        <v>3.2</v>
      </c>
      <c r="K383" s="61">
        <v>8.1999999999999993</v>
      </c>
      <c r="L383" s="69">
        <f t="shared" si="76"/>
        <v>2.1120000000000001</v>
      </c>
      <c r="M383" s="69">
        <f t="shared" si="77"/>
        <v>5.411999999999999</v>
      </c>
      <c r="N383" s="56">
        <f>INDEX(Rate_Chart!$A$1:$AK$127,MATCH(Data!J383,Rate_Chart!$A$1:$A$127,0),MATCH(Data!K383,Rate_Chart!$A$1:$AK$1,0))</f>
        <v>36.141139799999998</v>
      </c>
      <c r="O383" s="57">
        <f t="shared" si="78"/>
        <v>2385.3152267999999</v>
      </c>
      <c r="P383" s="58">
        <f t="shared" si="79"/>
        <v>417.0131515384615</v>
      </c>
      <c r="Q383" s="58">
        <f t="shared" si="80"/>
        <v>278.00876769230769</v>
      </c>
      <c r="R383" s="66">
        <f t="shared" si="74"/>
        <v>41.743016469000004</v>
      </c>
      <c r="S383" s="64">
        <f t="shared" si="81"/>
        <v>247.5</v>
      </c>
      <c r="T383" s="66">
        <f t="shared" si="82"/>
        <v>2674.5582432689998</v>
      </c>
      <c r="U383" s="68">
        <f t="shared" si="83"/>
        <v>40.5236097465</v>
      </c>
      <c r="V383" s="68">
        <f t="shared" si="84"/>
        <v>467.58011245961535</v>
      </c>
      <c r="W383" s="68">
        <f t="shared" si="85"/>
        <v>311.72007497307692</v>
      </c>
    </row>
    <row r="384" spans="1:23" x14ac:dyDescent="0.25">
      <c r="A384" s="169" t="s">
        <v>888</v>
      </c>
      <c r="B384" s="61" t="s">
        <v>396</v>
      </c>
      <c r="C384" s="61" t="s">
        <v>591</v>
      </c>
      <c r="D384" s="61" t="s">
        <v>869</v>
      </c>
      <c r="E384" s="1" t="s">
        <v>353</v>
      </c>
      <c r="F384" s="62" t="str">
        <f t="shared" si="75"/>
        <v>60617</v>
      </c>
      <c r="G384" s="1">
        <v>10620064</v>
      </c>
      <c r="H384" s="1" t="s">
        <v>387</v>
      </c>
      <c r="I384" s="61">
        <v>56</v>
      </c>
      <c r="J384" s="61">
        <v>6.8</v>
      </c>
      <c r="K384" s="61">
        <v>9</v>
      </c>
      <c r="L384" s="69">
        <f t="shared" si="76"/>
        <v>3.8080000000000003</v>
      </c>
      <c r="M384" s="69">
        <f t="shared" si="77"/>
        <v>5.04</v>
      </c>
      <c r="N384" s="56">
        <f>INDEX(Rate_Chart!$A$1:$AK$127,MATCH(Data!J384,Rate_Chart!$A$1:$A$127,0),MATCH(Data!K384,Rate_Chart!$A$1:$AK$1,0))</f>
        <v>56.78</v>
      </c>
      <c r="O384" s="57">
        <f t="shared" si="78"/>
        <v>3179.6800000000003</v>
      </c>
      <c r="P384" s="58">
        <f t="shared" si="79"/>
        <v>443.59375</v>
      </c>
      <c r="Q384" s="58">
        <f t="shared" si="80"/>
        <v>295.72916666666669</v>
      </c>
      <c r="R384" s="66">
        <f t="shared" si="74"/>
        <v>55.644400000000012</v>
      </c>
      <c r="S384" s="64">
        <f t="shared" si="81"/>
        <v>210</v>
      </c>
      <c r="T384" s="66">
        <f t="shared" si="82"/>
        <v>3445.3244000000004</v>
      </c>
      <c r="U384" s="68">
        <f t="shared" si="83"/>
        <v>61.523650000000011</v>
      </c>
      <c r="V384" s="68">
        <f t="shared" si="84"/>
        <v>480.65351562500007</v>
      </c>
      <c r="W384" s="68">
        <f t="shared" si="85"/>
        <v>320.43567708333336</v>
      </c>
    </row>
    <row r="385" spans="1:23" x14ac:dyDescent="0.25">
      <c r="A385" s="169" t="s">
        <v>888</v>
      </c>
      <c r="B385" s="61" t="s">
        <v>396</v>
      </c>
      <c r="C385" s="61" t="s">
        <v>591</v>
      </c>
      <c r="D385" s="61" t="s">
        <v>869</v>
      </c>
      <c r="E385" s="1" t="s">
        <v>353</v>
      </c>
      <c r="F385" s="62" t="str">
        <f t="shared" si="75"/>
        <v>60617</v>
      </c>
      <c r="G385" s="1">
        <v>10620064</v>
      </c>
      <c r="H385" s="1" t="s">
        <v>388</v>
      </c>
      <c r="I385" s="61">
        <v>50</v>
      </c>
      <c r="J385" s="61">
        <v>4.0999999999999996</v>
      </c>
      <c r="K385" s="61">
        <v>8.3000000000000007</v>
      </c>
      <c r="L385" s="69">
        <f t="shared" si="76"/>
        <v>2.0499999999999998</v>
      </c>
      <c r="M385" s="69">
        <f t="shared" si="77"/>
        <v>4.1500000000000004</v>
      </c>
      <c r="N385" s="56">
        <f>INDEX(Rate_Chart!$A$1:$AK$127,MATCH(Data!J385,Rate_Chart!$A$1:$A$127,0),MATCH(Data!K385,Rate_Chart!$A$1:$AK$1,0))</f>
        <v>40.172153700000003</v>
      </c>
      <c r="O385" s="57">
        <f t="shared" si="78"/>
        <v>2008.6076850000002</v>
      </c>
      <c r="P385" s="58">
        <f t="shared" si="79"/>
        <v>417.01197612456752</v>
      </c>
      <c r="Q385" s="58">
        <f t="shared" si="80"/>
        <v>278.00798408304502</v>
      </c>
      <c r="R385" s="66">
        <f t="shared" si="74"/>
        <v>35.150634487500007</v>
      </c>
      <c r="S385" s="64">
        <f t="shared" si="81"/>
        <v>187.5</v>
      </c>
      <c r="T385" s="66">
        <f t="shared" si="82"/>
        <v>2231.2583194875001</v>
      </c>
      <c r="U385" s="68">
        <f t="shared" si="83"/>
        <v>44.625166389749999</v>
      </c>
      <c r="V385" s="68">
        <f t="shared" si="84"/>
        <v>463.23702134688585</v>
      </c>
      <c r="W385" s="68">
        <f t="shared" si="85"/>
        <v>308.82468089792388</v>
      </c>
    </row>
    <row r="386" spans="1:23" x14ac:dyDescent="0.25">
      <c r="A386" s="169" t="s">
        <v>888</v>
      </c>
      <c r="B386" s="61" t="s">
        <v>397</v>
      </c>
      <c r="C386" s="61" t="s">
        <v>591</v>
      </c>
      <c r="D386" s="61" t="s">
        <v>869</v>
      </c>
      <c r="E386" s="1" t="s">
        <v>353</v>
      </c>
      <c r="F386" s="62" t="str">
        <f t="shared" si="75"/>
        <v>60617</v>
      </c>
      <c r="G386" s="1">
        <v>10620064</v>
      </c>
      <c r="H386" s="1" t="s">
        <v>387</v>
      </c>
      <c r="I386" s="61">
        <v>56</v>
      </c>
      <c r="J386" s="61">
        <v>6.1</v>
      </c>
      <c r="K386" s="61">
        <v>8.6</v>
      </c>
      <c r="L386" s="69">
        <f t="shared" si="76"/>
        <v>3.4159999999999995</v>
      </c>
      <c r="M386" s="69">
        <f t="shared" si="77"/>
        <v>4.8159999999999998</v>
      </c>
      <c r="N386" s="56">
        <f>INDEX(Rate_Chart!$A$1:$AK$127,MATCH(Data!J386,Rate_Chart!$A$1:$A$127,0),MATCH(Data!K386,Rate_Chart!$A$1:$AK$1,0))</f>
        <v>49.9163</v>
      </c>
      <c r="O386" s="57">
        <f t="shared" si="78"/>
        <v>2795.3128000000002</v>
      </c>
      <c r="P386" s="58">
        <f t="shared" si="79"/>
        <v>421.82788732394374</v>
      </c>
      <c r="Q386" s="58">
        <f t="shared" si="80"/>
        <v>281.21859154929581</v>
      </c>
      <c r="R386" s="66">
        <f t="shared" si="74"/>
        <v>48.917974000000008</v>
      </c>
      <c r="S386" s="64">
        <f t="shared" si="81"/>
        <v>210</v>
      </c>
      <c r="T386" s="66">
        <f t="shared" si="82"/>
        <v>3054.2307740000001</v>
      </c>
      <c r="U386" s="68">
        <f t="shared" si="83"/>
        <v>54.539835250000003</v>
      </c>
      <c r="V386" s="68">
        <f t="shared" si="84"/>
        <v>460.90001619718316</v>
      </c>
      <c r="W386" s="68">
        <f t="shared" si="85"/>
        <v>307.26667746478876</v>
      </c>
    </row>
    <row r="387" spans="1:23" x14ac:dyDescent="0.25">
      <c r="A387" s="169" t="s">
        <v>888</v>
      </c>
      <c r="B387" s="61" t="s">
        <v>397</v>
      </c>
      <c r="C387" s="61" t="s">
        <v>591</v>
      </c>
      <c r="D387" s="61" t="s">
        <v>869</v>
      </c>
      <c r="E387" s="1" t="s">
        <v>353</v>
      </c>
      <c r="F387" s="62" t="str">
        <f t="shared" si="75"/>
        <v>60617</v>
      </c>
      <c r="G387" s="1">
        <v>10620064</v>
      </c>
      <c r="H387" s="1" t="s">
        <v>388</v>
      </c>
      <c r="I387" s="61">
        <v>38</v>
      </c>
      <c r="J387" s="61">
        <v>3</v>
      </c>
      <c r="K387" s="61">
        <v>8</v>
      </c>
      <c r="L387" s="69">
        <f t="shared" si="76"/>
        <v>1.1399999999999999</v>
      </c>
      <c r="M387" s="69">
        <f t="shared" si="77"/>
        <v>3.04</v>
      </c>
      <c r="N387" s="56">
        <f>INDEX(Rate_Chart!$A$1:$AK$127,MATCH(Data!J387,Rate_Chart!$A$1:$A$127,0),MATCH(Data!K387,Rate_Chart!$A$1:$AK$1,0))</f>
        <v>34.751112000000006</v>
      </c>
      <c r="O387" s="57">
        <f t="shared" si="78"/>
        <v>1320.5422560000002</v>
      </c>
      <c r="P387" s="58">
        <f t="shared" si="79"/>
        <v>417.01334400000002</v>
      </c>
      <c r="Q387" s="58">
        <f t="shared" si="80"/>
        <v>278.00889599999999</v>
      </c>
      <c r="R387" s="66">
        <f t="shared" si="74"/>
        <v>23.109489480000004</v>
      </c>
      <c r="S387" s="64">
        <f t="shared" si="81"/>
        <v>142.5</v>
      </c>
      <c r="T387" s="66">
        <f t="shared" si="82"/>
        <v>1486.1517454800003</v>
      </c>
      <c r="U387" s="68">
        <f t="shared" si="83"/>
        <v>39.109256460000005</v>
      </c>
      <c r="V387" s="68">
        <f t="shared" si="84"/>
        <v>469.31107752000003</v>
      </c>
      <c r="W387" s="68">
        <f t="shared" si="85"/>
        <v>312.87405168000004</v>
      </c>
    </row>
    <row r="388" spans="1:23" x14ac:dyDescent="0.25">
      <c r="A388" s="169" t="s">
        <v>889</v>
      </c>
      <c r="B388" s="61" t="s">
        <v>396</v>
      </c>
      <c r="C388" s="61" t="s">
        <v>591</v>
      </c>
      <c r="D388" s="61" t="s">
        <v>869</v>
      </c>
      <c r="E388" s="1" t="s">
        <v>353</v>
      </c>
      <c r="F388" s="62" t="str">
        <f t="shared" si="75"/>
        <v>60617</v>
      </c>
      <c r="G388" s="1">
        <v>10620064</v>
      </c>
      <c r="H388" s="1" t="s">
        <v>387</v>
      </c>
      <c r="I388" s="61">
        <v>4</v>
      </c>
      <c r="J388" s="61">
        <v>7.8</v>
      </c>
      <c r="K388" s="61">
        <v>8.8000000000000007</v>
      </c>
      <c r="L388" s="69">
        <f t="shared" si="76"/>
        <v>0.312</v>
      </c>
      <c r="M388" s="69">
        <f t="shared" si="77"/>
        <v>0.35200000000000004</v>
      </c>
      <c r="N388" s="56">
        <f>INDEX(Rate_Chart!$A$1:$AK$127,MATCH(Data!J388,Rate_Chart!$A$1:$A$127,0),MATCH(Data!K388,Rate_Chart!$A$1:$AK$1,0))</f>
        <v>64.478699999999989</v>
      </c>
      <c r="O388" s="57">
        <f t="shared" si="78"/>
        <v>257.91479999999996</v>
      </c>
      <c r="P388" s="58">
        <f t="shared" si="79"/>
        <v>471.7953658536585</v>
      </c>
      <c r="Q388" s="58">
        <f t="shared" si="80"/>
        <v>314.530243902439</v>
      </c>
      <c r="R388" s="66">
        <f t="shared" ref="R388:R412" si="86">O388*1.75%</f>
        <v>4.513509</v>
      </c>
      <c r="S388" s="64">
        <f t="shared" si="81"/>
        <v>15</v>
      </c>
      <c r="T388" s="66">
        <f t="shared" si="82"/>
        <v>277.42830899999996</v>
      </c>
      <c r="U388" s="68">
        <f t="shared" si="83"/>
        <v>69.357077249999989</v>
      </c>
      <c r="V388" s="68">
        <f t="shared" si="84"/>
        <v>507.49080914634141</v>
      </c>
      <c r="W388" s="68">
        <f t="shared" si="85"/>
        <v>338.32720609756092</v>
      </c>
    </row>
    <row r="389" spans="1:23" x14ac:dyDescent="0.25">
      <c r="A389" s="169" t="s">
        <v>889</v>
      </c>
      <c r="B389" s="61" t="s">
        <v>397</v>
      </c>
      <c r="C389" s="61" t="s">
        <v>591</v>
      </c>
      <c r="D389" s="61" t="s">
        <v>869</v>
      </c>
      <c r="E389" s="1" t="s">
        <v>353</v>
      </c>
      <c r="F389" s="62" t="str">
        <f t="shared" ref="F389:F452" si="87">MID(E389,2,5)</f>
        <v>60617</v>
      </c>
      <c r="G389" s="1">
        <v>10620064</v>
      </c>
      <c r="H389" s="1" t="s">
        <v>387</v>
      </c>
      <c r="I389" s="61">
        <v>48</v>
      </c>
      <c r="J389" s="61">
        <v>6.3</v>
      </c>
      <c r="K389" s="61">
        <v>8.6</v>
      </c>
      <c r="L389" s="69">
        <f t="shared" si="76"/>
        <v>3.0239999999999996</v>
      </c>
      <c r="M389" s="69">
        <f t="shared" si="77"/>
        <v>4.1279999999999992</v>
      </c>
      <c r="N389" s="56">
        <f>INDEX(Rate_Chart!$A$1:$AK$127,MATCH(Data!J389,Rate_Chart!$A$1:$A$127,0),MATCH(Data!K389,Rate_Chart!$A$1:$AK$1,0))</f>
        <v>51.552899999999994</v>
      </c>
      <c r="O389" s="57">
        <f t="shared" si="78"/>
        <v>2474.5391999999997</v>
      </c>
      <c r="P389" s="58">
        <f t="shared" si="79"/>
        <v>428.41745152354571</v>
      </c>
      <c r="Q389" s="58">
        <f t="shared" si="80"/>
        <v>285.61163434903045</v>
      </c>
      <c r="R389" s="66">
        <f t="shared" si="86"/>
        <v>43.304435999999995</v>
      </c>
      <c r="S389" s="64">
        <f t="shared" si="81"/>
        <v>180</v>
      </c>
      <c r="T389" s="66">
        <f t="shared" si="82"/>
        <v>2697.8436359999996</v>
      </c>
      <c r="U389" s="68">
        <f t="shared" si="83"/>
        <v>56.205075749999992</v>
      </c>
      <c r="V389" s="68">
        <f t="shared" si="84"/>
        <v>467.07819182825483</v>
      </c>
      <c r="W389" s="68">
        <f t="shared" si="85"/>
        <v>311.38546121883655</v>
      </c>
    </row>
    <row r="390" spans="1:23" x14ac:dyDescent="0.25">
      <c r="A390" s="169" t="s">
        <v>889</v>
      </c>
      <c r="B390" s="61" t="s">
        <v>397</v>
      </c>
      <c r="C390" s="61" t="s">
        <v>591</v>
      </c>
      <c r="D390" s="61" t="s">
        <v>869</v>
      </c>
      <c r="E390" s="1" t="s">
        <v>353</v>
      </c>
      <c r="F390" s="62" t="str">
        <f t="shared" si="87"/>
        <v>60617</v>
      </c>
      <c r="G390" s="1">
        <v>10620064</v>
      </c>
      <c r="H390" s="1" t="s">
        <v>388</v>
      </c>
      <c r="I390" s="61">
        <v>30</v>
      </c>
      <c r="J390" s="61">
        <v>3.3</v>
      </c>
      <c r="K390" s="61">
        <v>8.1</v>
      </c>
      <c r="L390" s="69">
        <f t="shared" si="76"/>
        <v>0.99</v>
      </c>
      <c r="M390" s="69">
        <f t="shared" si="77"/>
        <v>2.4300000000000002</v>
      </c>
      <c r="N390" s="56">
        <f>INDEX(Rate_Chart!$A$1:$AK$127,MATCH(Data!J390,Rate_Chart!$A$1:$A$127,0),MATCH(Data!K390,Rate_Chart!$A$1:$AK$1,0))</f>
        <v>36.280125900000002</v>
      </c>
      <c r="O390" s="57">
        <f t="shared" si="78"/>
        <v>1088.403777</v>
      </c>
      <c r="P390" s="58">
        <f t="shared" si="79"/>
        <v>417.0129413793104</v>
      </c>
      <c r="Q390" s="58">
        <f t="shared" si="80"/>
        <v>278.00862758620696</v>
      </c>
      <c r="R390" s="66">
        <f t="shared" si="86"/>
        <v>19.0470660975</v>
      </c>
      <c r="S390" s="64">
        <f t="shared" si="81"/>
        <v>112.5</v>
      </c>
      <c r="T390" s="66">
        <f t="shared" si="82"/>
        <v>1219.9508430975</v>
      </c>
      <c r="U390" s="68">
        <f t="shared" si="83"/>
        <v>40.665028103250002</v>
      </c>
      <c r="V390" s="68">
        <f t="shared" si="84"/>
        <v>467.4141161293104</v>
      </c>
      <c r="W390" s="68">
        <f t="shared" si="85"/>
        <v>311.6094107528736</v>
      </c>
    </row>
    <row r="391" spans="1:23" x14ac:dyDescent="0.25">
      <c r="A391" s="169" t="s">
        <v>890</v>
      </c>
      <c r="B391" s="61" t="s">
        <v>396</v>
      </c>
      <c r="C391" s="61" t="s">
        <v>591</v>
      </c>
      <c r="D391" s="61" t="s">
        <v>869</v>
      </c>
      <c r="E391" s="1" t="s">
        <v>353</v>
      </c>
      <c r="F391" s="62" t="str">
        <f t="shared" si="87"/>
        <v>60617</v>
      </c>
      <c r="G391" s="1">
        <v>10620064</v>
      </c>
      <c r="H391" s="1" t="s">
        <v>387</v>
      </c>
      <c r="I391" s="61">
        <v>48</v>
      </c>
      <c r="J391" s="61">
        <v>6.8</v>
      </c>
      <c r="K391" s="61">
        <v>9</v>
      </c>
      <c r="L391" s="69">
        <f t="shared" si="76"/>
        <v>3.2639999999999998</v>
      </c>
      <c r="M391" s="69">
        <f t="shared" si="77"/>
        <v>4.32</v>
      </c>
      <c r="N391" s="56">
        <f>INDEX(Rate_Chart!$A$1:$AK$127,MATCH(Data!J391,Rate_Chart!$A$1:$A$127,0),MATCH(Data!K391,Rate_Chart!$A$1:$AK$1,0))</f>
        <v>56.78</v>
      </c>
      <c r="O391" s="57">
        <f t="shared" si="78"/>
        <v>2725.44</v>
      </c>
      <c r="P391" s="58">
        <f t="shared" si="79"/>
        <v>443.59375</v>
      </c>
      <c r="Q391" s="58">
        <f t="shared" si="80"/>
        <v>295.72916666666669</v>
      </c>
      <c r="R391" s="66">
        <f t="shared" si="86"/>
        <v>47.695200000000007</v>
      </c>
      <c r="S391" s="64">
        <f t="shared" si="81"/>
        <v>180</v>
      </c>
      <c r="T391" s="66">
        <f t="shared" si="82"/>
        <v>2953.1352000000002</v>
      </c>
      <c r="U391" s="68">
        <f t="shared" si="83"/>
        <v>61.523650000000004</v>
      </c>
      <c r="V391" s="68">
        <f t="shared" si="84"/>
        <v>480.65351562500001</v>
      </c>
      <c r="W391" s="68">
        <f t="shared" si="85"/>
        <v>320.43567708333336</v>
      </c>
    </row>
    <row r="392" spans="1:23" x14ac:dyDescent="0.25">
      <c r="A392" s="169" t="s">
        <v>890</v>
      </c>
      <c r="B392" s="61" t="s">
        <v>396</v>
      </c>
      <c r="C392" s="61" t="s">
        <v>591</v>
      </c>
      <c r="D392" s="61" t="s">
        <v>869</v>
      </c>
      <c r="E392" s="1" t="s">
        <v>353</v>
      </c>
      <c r="F392" s="62" t="str">
        <f t="shared" si="87"/>
        <v>60617</v>
      </c>
      <c r="G392" s="1">
        <v>10620064</v>
      </c>
      <c r="H392" s="1" t="s">
        <v>388</v>
      </c>
      <c r="I392" s="61">
        <v>58</v>
      </c>
      <c r="J392" s="61">
        <v>4</v>
      </c>
      <c r="K392" s="61">
        <v>8.4</v>
      </c>
      <c r="L392" s="69">
        <f t="shared" si="76"/>
        <v>2.3199999999999998</v>
      </c>
      <c r="M392" s="69">
        <f t="shared" si="77"/>
        <v>4.8720000000000008</v>
      </c>
      <c r="N392" s="56">
        <f>INDEX(Rate_Chart!$A$1:$AK$127,MATCH(Data!J392,Rate_Chart!$A$1:$A$127,0),MATCH(Data!K392,Rate_Chart!$A$1:$AK$1,0))</f>
        <v>40.033167600000006</v>
      </c>
      <c r="O392" s="57">
        <f t="shared" si="78"/>
        <v>2321.9237208000004</v>
      </c>
      <c r="P392" s="58">
        <f t="shared" si="79"/>
        <v>417.01216250000004</v>
      </c>
      <c r="Q392" s="58">
        <f t="shared" si="80"/>
        <v>278.00810833333338</v>
      </c>
      <c r="R392" s="66">
        <f t="shared" si="86"/>
        <v>40.63366511400001</v>
      </c>
      <c r="S392" s="64">
        <f t="shared" si="81"/>
        <v>217.5</v>
      </c>
      <c r="T392" s="66">
        <f t="shared" si="82"/>
        <v>2580.0573859140004</v>
      </c>
      <c r="U392" s="68">
        <f t="shared" si="83"/>
        <v>44.483748033000005</v>
      </c>
      <c r="V392" s="68">
        <f t="shared" si="84"/>
        <v>463.37237534375004</v>
      </c>
      <c r="W392" s="68">
        <f t="shared" si="85"/>
        <v>308.91491689583336</v>
      </c>
    </row>
    <row r="393" spans="1:23" x14ac:dyDescent="0.25">
      <c r="A393" s="169" t="s">
        <v>890</v>
      </c>
      <c r="B393" s="61" t="s">
        <v>397</v>
      </c>
      <c r="C393" s="61" t="s">
        <v>591</v>
      </c>
      <c r="D393" s="61" t="s">
        <v>869</v>
      </c>
      <c r="E393" s="1" t="s">
        <v>353</v>
      </c>
      <c r="F393" s="62" t="str">
        <f t="shared" si="87"/>
        <v>60617</v>
      </c>
      <c r="G393" s="1">
        <v>10620064</v>
      </c>
      <c r="H393" s="1" t="s">
        <v>387</v>
      </c>
      <c r="I393" s="61">
        <v>39</v>
      </c>
      <c r="J393" s="61">
        <v>6.4</v>
      </c>
      <c r="K393" s="61">
        <v>8.8000000000000007</v>
      </c>
      <c r="L393" s="69">
        <f t="shared" si="76"/>
        <v>2.4960000000000004</v>
      </c>
      <c r="M393" s="69">
        <f t="shared" si="77"/>
        <v>3.4320000000000004</v>
      </c>
      <c r="N393" s="56">
        <f>INDEX(Rate_Chart!$A$1:$AK$127,MATCH(Data!J393,Rate_Chart!$A$1:$A$127,0),MATCH(Data!K393,Rate_Chart!$A$1:$AK$1,0))</f>
        <v>52.9056</v>
      </c>
      <c r="O393" s="57">
        <f t="shared" si="78"/>
        <v>2063.3184000000001</v>
      </c>
      <c r="P393" s="58">
        <f t="shared" si="79"/>
        <v>431.29565217391303</v>
      </c>
      <c r="Q393" s="58">
        <f t="shared" si="80"/>
        <v>287.53043478260867</v>
      </c>
      <c r="R393" s="66">
        <f t="shared" si="86"/>
        <v>36.108072000000007</v>
      </c>
      <c r="S393" s="64">
        <f t="shared" si="81"/>
        <v>146.25</v>
      </c>
      <c r="T393" s="66">
        <f t="shared" si="82"/>
        <v>2245.6764720000001</v>
      </c>
      <c r="U393" s="68">
        <f t="shared" si="83"/>
        <v>57.581448000000002</v>
      </c>
      <c r="V393" s="68">
        <f t="shared" si="84"/>
        <v>469.41397826086956</v>
      </c>
      <c r="W393" s="68">
        <f t="shared" si="85"/>
        <v>312.94265217391302</v>
      </c>
    </row>
    <row r="394" spans="1:23" x14ac:dyDescent="0.25">
      <c r="A394" s="169" t="s">
        <v>890</v>
      </c>
      <c r="B394" s="61" t="s">
        <v>397</v>
      </c>
      <c r="C394" s="61" t="s">
        <v>591</v>
      </c>
      <c r="D394" s="61" t="s">
        <v>869</v>
      </c>
      <c r="E394" s="1" t="s">
        <v>353</v>
      </c>
      <c r="F394" s="62" t="str">
        <f t="shared" si="87"/>
        <v>60617</v>
      </c>
      <c r="G394" s="1">
        <v>10620064</v>
      </c>
      <c r="H394" s="1" t="s">
        <v>388</v>
      </c>
      <c r="I394" s="61">
        <v>40</v>
      </c>
      <c r="J394" s="61">
        <v>3</v>
      </c>
      <c r="K394" s="61">
        <v>8.1</v>
      </c>
      <c r="L394" s="69">
        <f t="shared" si="76"/>
        <v>1.2</v>
      </c>
      <c r="M394" s="69">
        <f t="shared" si="77"/>
        <v>3.24</v>
      </c>
      <c r="N394" s="56">
        <f>INDEX(Rate_Chart!$A$1:$AK$127,MATCH(Data!J394,Rate_Chart!$A$1:$A$127,0),MATCH(Data!K394,Rate_Chart!$A$1:$AK$1,0))</f>
        <v>35.029125900000004</v>
      </c>
      <c r="O394" s="57">
        <f t="shared" si="78"/>
        <v>1401.1650360000001</v>
      </c>
      <c r="P394" s="58">
        <f t="shared" si="79"/>
        <v>417.01340357142868</v>
      </c>
      <c r="Q394" s="58">
        <f t="shared" si="80"/>
        <v>278.00893571428577</v>
      </c>
      <c r="R394" s="66">
        <f t="shared" si="86"/>
        <v>24.520388130000004</v>
      </c>
      <c r="S394" s="64">
        <f t="shared" si="81"/>
        <v>150</v>
      </c>
      <c r="T394" s="66">
        <f t="shared" si="82"/>
        <v>1575.6854241300002</v>
      </c>
      <c r="U394" s="68">
        <f t="shared" si="83"/>
        <v>39.392135603250004</v>
      </c>
      <c r="V394" s="68">
        <f t="shared" si="84"/>
        <v>468.9539952767858</v>
      </c>
      <c r="W394" s="68">
        <f t="shared" si="85"/>
        <v>312.63599685119055</v>
      </c>
    </row>
    <row r="395" spans="1:23" x14ac:dyDescent="0.25">
      <c r="A395" s="169" t="s">
        <v>891</v>
      </c>
      <c r="B395" s="61" t="s">
        <v>396</v>
      </c>
      <c r="C395" s="61" t="s">
        <v>591</v>
      </c>
      <c r="D395" s="61" t="s">
        <v>869</v>
      </c>
      <c r="E395" s="1" t="s">
        <v>353</v>
      </c>
      <c r="F395" s="62" t="str">
        <f t="shared" si="87"/>
        <v>60617</v>
      </c>
      <c r="G395" s="1">
        <v>10620064</v>
      </c>
      <c r="H395" s="1" t="s">
        <v>387</v>
      </c>
      <c r="I395" s="61">
        <v>44</v>
      </c>
      <c r="J395" s="61">
        <v>6.8</v>
      </c>
      <c r="K395" s="61">
        <v>8.8000000000000007</v>
      </c>
      <c r="L395" s="69">
        <f t="shared" si="76"/>
        <v>2.992</v>
      </c>
      <c r="M395" s="69">
        <f t="shared" si="77"/>
        <v>3.8720000000000003</v>
      </c>
      <c r="N395" s="56">
        <f>INDEX(Rate_Chart!$A$1:$AK$127,MATCH(Data!J395,Rate_Chart!$A$1:$A$127,0),MATCH(Data!K395,Rate_Chart!$A$1:$AK$1,0))</f>
        <v>56.212200000000003</v>
      </c>
      <c r="O395" s="57">
        <f t="shared" si="78"/>
        <v>2473.3368</v>
      </c>
      <c r="P395" s="58">
        <f t="shared" si="79"/>
        <v>443.78052631578947</v>
      </c>
      <c r="Q395" s="58">
        <f t="shared" si="80"/>
        <v>295.8536842105263</v>
      </c>
      <c r="R395" s="66">
        <f t="shared" si="86"/>
        <v>43.283394000000001</v>
      </c>
      <c r="S395" s="64">
        <f t="shared" si="81"/>
        <v>165</v>
      </c>
      <c r="T395" s="66">
        <f t="shared" si="82"/>
        <v>2681.6201940000001</v>
      </c>
      <c r="U395" s="68">
        <f t="shared" si="83"/>
        <v>60.945913500000003</v>
      </c>
      <c r="V395" s="68">
        <f t="shared" si="84"/>
        <v>481.15194868421054</v>
      </c>
      <c r="W395" s="68">
        <f t="shared" si="85"/>
        <v>320.76796578947369</v>
      </c>
    </row>
    <row r="396" spans="1:23" x14ac:dyDescent="0.25">
      <c r="A396" s="169" t="s">
        <v>891</v>
      </c>
      <c r="B396" s="61" t="s">
        <v>396</v>
      </c>
      <c r="C396" s="61" t="s">
        <v>591</v>
      </c>
      <c r="D396" s="61" t="s">
        <v>869</v>
      </c>
      <c r="E396" s="1" t="s">
        <v>353</v>
      </c>
      <c r="F396" s="62" t="str">
        <f t="shared" si="87"/>
        <v>60617</v>
      </c>
      <c r="G396" s="1">
        <v>10620064</v>
      </c>
      <c r="H396" s="1" t="s">
        <v>388</v>
      </c>
      <c r="I396" s="61">
        <v>48</v>
      </c>
      <c r="J396" s="61">
        <v>3.6</v>
      </c>
      <c r="K396" s="61">
        <v>8.3000000000000007</v>
      </c>
      <c r="L396" s="69">
        <f t="shared" si="76"/>
        <v>1.7280000000000002</v>
      </c>
      <c r="M396" s="69">
        <f t="shared" si="77"/>
        <v>3.9840000000000004</v>
      </c>
      <c r="N396" s="56">
        <f>INDEX(Rate_Chart!$A$1:$AK$127,MATCH(Data!J396,Rate_Chart!$A$1:$A$127,0),MATCH(Data!K396,Rate_Chart!$A$1:$AK$1,0))</f>
        <v>38.087153700000009</v>
      </c>
      <c r="O396" s="57">
        <f t="shared" si="78"/>
        <v>1828.1833776000003</v>
      </c>
      <c r="P396" s="58">
        <f t="shared" si="79"/>
        <v>417.01263175182481</v>
      </c>
      <c r="Q396" s="58">
        <f t="shared" si="80"/>
        <v>278.00842116788323</v>
      </c>
      <c r="R396" s="66">
        <f t="shared" si="86"/>
        <v>31.993209108000009</v>
      </c>
      <c r="S396" s="64">
        <f t="shared" si="81"/>
        <v>180</v>
      </c>
      <c r="T396" s="66">
        <f t="shared" si="82"/>
        <v>2040.1765867080003</v>
      </c>
      <c r="U396" s="68">
        <f t="shared" si="83"/>
        <v>42.503678889750006</v>
      </c>
      <c r="V396" s="68">
        <f t="shared" si="84"/>
        <v>465.36874696806569</v>
      </c>
      <c r="W396" s="68">
        <f t="shared" si="85"/>
        <v>310.24583131204378</v>
      </c>
    </row>
    <row r="397" spans="1:23" x14ac:dyDescent="0.25">
      <c r="A397" s="169" t="s">
        <v>891</v>
      </c>
      <c r="B397" s="61" t="s">
        <v>397</v>
      </c>
      <c r="C397" s="61" t="s">
        <v>591</v>
      </c>
      <c r="D397" s="61" t="s">
        <v>869</v>
      </c>
      <c r="E397" s="1" t="s">
        <v>353</v>
      </c>
      <c r="F397" s="62" t="str">
        <f t="shared" si="87"/>
        <v>60617</v>
      </c>
      <c r="G397" s="1">
        <v>10620064</v>
      </c>
      <c r="H397" s="1" t="s">
        <v>387</v>
      </c>
      <c r="I397" s="61">
        <v>49</v>
      </c>
      <c r="J397" s="61">
        <v>7.1</v>
      </c>
      <c r="K397" s="61">
        <v>8.8000000000000007</v>
      </c>
      <c r="L397" s="69">
        <f t="shared" si="76"/>
        <v>3.4789999999999996</v>
      </c>
      <c r="M397" s="69">
        <f t="shared" si="77"/>
        <v>4.3120000000000003</v>
      </c>
      <c r="N397" s="56">
        <f>INDEX(Rate_Chart!$A$1:$AK$127,MATCH(Data!J397,Rate_Chart!$A$1:$A$127,0),MATCH(Data!K397,Rate_Chart!$A$1:$AK$1,0))</f>
        <v>58.692149999999998</v>
      </c>
      <c r="O397" s="57">
        <f t="shared" si="78"/>
        <v>2875.9153499999998</v>
      </c>
      <c r="P397" s="58">
        <f t="shared" si="79"/>
        <v>452.63868894601546</v>
      </c>
      <c r="Q397" s="58">
        <f t="shared" si="80"/>
        <v>301.75912596401031</v>
      </c>
      <c r="R397" s="66">
        <f t="shared" si="86"/>
        <v>50.328518625000001</v>
      </c>
      <c r="S397" s="64">
        <f t="shared" si="81"/>
        <v>183.75</v>
      </c>
      <c r="T397" s="66">
        <f t="shared" si="82"/>
        <v>3109.9938686249998</v>
      </c>
      <c r="U397" s="68">
        <f t="shared" si="83"/>
        <v>63.469262624999999</v>
      </c>
      <c r="V397" s="68">
        <f t="shared" si="84"/>
        <v>489.48017448586126</v>
      </c>
      <c r="W397" s="68">
        <f t="shared" si="85"/>
        <v>326.32011632390748</v>
      </c>
    </row>
    <row r="398" spans="1:23" x14ac:dyDescent="0.25">
      <c r="A398" s="169" t="s">
        <v>891</v>
      </c>
      <c r="B398" s="61" t="s">
        <v>397</v>
      </c>
      <c r="C398" s="61" t="s">
        <v>591</v>
      </c>
      <c r="D398" s="61" t="s">
        <v>869</v>
      </c>
      <c r="E398" s="1" t="s">
        <v>353</v>
      </c>
      <c r="F398" s="62" t="str">
        <f t="shared" si="87"/>
        <v>60617</v>
      </c>
      <c r="G398" s="1">
        <v>10620064</v>
      </c>
      <c r="H398" s="1" t="s">
        <v>388</v>
      </c>
      <c r="I398" s="61">
        <v>27</v>
      </c>
      <c r="J398" s="61">
        <v>3</v>
      </c>
      <c r="K398" s="61">
        <v>8.4</v>
      </c>
      <c r="L398" s="69">
        <f t="shared" si="76"/>
        <v>0.81</v>
      </c>
      <c r="M398" s="69">
        <f t="shared" si="77"/>
        <v>2.2680000000000002</v>
      </c>
      <c r="N398" s="56">
        <f>INDEX(Rate_Chart!$A$1:$AK$127,MATCH(Data!J398,Rate_Chart!$A$1:$A$127,0),MATCH(Data!K398,Rate_Chart!$A$1:$AK$1,0))</f>
        <v>35.863167600000004</v>
      </c>
      <c r="O398" s="57">
        <f t="shared" si="78"/>
        <v>968.30552520000015</v>
      </c>
      <c r="P398" s="58">
        <f t="shared" si="79"/>
        <v>417.01357674418614</v>
      </c>
      <c r="Q398" s="58">
        <f t="shared" si="80"/>
        <v>278.00905116279074</v>
      </c>
      <c r="R398" s="66">
        <f t="shared" si="86"/>
        <v>16.945346691000005</v>
      </c>
      <c r="S398" s="64">
        <f t="shared" si="81"/>
        <v>101.25</v>
      </c>
      <c r="T398" s="66">
        <f t="shared" si="82"/>
        <v>1086.5008718910001</v>
      </c>
      <c r="U398" s="68">
        <f t="shared" si="83"/>
        <v>40.240773033000004</v>
      </c>
      <c r="V398" s="68">
        <f t="shared" si="84"/>
        <v>467.91596550000008</v>
      </c>
      <c r="W398" s="68">
        <f t="shared" si="85"/>
        <v>311.94397700000007</v>
      </c>
    </row>
    <row r="399" spans="1:23" x14ac:dyDescent="0.25">
      <c r="A399" s="169" t="s">
        <v>892</v>
      </c>
      <c r="B399" s="61" t="s">
        <v>396</v>
      </c>
      <c r="C399" s="61" t="s">
        <v>591</v>
      </c>
      <c r="D399" s="61" t="s">
        <v>869</v>
      </c>
      <c r="E399" s="1" t="s">
        <v>353</v>
      </c>
      <c r="F399" s="62" t="str">
        <f t="shared" si="87"/>
        <v>60617</v>
      </c>
      <c r="G399" s="1">
        <v>10620064</v>
      </c>
      <c r="H399" s="1" t="s">
        <v>387</v>
      </c>
      <c r="I399" s="61">
        <v>19</v>
      </c>
      <c r="J399" s="61">
        <v>8.1</v>
      </c>
      <c r="K399" s="61">
        <v>9</v>
      </c>
      <c r="L399" s="69">
        <f t="shared" si="76"/>
        <v>1.5390000000000001</v>
      </c>
      <c r="M399" s="69">
        <f t="shared" si="77"/>
        <v>1.71</v>
      </c>
      <c r="N399" s="56">
        <f>INDEX(Rate_Chart!$A$1:$AK$127,MATCH(Data!J399,Rate_Chart!$A$1:$A$127,0),MATCH(Data!K399,Rate_Chart!$A$1:$AK$1,0))</f>
        <v>67.635000000000005</v>
      </c>
      <c r="O399" s="57">
        <f t="shared" si="78"/>
        <v>1285.0650000000001</v>
      </c>
      <c r="P399" s="58">
        <f t="shared" si="79"/>
        <v>479.68085106382978</v>
      </c>
      <c r="Q399" s="58">
        <f t="shared" si="80"/>
        <v>319.78723404255317</v>
      </c>
      <c r="R399" s="66">
        <f t="shared" si="86"/>
        <v>22.488637500000003</v>
      </c>
      <c r="S399" s="64">
        <f t="shared" si="81"/>
        <v>71.25</v>
      </c>
      <c r="T399" s="66">
        <f t="shared" si="82"/>
        <v>1378.8036375000001</v>
      </c>
      <c r="U399" s="68">
        <f t="shared" si="83"/>
        <v>72.568612500000015</v>
      </c>
      <c r="V399" s="68">
        <f t="shared" si="84"/>
        <v>514.67101063829796</v>
      </c>
      <c r="W399" s="68">
        <f t="shared" si="85"/>
        <v>343.11400709219862</v>
      </c>
    </row>
    <row r="400" spans="1:23" x14ac:dyDescent="0.25">
      <c r="A400" s="169" t="s">
        <v>892</v>
      </c>
      <c r="B400" s="61" t="s">
        <v>397</v>
      </c>
      <c r="C400" s="61" t="s">
        <v>591</v>
      </c>
      <c r="D400" s="61" t="s">
        <v>869</v>
      </c>
      <c r="E400" s="1" t="s">
        <v>353</v>
      </c>
      <c r="F400" s="62" t="str">
        <f t="shared" si="87"/>
        <v>60617</v>
      </c>
      <c r="G400" s="1">
        <v>10620064</v>
      </c>
      <c r="H400" s="1" t="s">
        <v>387</v>
      </c>
      <c r="I400" s="61">
        <v>44</v>
      </c>
      <c r="J400" s="61">
        <v>7</v>
      </c>
      <c r="K400" s="61">
        <v>8.8000000000000007</v>
      </c>
      <c r="L400" s="69">
        <f t="shared" si="76"/>
        <v>3.08</v>
      </c>
      <c r="M400" s="69">
        <f t="shared" si="77"/>
        <v>3.8720000000000003</v>
      </c>
      <c r="N400" s="56">
        <f>INDEX(Rate_Chart!$A$1:$AK$127,MATCH(Data!J400,Rate_Chart!$A$1:$A$127,0),MATCH(Data!K400,Rate_Chart!$A$1:$AK$1,0))</f>
        <v>57.865500000000004</v>
      </c>
      <c r="O400" s="57">
        <f t="shared" si="78"/>
        <v>2546.0820000000003</v>
      </c>
      <c r="P400" s="58">
        <f t="shared" si="79"/>
        <v>449.73186528497411</v>
      </c>
      <c r="Q400" s="58">
        <f t="shared" si="80"/>
        <v>299.82124352331607</v>
      </c>
      <c r="R400" s="66">
        <f t="shared" si="86"/>
        <v>44.556435000000008</v>
      </c>
      <c r="S400" s="64">
        <f t="shared" si="81"/>
        <v>165</v>
      </c>
      <c r="T400" s="66">
        <f t="shared" si="82"/>
        <v>2755.6384350000003</v>
      </c>
      <c r="U400" s="68">
        <f t="shared" si="83"/>
        <v>62.628146250000007</v>
      </c>
      <c r="V400" s="68">
        <f t="shared" si="84"/>
        <v>486.74725064766841</v>
      </c>
      <c r="W400" s="68">
        <f t="shared" si="85"/>
        <v>324.49816709844561</v>
      </c>
    </row>
    <row r="401" spans="1:23" x14ac:dyDescent="0.25">
      <c r="A401" s="169" t="s">
        <v>892</v>
      </c>
      <c r="B401" s="61" t="s">
        <v>397</v>
      </c>
      <c r="C401" s="61" t="s">
        <v>591</v>
      </c>
      <c r="D401" s="61" t="s">
        <v>869</v>
      </c>
      <c r="E401" s="1" t="s">
        <v>353</v>
      </c>
      <c r="F401" s="62" t="str">
        <f t="shared" si="87"/>
        <v>60617</v>
      </c>
      <c r="G401" s="1">
        <v>10620064</v>
      </c>
      <c r="H401" s="1" t="s">
        <v>388</v>
      </c>
      <c r="I401" s="61">
        <v>39</v>
      </c>
      <c r="J401" s="61">
        <v>3.4</v>
      </c>
      <c r="K401" s="61">
        <v>8.1</v>
      </c>
      <c r="L401" s="69">
        <f t="shared" si="76"/>
        <v>1.3259999999999998</v>
      </c>
      <c r="M401" s="69">
        <f t="shared" si="77"/>
        <v>3.1589999999999998</v>
      </c>
      <c r="N401" s="56">
        <f>INDEX(Rate_Chart!$A$1:$AK$127,MATCH(Data!J401,Rate_Chart!$A$1:$A$127,0),MATCH(Data!K401,Rate_Chart!$A$1:$AK$1,0))</f>
        <v>36.697125900000003</v>
      </c>
      <c r="O401" s="57">
        <f t="shared" si="78"/>
        <v>1431.1879101000002</v>
      </c>
      <c r="P401" s="58">
        <f t="shared" si="79"/>
        <v>417.01279431818188</v>
      </c>
      <c r="Q401" s="58">
        <f t="shared" si="80"/>
        <v>278.00852954545456</v>
      </c>
      <c r="R401" s="66">
        <f t="shared" si="86"/>
        <v>25.045788426750004</v>
      </c>
      <c r="S401" s="64">
        <f t="shared" si="81"/>
        <v>146.25</v>
      </c>
      <c r="T401" s="66">
        <f t="shared" si="82"/>
        <v>1602.4836985267502</v>
      </c>
      <c r="U401" s="68">
        <f t="shared" si="83"/>
        <v>41.089325603250003</v>
      </c>
      <c r="V401" s="68">
        <f t="shared" si="84"/>
        <v>466.92415458238645</v>
      </c>
      <c r="W401" s="68">
        <f t="shared" si="85"/>
        <v>311.28276972159097</v>
      </c>
    </row>
    <row r="402" spans="1:23" x14ac:dyDescent="0.25">
      <c r="A402" s="169" t="s">
        <v>893</v>
      </c>
      <c r="B402" s="61" t="s">
        <v>397</v>
      </c>
      <c r="C402" s="61" t="s">
        <v>591</v>
      </c>
      <c r="D402" s="61" t="s">
        <v>869</v>
      </c>
      <c r="E402" s="1" t="s">
        <v>353</v>
      </c>
      <c r="F402" s="62" t="str">
        <f t="shared" si="87"/>
        <v>60617</v>
      </c>
      <c r="G402" s="1">
        <v>10620064</v>
      </c>
      <c r="H402" s="1" t="s">
        <v>387</v>
      </c>
      <c r="I402" s="61">
        <v>50</v>
      </c>
      <c r="J402" s="61">
        <v>6.3</v>
      </c>
      <c r="K402" s="61">
        <v>8.8000000000000007</v>
      </c>
      <c r="L402" s="69">
        <f t="shared" si="76"/>
        <v>3.15</v>
      </c>
      <c r="M402" s="69">
        <f t="shared" si="77"/>
        <v>4.4000000000000004</v>
      </c>
      <c r="N402" s="56">
        <f>INDEX(Rate_Chart!$A$1:$AK$127,MATCH(Data!J402,Rate_Chart!$A$1:$A$127,0),MATCH(Data!K402,Rate_Chart!$A$1:$AK$1,0))</f>
        <v>52.078949999999999</v>
      </c>
      <c r="O402" s="57">
        <f t="shared" si="78"/>
        <v>2603.9474999999998</v>
      </c>
      <c r="P402" s="58">
        <f t="shared" si="79"/>
        <v>428.04616438356163</v>
      </c>
      <c r="Q402" s="58">
        <f t="shared" si="80"/>
        <v>285.36410958904111</v>
      </c>
      <c r="R402" s="66">
        <f t="shared" si="86"/>
        <v>45.569081250000004</v>
      </c>
      <c r="S402" s="64">
        <f t="shared" si="81"/>
        <v>187.5</v>
      </c>
      <c r="T402" s="66">
        <f t="shared" si="82"/>
        <v>2837.0165812499999</v>
      </c>
      <c r="U402" s="68">
        <f t="shared" si="83"/>
        <v>56.740331624999996</v>
      </c>
      <c r="V402" s="68">
        <f t="shared" si="84"/>
        <v>466.35889006849311</v>
      </c>
      <c r="W402" s="68">
        <f t="shared" si="85"/>
        <v>310.90592671232872</v>
      </c>
    </row>
    <row r="403" spans="1:23" x14ac:dyDescent="0.25">
      <c r="A403" s="169" t="s">
        <v>893</v>
      </c>
      <c r="B403" s="61" t="s">
        <v>397</v>
      </c>
      <c r="C403" s="61" t="s">
        <v>591</v>
      </c>
      <c r="D403" s="61" t="s">
        <v>869</v>
      </c>
      <c r="E403" s="1" t="s">
        <v>353</v>
      </c>
      <c r="F403" s="62" t="str">
        <f t="shared" si="87"/>
        <v>60617</v>
      </c>
      <c r="G403" s="1">
        <v>10620064</v>
      </c>
      <c r="H403" s="1" t="s">
        <v>388</v>
      </c>
      <c r="I403" s="61">
        <v>34</v>
      </c>
      <c r="J403" s="61">
        <v>3.3</v>
      </c>
      <c r="K403" s="61">
        <v>8.1</v>
      </c>
      <c r="L403" s="69">
        <f t="shared" si="76"/>
        <v>1.1219999999999999</v>
      </c>
      <c r="M403" s="69">
        <f t="shared" si="77"/>
        <v>2.7539999999999996</v>
      </c>
      <c r="N403" s="56">
        <f>INDEX(Rate_Chart!$A$1:$AK$127,MATCH(Data!J403,Rate_Chart!$A$1:$A$127,0),MATCH(Data!K403,Rate_Chart!$A$1:$AK$1,0))</f>
        <v>36.280125900000002</v>
      </c>
      <c r="O403" s="57">
        <f t="shared" si="78"/>
        <v>1233.5242806000001</v>
      </c>
      <c r="P403" s="58">
        <f t="shared" si="79"/>
        <v>417.0129413793104</v>
      </c>
      <c r="Q403" s="58">
        <f t="shared" si="80"/>
        <v>278.00862758620696</v>
      </c>
      <c r="R403" s="66">
        <f t="shared" si="86"/>
        <v>21.586674910500005</v>
      </c>
      <c r="S403" s="64">
        <f t="shared" si="81"/>
        <v>127.5</v>
      </c>
      <c r="T403" s="66">
        <f t="shared" si="82"/>
        <v>1382.6109555105002</v>
      </c>
      <c r="U403" s="68">
        <f t="shared" si="83"/>
        <v>40.665028103250002</v>
      </c>
      <c r="V403" s="68">
        <f t="shared" si="84"/>
        <v>467.4141161293104</v>
      </c>
      <c r="W403" s="68">
        <f t="shared" si="85"/>
        <v>311.6094107528736</v>
      </c>
    </row>
    <row r="404" spans="1:23" x14ac:dyDescent="0.25">
      <c r="A404" s="169" t="s">
        <v>894</v>
      </c>
      <c r="B404" s="61" t="s">
        <v>396</v>
      </c>
      <c r="C404" s="61" t="s">
        <v>591</v>
      </c>
      <c r="D404" s="61" t="s">
        <v>869</v>
      </c>
      <c r="E404" s="1" t="s">
        <v>353</v>
      </c>
      <c r="F404" s="62" t="str">
        <f t="shared" si="87"/>
        <v>60617</v>
      </c>
      <c r="G404" s="1">
        <v>10620064</v>
      </c>
      <c r="H404" s="1" t="s">
        <v>387</v>
      </c>
      <c r="I404" s="61">
        <v>14</v>
      </c>
      <c r="J404" s="61">
        <v>6.8</v>
      </c>
      <c r="K404" s="61">
        <v>9</v>
      </c>
      <c r="L404" s="69">
        <f t="shared" si="76"/>
        <v>0.95200000000000007</v>
      </c>
      <c r="M404" s="69">
        <f t="shared" si="77"/>
        <v>1.26</v>
      </c>
      <c r="N404" s="56">
        <f>INDEX(Rate_Chart!$A$1:$AK$127,MATCH(Data!J404,Rate_Chart!$A$1:$A$127,0),MATCH(Data!K404,Rate_Chart!$A$1:$AK$1,0))</f>
        <v>56.78</v>
      </c>
      <c r="O404" s="57">
        <f t="shared" si="78"/>
        <v>794.92000000000007</v>
      </c>
      <c r="P404" s="58">
        <f t="shared" si="79"/>
        <v>443.59375</v>
      </c>
      <c r="Q404" s="58">
        <f t="shared" si="80"/>
        <v>295.72916666666669</v>
      </c>
      <c r="R404" s="66">
        <f t="shared" si="86"/>
        <v>13.911100000000003</v>
      </c>
      <c r="S404" s="64">
        <f t="shared" si="81"/>
        <v>52.5</v>
      </c>
      <c r="T404" s="66">
        <f t="shared" si="82"/>
        <v>861.33110000000011</v>
      </c>
      <c r="U404" s="68">
        <f t="shared" si="83"/>
        <v>61.523650000000011</v>
      </c>
      <c r="V404" s="68">
        <f t="shared" si="84"/>
        <v>480.65351562500007</v>
      </c>
      <c r="W404" s="68">
        <f t="shared" si="85"/>
        <v>320.43567708333336</v>
      </c>
    </row>
    <row r="405" spans="1:23" x14ac:dyDescent="0.25">
      <c r="A405" s="169" t="s">
        <v>894</v>
      </c>
      <c r="B405" s="61" t="s">
        <v>397</v>
      </c>
      <c r="C405" s="61" t="s">
        <v>591</v>
      </c>
      <c r="D405" s="61" t="s">
        <v>869</v>
      </c>
      <c r="E405" s="1" t="s">
        <v>353</v>
      </c>
      <c r="F405" s="62" t="str">
        <f t="shared" si="87"/>
        <v>60617</v>
      </c>
      <c r="G405" s="1">
        <v>10620064</v>
      </c>
      <c r="H405" s="1" t="s">
        <v>387</v>
      </c>
      <c r="I405" s="61">
        <v>40</v>
      </c>
      <c r="J405" s="61">
        <v>7</v>
      </c>
      <c r="K405" s="61">
        <v>8.8000000000000007</v>
      </c>
      <c r="L405" s="69">
        <f t="shared" si="76"/>
        <v>2.8</v>
      </c>
      <c r="M405" s="69">
        <f t="shared" si="77"/>
        <v>3.52</v>
      </c>
      <c r="N405" s="56">
        <f>INDEX(Rate_Chart!$A$1:$AK$127,MATCH(Data!J405,Rate_Chart!$A$1:$A$127,0),MATCH(Data!K405,Rate_Chart!$A$1:$AK$1,0))</f>
        <v>57.865500000000004</v>
      </c>
      <c r="O405" s="57">
        <f t="shared" si="78"/>
        <v>2314.6200000000003</v>
      </c>
      <c r="P405" s="58">
        <f t="shared" si="79"/>
        <v>449.73186528497411</v>
      </c>
      <c r="Q405" s="58">
        <f t="shared" si="80"/>
        <v>299.82124352331607</v>
      </c>
      <c r="R405" s="66">
        <f t="shared" si="86"/>
        <v>40.505850000000009</v>
      </c>
      <c r="S405" s="64">
        <f t="shared" si="81"/>
        <v>150</v>
      </c>
      <c r="T405" s="66">
        <f t="shared" si="82"/>
        <v>2505.1258500000004</v>
      </c>
      <c r="U405" s="68">
        <f t="shared" si="83"/>
        <v>62.628146250000007</v>
      </c>
      <c r="V405" s="68">
        <f t="shared" si="84"/>
        <v>486.74725064766841</v>
      </c>
      <c r="W405" s="68">
        <f t="shared" si="85"/>
        <v>324.49816709844561</v>
      </c>
    </row>
    <row r="406" spans="1:23" x14ac:dyDescent="0.25">
      <c r="A406" s="169" t="s">
        <v>894</v>
      </c>
      <c r="B406" s="61" t="s">
        <v>397</v>
      </c>
      <c r="C406" s="61" t="s">
        <v>591</v>
      </c>
      <c r="D406" s="61" t="s">
        <v>869</v>
      </c>
      <c r="E406" s="1" t="s">
        <v>353</v>
      </c>
      <c r="F406" s="62" t="str">
        <f t="shared" si="87"/>
        <v>60617</v>
      </c>
      <c r="G406" s="1">
        <v>10620064</v>
      </c>
      <c r="H406" s="1" t="s">
        <v>388</v>
      </c>
      <c r="I406" s="61">
        <v>54</v>
      </c>
      <c r="J406" s="61">
        <v>3.3</v>
      </c>
      <c r="K406" s="61">
        <v>8.1</v>
      </c>
      <c r="L406" s="69">
        <f t="shared" si="76"/>
        <v>1.7819999999999998</v>
      </c>
      <c r="M406" s="69">
        <f t="shared" si="77"/>
        <v>4.3739999999999997</v>
      </c>
      <c r="N406" s="56">
        <f>INDEX(Rate_Chart!$A$1:$AK$127,MATCH(Data!J406,Rate_Chart!$A$1:$A$127,0),MATCH(Data!K406,Rate_Chart!$A$1:$AK$1,0))</f>
        <v>36.280125900000002</v>
      </c>
      <c r="O406" s="57">
        <f t="shared" si="78"/>
        <v>1959.1267986</v>
      </c>
      <c r="P406" s="58">
        <f t="shared" si="79"/>
        <v>417.0129413793104</v>
      </c>
      <c r="Q406" s="58">
        <f t="shared" si="80"/>
        <v>278.00862758620696</v>
      </c>
      <c r="R406" s="66">
        <f t="shared" si="86"/>
        <v>34.284718975500006</v>
      </c>
      <c r="S406" s="64">
        <f t="shared" si="81"/>
        <v>202.5</v>
      </c>
      <c r="T406" s="66">
        <f t="shared" si="82"/>
        <v>2195.9115175755001</v>
      </c>
      <c r="U406" s="68">
        <f t="shared" si="83"/>
        <v>40.665028103250002</v>
      </c>
      <c r="V406" s="68">
        <f t="shared" si="84"/>
        <v>467.4141161293104</v>
      </c>
      <c r="W406" s="68">
        <f t="shared" si="85"/>
        <v>311.6094107528736</v>
      </c>
    </row>
    <row r="407" spans="1:23" x14ac:dyDescent="0.25">
      <c r="A407" s="169" t="s">
        <v>888</v>
      </c>
      <c r="B407" s="61" t="s">
        <v>396</v>
      </c>
      <c r="C407" s="61" t="s">
        <v>591</v>
      </c>
      <c r="D407" s="61" t="s">
        <v>869</v>
      </c>
      <c r="E407" s="1" t="s">
        <v>354</v>
      </c>
      <c r="F407" s="62" t="str">
        <f t="shared" si="87"/>
        <v>60627</v>
      </c>
      <c r="G407" s="1">
        <v>10620077</v>
      </c>
      <c r="H407" s="1" t="s">
        <v>388</v>
      </c>
      <c r="I407" s="61">
        <v>27</v>
      </c>
      <c r="J407" s="61">
        <v>3</v>
      </c>
      <c r="K407" s="61">
        <v>8</v>
      </c>
      <c r="L407" s="69">
        <f t="shared" si="76"/>
        <v>0.81</v>
      </c>
      <c r="M407" s="69">
        <f t="shared" si="77"/>
        <v>2.16</v>
      </c>
      <c r="N407" s="56">
        <f>INDEX(Rate_Chart!$A$1:$AK$127,MATCH(Data!J407,Rate_Chart!$A$1:$A$127,0),MATCH(Data!K407,Rate_Chart!$A$1:$AK$1,0))</f>
        <v>34.751112000000006</v>
      </c>
      <c r="O407" s="57">
        <f t="shared" si="78"/>
        <v>938.28002400000014</v>
      </c>
      <c r="P407" s="58">
        <f t="shared" si="79"/>
        <v>417.01334400000002</v>
      </c>
      <c r="Q407" s="58">
        <f t="shared" si="80"/>
        <v>278.00889599999999</v>
      </c>
      <c r="R407" s="66">
        <f t="shared" si="86"/>
        <v>16.419900420000005</v>
      </c>
      <c r="S407" s="64">
        <f t="shared" si="81"/>
        <v>101.25</v>
      </c>
      <c r="T407" s="66">
        <f t="shared" si="82"/>
        <v>1055.9499244200001</v>
      </c>
      <c r="U407" s="68">
        <f t="shared" si="83"/>
        <v>39.109256460000005</v>
      </c>
      <c r="V407" s="68">
        <f t="shared" si="84"/>
        <v>469.31107752000003</v>
      </c>
      <c r="W407" s="68">
        <f t="shared" si="85"/>
        <v>312.87405168000004</v>
      </c>
    </row>
    <row r="408" spans="1:23" x14ac:dyDescent="0.25">
      <c r="A408" s="169" t="s">
        <v>888</v>
      </c>
      <c r="B408" s="61" t="s">
        <v>397</v>
      </c>
      <c r="C408" s="61" t="s">
        <v>591</v>
      </c>
      <c r="D408" s="61" t="s">
        <v>869</v>
      </c>
      <c r="E408" s="1" t="s">
        <v>354</v>
      </c>
      <c r="F408" s="62" t="str">
        <f t="shared" si="87"/>
        <v>60627</v>
      </c>
      <c r="G408" s="1">
        <v>10620077</v>
      </c>
      <c r="H408" s="1" t="s">
        <v>388</v>
      </c>
      <c r="I408" s="61">
        <v>11</v>
      </c>
      <c r="J408" s="61">
        <v>3</v>
      </c>
      <c r="K408" s="61">
        <v>8</v>
      </c>
      <c r="L408" s="69">
        <f t="shared" si="76"/>
        <v>0.33</v>
      </c>
      <c r="M408" s="69">
        <f t="shared" si="77"/>
        <v>0.88</v>
      </c>
      <c r="N408" s="56">
        <f>INDEX(Rate_Chart!$A$1:$AK$127,MATCH(Data!J408,Rate_Chart!$A$1:$A$127,0),MATCH(Data!K408,Rate_Chart!$A$1:$AK$1,0))</f>
        <v>34.751112000000006</v>
      </c>
      <c r="O408" s="57">
        <f t="shared" si="78"/>
        <v>382.26223200000004</v>
      </c>
      <c r="P408" s="58">
        <f t="shared" si="79"/>
        <v>417.01334400000002</v>
      </c>
      <c r="Q408" s="58">
        <f t="shared" si="80"/>
        <v>278.00889599999999</v>
      </c>
      <c r="R408" s="66">
        <f t="shared" si="86"/>
        <v>6.6895890600000012</v>
      </c>
      <c r="S408" s="64">
        <f t="shared" si="81"/>
        <v>41.25</v>
      </c>
      <c r="T408" s="66">
        <f t="shared" si="82"/>
        <v>430.20182106000004</v>
      </c>
      <c r="U408" s="68">
        <f t="shared" si="83"/>
        <v>39.109256460000005</v>
      </c>
      <c r="V408" s="68">
        <f t="shared" si="84"/>
        <v>469.31107752000003</v>
      </c>
      <c r="W408" s="68">
        <f t="shared" si="85"/>
        <v>312.87405168000004</v>
      </c>
    </row>
    <row r="409" spans="1:23" x14ac:dyDescent="0.25">
      <c r="A409" s="169" t="s">
        <v>889</v>
      </c>
      <c r="B409" s="61" t="s">
        <v>396</v>
      </c>
      <c r="C409" s="61" t="s">
        <v>591</v>
      </c>
      <c r="D409" s="61" t="s">
        <v>869</v>
      </c>
      <c r="E409" s="1" t="s">
        <v>354</v>
      </c>
      <c r="F409" s="62" t="str">
        <f t="shared" si="87"/>
        <v>60627</v>
      </c>
      <c r="G409" s="1">
        <v>10620077</v>
      </c>
      <c r="H409" s="1" t="s">
        <v>387</v>
      </c>
      <c r="I409" s="61">
        <v>23</v>
      </c>
      <c r="J409" s="61">
        <v>6.6</v>
      </c>
      <c r="K409" s="61">
        <v>8.8000000000000007</v>
      </c>
      <c r="L409" s="69">
        <f t="shared" si="76"/>
        <v>1.5179999999999998</v>
      </c>
      <c r="M409" s="69">
        <f t="shared" si="77"/>
        <v>2.024</v>
      </c>
      <c r="N409" s="56">
        <f>INDEX(Rate_Chart!$A$1:$AK$127,MATCH(Data!J409,Rate_Chart!$A$1:$A$127,0),MATCH(Data!K409,Rate_Chart!$A$1:$AK$1,0))</f>
        <v>54.558900000000001</v>
      </c>
      <c r="O409" s="57">
        <f t="shared" si="78"/>
        <v>1254.8547000000001</v>
      </c>
      <c r="P409" s="58">
        <f t="shared" si="79"/>
        <v>437.63823529411764</v>
      </c>
      <c r="Q409" s="58">
        <f t="shared" si="80"/>
        <v>291.75882352941176</v>
      </c>
      <c r="R409" s="66">
        <f t="shared" si="86"/>
        <v>21.959957250000002</v>
      </c>
      <c r="S409" s="64">
        <f t="shared" si="81"/>
        <v>86.25</v>
      </c>
      <c r="T409" s="66">
        <f t="shared" si="82"/>
        <v>1363.06465725</v>
      </c>
      <c r="U409" s="68">
        <f t="shared" si="83"/>
        <v>59.263680749999999</v>
      </c>
      <c r="V409" s="68">
        <f t="shared" si="84"/>
        <v>475.37711831550797</v>
      </c>
      <c r="W409" s="68">
        <f t="shared" si="85"/>
        <v>316.91807887700531</v>
      </c>
    </row>
    <row r="410" spans="1:23" x14ac:dyDescent="0.25">
      <c r="A410" s="169" t="s">
        <v>889</v>
      </c>
      <c r="B410" s="61" t="s">
        <v>396</v>
      </c>
      <c r="C410" s="61" t="s">
        <v>591</v>
      </c>
      <c r="D410" s="61" t="s">
        <v>869</v>
      </c>
      <c r="E410" s="1" t="s">
        <v>354</v>
      </c>
      <c r="F410" s="62" t="str">
        <f t="shared" si="87"/>
        <v>60627</v>
      </c>
      <c r="G410" s="1">
        <v>10620077</v>
      </c>
      <c r="H410" s="1" t="s">
        <v>388</v>
      </c>
      <c r="I410" s="61">
        <v>13</v>
      </c>
      <c r="J410" s="61">
        <v>3</v>
      </c>
      <c r="K410" s="61">
        <v>8</v>
      </c>
      <c r="L410" s="69">
        <f t="shared" si="76"/>
        <v>0.39</v>
      </c>
      <c r="M410" s="69">
        <f t="shared" si="77"/>
        <v>1.04</v>
      </c>
      <c r="N410" s="56">
        <f>INDEX(Rate_Chart!$A$1:$AK$127,MATCH(Data!J410,Rate_Chart!$A$1:$A$127,0),MATCH(Data!K410,Rate_Chart!$A$1:$AK$1,0))</f>
        <v>34.751112000000006</v>
      </c>
      <c r="O410" s="57">
        <f t="shared" si="78"/>
        <v>451.76445600000011</v>
      </c>
      <c r="P410" s="58">
        <f t="shared" si="79"/>
        <v>417.01334400000002</v>
      </c>
      <c r="Q410" s="58">
        <f t="shared" si="80"/>
        <v>278.00889599999999</v>
      </c>
      <c r="R410" s="66">
        <f t="shared" si="86"/>
        <v>7.9058779800000023</v>
      </c>
      <c r="S410" s="64">
        <f t="shared" si="81"/>
        <v>48.75</v>
      </c>
      <c r="T410" s="66">
        <f t="shared" si="82"/>
        <v>508.42033398000012</v>
      </c>
      <c r="U410" s="68">
        <f t="shared" si="83"/>
        <v>39.109256460000012</v>
      </c>
      <c r="V410" s="68">
        <f t="shared" si="84"/>
        <v>469.31107752000008</v>
      </c>
      <c r="W410" s="68">
        <f t="shared" si="85"/>
        <v>312.87405168000004</v>
      </c>
    </row>
    <row r="411" spans="1:23" x14ac:dyDescent="0.25">
      <c r="A411" s="169" t="s">
        <v>890</v>
      </c>
      <c r="B411" s="61" t="s">
        <v>397</v>
      </c>
      <c r="C411" s="61" t="s">
        <v>591</v>
      </c>
      <c r="D411" s="61" t="s">
        <v>869</v>
      </c>
      <c r="E411" s="1" t="s">
        <v>354</v>
      </c>
      <c r="F411" s="62" t="str">
        <f t="shared" si="87"/>
        <v>60627</v>
      </c>
      <c r="G411" s="1">
        <v>10620077</v>
      </c>
      <c r="H411" s="1" t="s">
        <v>388</v>
      </c>
      <c r="I411" s="61">
        <v>6</v>
      </c>
      <c r="J411" s="61">
        <v>3.1</v>
      </c>
      <c r="K411" s="61">
        <v>8.1</v>
      </c>
      <c r="L411" s="69">
        <f t="shared" si="76"/>
        <v>0.18600000000000003</v>
      </c>
      <c r="M411" s="69">
        <f t="shared" si="77"/>
        <v>0.48599999999999993</v>
      </c>
      <c r="N411" s="56">
        <f>INDEX(Rate_Chart!$A$1:$AK$127,MATCH(Data!J411,Rate_Chart!$A$1:$A$127,0),MATCH(Data!K411,Rate_Chart!$A$1:$AK$1,0))</f>
        <v>35.446125899999998</v>
      </c>
      <c r="O411" s="57">
        <f t="shared" si="78"/>
        <v>212.67675539999999</v>
      </c>
      <c r="P411" s="58">
        <f t="shared" si="79"/>
        <v>417.01324588235298</v>
      </c>
      <c r="Q411" s="58">
        <f t="shared" si="80"/>
        <v>278.0088305882353</v>
      </c>
      <c r="R411" s="66">
        <f t="shared" si="86"/>
        <v>3.7218432195000002</v>
      </c>
      <c r="S411" s="64">
        <f t="shared" si="81"/>
        <v>22.5</v>
      </c>
      <c r="T411" s="66">
        <f t="shared" si="82"/>
        <v>238.89859861949998</v>
      </c>
      <c r="U411" s="68">
        <f t="shared" si="83"/>
        <v>39.816433103249999</v>
      </c>
      <c r="V411" s="68">
        <f t="shared" si="84"/>
        <v>468.42862474411766</v>
      </c>
      <c r="W411" s="68">
        <f t="shared" si="85"/>
        <v>312.28574982941177</v>
      </c>
    </row>
    <row r="412" spans="1:23" x14ac:dyDescent="0.25">
      <c r="A412" s="169" t="s">
        <v>891</v>
      </c>
      <c r="B412" s="61" t="s">
        <v>396</v>
      </c>
      <c r="C412" s="61" t="s">
        <v>591</v>
      </c>
      <c r="D412" s="61" t="s">
        <v>869</v>
      </c>
      <c r="E412" s="1" t="s">
        <v>354</v>
      </c>
      <c r="F412" s="62" t="str">
        <f t="shared" si="87"/>
        <v>60627</v>
      </c>
      <c r="G412" s="1">
        <v>10620077</v>
      </c>
      <c r="H412" s="1" t="s">
        <v>387</v>
      </c>
      <c r="I412" s="61">
        <v>23</v>
      </c>
      <c r="J412" s="61">
        <v>6.4</v>
      </c>
      <c r="K412" s="61">
        <v>8.8000000000000007</v>
      </c>
      <c r="L412" s="69">
        <f t="shared" si="76"/>
        <v>1.4720000000000002</v>
      </c>
      <c r="M412" s="69">
        <f t="shared" si="77"/>
        <v>2.024</v>
      </c>
      <c r="N412" s="56">
        <f>INDEX(Rate_Chart!$A$1:$AK$127,MATCH(Data!J412,Rate_Chart!$A$1:$A$127,0),MATCH(Data!K412,Rate_Chart!$A$1:$AK$1,0))</f>
        <v>52.9056</v>
      </c>
      <c r="O412" s="57">
        <f t="shared" si="78"/>
        <v>1216.8288</v>
      </c>
      <c r="P412" s="58">
        <f t="shared" si="79"/>
        <v>431.29565217391303</v>
      </c>
      <c r="Q412" s="58">
        <f t="shared" si="80"/>
        <v>287.53043478260867</v>
      </c>
      <c r="R412" s="66">
        <f t="shared" si="86"/>
        <v>21.294504000000003</v>
      </c>
      <c r="S412" s="64">
        <f t="shared" si="81"/>
        <v>86.25</v>
      </c>
      <c r="T412" s="66">
        <f t="shared" si="82"/>
        <v>1324.373304</v>
      </c>
      <c r="U412" s="68">
        <f t="shared" si="83"/>
        <v>57.581448000000002</v>
      </c>
      <c r="V412" s="68">
        <f t="shared" si="84"/>
        <v>469.41397826086956</v>
      </c>
      <c r="W412" s="68">
        <f t="shared" si="85"/>
        <v>312.94265217391302</v>
      </c>
    </row>
    <row r="413" spans="1:23" x14ac:dyDescent="0.25">
      <c r="A413" s="169" t="s">
        <v>891</v>
      </c>
      <c r="B413" s="61" t="s">
        <v>396</v>
      </c>
      <c r="C413" s="61" t="s">
        <v>591</v>
      </c>
      <c r="D413" s="61" t="s">
        <v>869</v>
      </c>
      <c r="E413" s="1" t="s">
        <v>354</v>
      </c>
      <c r="F413" s="62" t="str">
        <f t="shared" si="87"/>
        <v>60627</v>
      </c>
      <c r="G413" s="1">
        <v>10620077</v>
      </c>
      <c r="H413" s="1" t="s">
        <v>388</v>
      </c>
      <c r="I413" s="61">
        <v>35</v>
      </c>
      <c r="J413" s="61">
        <v>3.3</v>
      </c>
      <c r="K413" s="61">
        <v>8.1</v>
      </c>
      <c r="L413" s="69">
        <f t="shared" ref="L413:L476" si="88">J413*I413/100</f>
        <v>1.155</v>
      </c>
      <c r="M413" s="69">
        <f t="shared" ref="M413:M476" si="89">K413*I413/100</f>
        <v>2.835</v>
      </c>
      <c r="N413" s="56">
        <f>INDEX(Rate_Chart!$A$1:$AK$127,MATCH(Data!J413,Rate_Chart!$A$1:$A$127,0),MATCH(Data!K413,Rate_Chart!$A$1:$AK$1,0))</f>
        <v>36.280125900000002</v>
      </c>
      <c r="O413" s="57">
        <f t="shared" ref="O413:O476" si="90">N413*I413</f>
        <v>1269.8044065000001</v>
      </c>
      <c r="P413" s="58">
        <f t="shared" ref="P413:P476" si="91">N413/(J413%+K413%*2/3)</f>
        <v>417.0129413793104</v>
      </c>
      <c r="Q413" s="58">
        <f t="shared" ref="Q413:Q476" si="92">P413*2/3</f>
        <v>278.00862758620696</v>
      </c>
      <c r="R413" s="66">
        <f t="shared" ref="R413:R476" si="93">O413*1.75%</f>
        <v>22.221577113750005</v>
      </c>
      <c r="S413" s="64">
        <f t="shared" ref="S413:S476" si="94">I413*3.75</f>
        <v>131.25</v>
      </c>
      <c r="T413" s="66">
        <f t="shared" ref="T413:T476" si="95">R413+S413+O413</f>
        <v>1423.2759836137502</v>
      </c>
      <c r="U413" s="68">
        <f t="shared" ref="U413:U476" si="96">T413/I413</f>
        <v>40.665028103250009</v>
      </c>
      <c r="V413" s="68">
        <f t="shared" ref="V413:V476" si="97">U413/(J413%+K413%*2/3)</f>
        <v>467.41411612931046</v>
      </c>
      <c r="W413" s="68">
        <f t="shared" ref="W413:W476" si="98">V413*2/3</f>
        <v>311.60941075287366</v>
      </c>
    </row>
    <row r="414" spans="1:23" x14ac:dyDescent="0.25">
      <c r="A414" s="169" t="s">
        <v>891</v>
      </c>
      <c r="B414" s="61" t="s">
        <v>397</v>
      </c>
      <c r="C414" s="61" t="s">
        <v>591</v>
      </c>
      <c r="D414" s="61" t="s">
        <v>869</v>
      </c>
      <c r="E414" s="1" t="s">
        <v>354</v>
      </c>
      <c r="F414" s="62" t="str">
        <f t="shared" si="87"/>
        <v>60627</v>
      </c>
      <c r="G414" s="1">
        <v>10620077</v>
      </c>
      <c r="H414" s="1" t="s">
        <v>388</v>
      </c>
      <c r="I414" s="61">
        <v>17</v>
      </c>
      <c r="J414" s="61">
        <v>3</v>
      </c>
      <c r="K414" s="61">
        <v>8.1</v>
      </c>
      <c r="L414" s="69">
        <f t="shared" si="88"/>
        <v>0.51</v>
      </c>
      <c r="M414" s="69">
        <f t="shared" si="89"/>
        <v>1.3769999999999998</v>
      </c>
      <c r="N414" s="56">
        <f>INDEX(Rate_Chart!$A$1:$AK$127,MATCH(Data!J414,Rate_Chart!$A$1:$A$127,0),MATCH(Data!K414,Rate_Chart!$A$1:$AK$1,0))</f>
        <v>35.029125900000004</v>
      </c>
      <c r="O414" s="57">
        <f t="shared" si="90"/>
        <v>595.49514030000012</v>
      </c>
      <c r="P414" s="58">
        <f t="shared" si="91"/>
        <v>417.01340357142868</v>
      </c>
      <c r="Q414" s="58">
        <f t="shared" si="92"/>
        <v>278.00893571428577</v>
      </c>
      <c r="R414" s="66">
        <f t="shared" si="93"/>
        <v>10.421164955250003</v>
      </c>
      <c r="S414" s="64">
        <f t="shared" si="94"/>
        <v>63.75</v>
      </c>
      <c r="T414" s="66">
        <f t="shared" si="95"/>
        <v>669.66630525525011</v>
      </c>
      <c r="U414" s="68">
        <f t="shared" si="96"/>
        <v>39.392135603250004</v>
      </c>
      <c r="V414" s="68">
        <f t="shared" si="97"/>
        <v>468.9539952767858</v>
      </c>
      <c r="W414" s="68">
        <f t="shared" si="98"/>
        <v>312.63599685119055</v>
      </c>
    </row>
    <row r="415" spans="1:23" x14ac:dyDescent="0.25">
      <c r="A415" s="169" t="s">
        <v>892</v>
      </c>
      <c r="B415" s="61" t="s">
        <v>397</v>
      </c>
      <c r="C415" s="61" t="s">
        <v>591</v>
      </c>
      <c r="D415" s="61" t="s">
        <v>869</v>
      </c>
      <c r="E415" s="1" t="s">
        <v>354</v>
      </c>
      <c r="F415" s="62" t="str">
        <f t="shared" si="87"/>
        <v>60627</v>
      </c>
      <c r="G415" s="1">
        <v>10620077</v>
      </c>
      <c r="H415" s="1" t="s">
        <v>388</v>
      </c>
      <c r="I415" s="61">
        <v>3</v>
      </c>
      <c r="J415" s="61">
        <v>3</v>
      </c>
      <c r="K415" s="61">
        <v>8</v>
      </c>
      <c r="L415" s="69">
        <f t="shared" si="88"/>
        <v>0.09</v>
      </c>
      <c r="M415" s="69">
        <f t="shared" si="89"/>
        <v>0.24</v>
      </c>
      <c r="N415" s="56">
        <f>INDEX(Rate_Chart!$A$1:$AK$127,MATCH(Data!J415,Rate_Chart!$A$1:$A$127,0),MATCH(Data!K415,Rate_Chart!$A$1:$AK$1,0))</f>
        <v>34.751112000000006</v>
      </c>
      <c r="O415" s="57">
        <f t="shared" si="90"/>
        <v>104.25333600000002</v>
      </c>
      <c r="P415" s="58">
        <f t="shared" si="91"/>
        <v>417.01334400000002</v>
      </c>
      <c r="Q415" s="58">
        <f t="shared" si="92"/>
        <v>278.00889599999999</v>
      </c>
      <c r="R415" s="66">
        <f t="shared" si="93"/>
        <v>1.8244333800000005</v>
      </c>
      <c r="S415" s="64">
        <f t="shared" si="94"/>
        <v>11.25</v>
      </c>
      <c r="T415" s="66">
        <f t="shared" si="95"/>
        <v>117.32776938000002</v>
      </c>
      <c r="U415" s="68">
        <f t="shared" si="96"/>
        <v>39.109256460000005</v>
      </c>
      <c r="V415" s="68">
        <f t="shared" si="97"/>
        <v>469.31107752000003</v>
      </c>
      <c r="W415" s="68">
        <f t="shared" si="98"/>
        <v>312.87405168000004</v>
      </c>
    </row>
    <row r="416" spans="1:23" x14ac:dyDescent="0.25">
      <c r="A416" s="169" t="s">
        <v>893</v>
      </c>
      <c r="B416" s="61" t="s">
        <v>396</v>
      </c>
      <c r="C416" s="61" t="s">
        <v>591</v>
      </c>
      <c r="D416" s="61" t="s">
        <v>869</v>
      </c>
      <c r="E416" s="1" t="s">
        <v>354</v>
      </c>
      <c r="F416" s="62" t="str">
        <f t="shared" si="87"/>
        <v>60627</v>
      </c>
      <c r="G416" s="1">
        <v>10620077</v>
      </c>
      <c r="H416" s="1" t="s">
        <v>387</v>
      </c>
      <c r="I416" s="61">
        <v>5</v>
      </c>
      <c r="J416" s="61">
        <v>7.1</v>
      </c>
      <c r="K416" s="61">
        <v>8.8000000000000007</v>
      </c>
      <c r="L416" s="69">
        <f t="shared" si="88"/>
        <v>0.35499999999999998</v>
      </c>
      <c r="M416" s="69">
        <f t="shared" si="89"/>
        <v>0.44</v>
      </c>
      <c r="N416" s="56">
        <f>INDEX(Rate_Chart!$A$1:$AK$127,MATCH(Data!J416,Rate_Chart!$A$1:$A$127,0),MATCH(Data!K416,Rate_Chart!$A$1:$AK$1,0))</f>
        <v>58.692149999999998</v>
      </c>
      <c r="O416" s="57">
        <f t="shared" si="90"/>
        <v>293.46074999999996</v>
      </c>
      <c r="P416" s="58">
        <f t="shared" si="91"/>
        <v>452.63868894601546</v>
      </c>
      <c r="Q416" s="58">
        <f t="shared" si="92"/>
        <v>301.75912596401031</v>
      </c>
      <c r="R416" s="66">
        <f t="shared" si="93"/>
        <v>5.135563125</v>
      </c>
      <c r="S416" s="64">
        <f t="shared" si="94"/>
        <v>18.75</v>
      </c>
      <c r="T416" s="66">
        <f t="shared" si="95"/>
        <v>317.34631312499994</v>
      </c>
      <c r="U416" s="68">
        <f t="shared" si="96"/>
        <v>63.469262624999985</v>
      </c>
      <c r="V416" s="68">
        <f t="shared" si="97"/>
        <v>489.48017448586114</v>
      </c>
      <c r="W416" s="68">
        <f t="shared" si="98"/>
        <v>326.32011632390743</v>
      </c>
    </row>
    <row r="417" spans="1:23" x14ac:dyDescent="0.25">
      <c r="A417" s="169" t="s">
        <v>893</v>
      </c>
      <c r="B417" s="61" t="s">
        <v>397</v>
      </c>
      <c r="C417" s="61" t="s">
        <v>591</v>
      </c>
      <c r="D417" s="61" t="s">
        <v>869</v>
      </c>
      <c r="E417" s="1" t="s">
        <v>354</v>
      </c>
      <c r="F417" s="62" t="str">
        <f t="shared" si="87"/>
        <v>60627</v>
      </c>
      <c r="G417" s="1">
        <v>10620077</v>
      </c>
      <c r="H417" s="1" t="s">
        <v>388</v>
      </c>
      <c r="I417" s="61">
        <v>3</v>
      </c>
      <c r="J417" s="61">
        <v>3</v>
      </c>
      <c r="K417" s="61">
        <v>8</v>
      </c>
      <c r="L417" s="69">
        <f t="shared" si="88"/>
        <v>0.09</v>
      </c>
      <c r="M417" s="69">
        <f t="shared" si="89"/>
        <v>0.24</v>
      </c>
      <c r="N417" s="56">
        <f>INDEX(Rate_Chart!$A$1:$AK$127,MATCH(Data!J417,Rate_Chart!$A$1:$A$127,0),MATCH(Data!K417,Rate_Chart!$A$1:$AK$1,0))</f>
        <v>34.751112000000006</v>
      </c>
      <c r="O417" s="57">
        <f t="shared" si="90"/>
        <v>104.25333600000002</v>
      </c>
      <c r="P417" s="58">
        <f t="shared" si="91"/>
        <v>417.01334400000002</v>
      </c>
      <c r="Q417" s="58">
        <f t="shared" si="92"/>
        <v>278.00889599999999</v>
      </c>
      <c r="R417" s="66">
        <f t="shared" si="93"/>
        <v>1.8244333800000005</v>
      </c>
      <c r="S417" s="64">
        <f t="shared" si="94"/>
        <v>11.25</v>
      </c>
      <c r="T417" s="66">
        <f t="shared" si="95"/>
        <v>117.32776938000002</v>
      </c>
      <c r="U417" s="68">
        <f t="shared" si="96"/>
        <v>39.109256460000005</v>
      </c>
      <c r="V417" s="68">
        <f t="shared" si="97"/>
        <v>469.31107752000003</v>
      </c>
      <c r="W417" s="68">
        <f t="shared" si="98"/>
        <v>312.87405168000004</v>
      </c>
    </row>
    <row r="418" spans="1:23" x14ac:dyDescent="0.25">
      <c r="A418" s="169" t="s">
        <v>894</v>
      </c>
      <c r="B418" s="61" t="s">
        <v>396</v>
      </c>
      <c r="C418" s="61" t="s">
        <v>591</v>
      </c>
      <c r="D418" s="61" t="s">
        <v>869</v>
      </c>
      <c r="E418" s="1" t="s">
        <v>354</v>
      </c>
      <c r="F418" s="62" t="str">
        <f t="shared" si="87"/>
        <v>60627</v>
      </c>
      <c r="G418" s="1">
        <v>10620077</v>
      </c>
      <c r="H418" s="1" t="s">
        <v>387</v>
      </c>
      <c r="I418" s="61">
        <v>32</v>
      </c>
      <c r="J418" s="61">
        <v>6.5</v>
      </c>
      <c r="K418" s="61">
        <v>8.8000000000000007</v>
      </c>
      <c r="L418" s="69">
        <f t="shared" si="88"/>
        <v>2.08</v>
      </c>
      <c r="M418" s="69">
        <f t="shared" si="89"/>
        <v>2.8160000000000003</v>
      </c>
      <c r="N418" s="56">
        <f>INDEX(Rate_Chart!$A$1:$AK$127,MATCH(Data!J418,Rate_Chart!$A$1:$A$127,0),MATCH(Data!K418,Rate_Chart!$A$1:$AK$1,0))</f>
        <v>53.732250000000001</v>
      </c>
      <c r="O418" s="57">
        <f t="shared" si="90"/>
        <v>1719.432</v>
      </c>
      <c r="P418" s="58">
        <f t="shared" si="91"/>
        <v>434.49258760107813</v>
      </c>
      <c r="Q418" s="58">
        <f t="shared" si="92"/>
        <v>289.66172506738542</v>
      </c>
      <c r="R418" s="66">
        <f t="shared" si="93"/>
        <v>30.090060000000005</v>
      </c>
      <c r="S418" s="64">
        <f t="shared" si="94"/>
        <v>120</v>
      </c>
      <c r="T418" s="66">
        <f t="shared" si="95"/>
        <v>1869.52206</v>
      </c>
      <c r="U418" s="68">
        <f t="shared" si="96"/>
        <v>58.422564375</v>
      </c>
      <c r="V418" s="68">
        <f t="shared" si="97"/>
        <v>472.41965801886789</v>
      </c>
      <c r="W418" s="68">
        <f t="shared" si="98"/>
        <v>314.94643867924526</v>
      </c>
    </row>
    <row r="419" spans="1:23" x14ac:dyDescent="0.25">
      <c r="A419" s="169" t="s">
        <v>894</v>
      </c>
      <c r="B419" s="61" t="s">
        <v>396</v>
      </c>
      <c r="C419" s="61" t="s">
        <v>591</v>
      </c>
      <c r="D419" s="61" t="s">
        <v>869</v>
      </c>
      <c r="E419" s="1" t="s">
        <v>354</v>
      </c>
      <c r="F419" s="62" t="str">
        <f t="shared" si="87"/>
        <v>60627</v>
      </c>
      <c r="G419" s="1">
        <v>10620077</v>
      </c>
      <c r="H419" s="1" t="s">
        <v>388</v>
      </c>
      <c r="I419" s="61">
        <v>17</v>
      </c>
      <c r="J419" s="61">
        <v>3</v>
      </c>
      <c r="K419" s="61">
        <v>8</v>
      </c>
      <c r="L419" s="69">
        <f t="shared" si="88"/>
        <v>0.51</v>
      </c>
      <c r="M419" s="69">
        <f t="shared" si="89"/>
        <v>1.36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590.76890400000013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10.338455820000004</v>
      </c>
      <c r="S419" s="64">
        <f t="shared" si="94"/>
        <v>63.75</v>
      </c>
      <c r="T419" s="66">
        <f t="shared" si="95"/>
        <v>664.85735982000017</v>
      </c>
      <c r="U419" s="68">
        <f t="shared" si="96"/>
        <v>39.109256460000012</v>
      </c>
      <c r="V419" s="68">
        <f t="shared" si="97"/>
        <v>469.31107752000008</v>
      </c>
      <c r="W419" s="68">
        <f t="shared" si="98"/>
        <v>312.87405168000004</v>
      </c>
    </row>
    <row r="420" spans="1:23" x14ac:dyDescent="0.25">
      <c r="A420" s="169" t="s">
        <v>894</v>
      </c>
      <c r="B420" s="61" t="s">
        <v>397</v>
      </c>
      <c r="C420" s="61" t="s">
        <v>591</v>
      </c>
      <c r="D420" s="61" t="s">
        <v>869</v>
      </c>
      <c r="E420" s="1" t="s">
        <v>354</v>
      </c>
      <c r="F420" s="62" t="str">
        <f t="shared" si="87"/>
        <v>60627</v>
      </c>
      <c r="G420" s="1">
        <v>10620077</v>
      </c>
      <c r="H420" s="1" t="s">
        <v>388</v>
      </c>
      <c r="I420" s="61">
        <v>8</v>
      </c>
      <c r="J420" s="61">
        <v>3.1</v>
      </c>
      <c r="K420" s="61">
        <v>8</v>
      </c>
      <c r="L420" s="69">
        <f t="shared" si="88"/>
        <v>0.248</v>
      </c>
      <c r="M420" s="69">
        <f t="shared" si="89"/>
        <v>0.64</v>
      </c>
      <c r="N420" s="56">
        <f>INDEX(Rate_Chart!$A$1:$AK$127,MATCH(Data!J420,Rate_Chart!$A$1:$A$127,0),MATCH(Data!K420,Rate_Chart!$A$1:$AK$1,0))</f>
        <v>35.168112000000008</v>
      </c>
      <c r="O420" s="57">
        <f t="shared" si="90"/>
        <v>281.34489600000006</v>
      </c>
      <c r="P420" s="58">
        <f t="shared" si="91"/>
        <v>417.01318577075102</v>
      </c>
      <c r="Q420" s="58">
        <f t="shared" si="92"/>
        <v>278.00879051383401</v>
      </c>
      <c r="R420" s="66">
        <f t="shared" si="93"/>
        <v>4.9235356800000014</v>
      </c>
      <c r="S420" s="64">
        <f t="shared" si="94"/>
        <v>30</v>
      </c>
      <c r="T420" s="66">
        <f t="shared" si="95"/>
        <v>316.26843168000005</v>
      </c>
      <c r="U420" s="68">
        <f t="shared" si="96"/>
        <v>39.533553960000006</v>
      </c>
      <c r="V420" s="68">
        <f t="shared" si="97"/>
        <v>468.77731968379447</v>
      </c>
      <c r="W420" s="68">
        <f t="shared" si="98"/>
        <v>312.51821312252963</v>
      </c>
    </row>
    <row r="421" spans="1:23" x14ac:dyDescent="0.25">
      <c r="A421" s="169" t="s">
        <v>888</v>
      </c>
      <c r="B421" s="61" t="s">
        <v>396</v>
      </c>
      <c r="C421" s="61" t="s">
        <v>591</v>
      </c>
      <c r="D421" s="61" t="s">
        <v>869</v>
      </c>
      <c r="E421" s="1" t="s">
        <v>355</v>
      </c>
      <c r="F421" s="62" t="str">
        <f t="shared" si="87"/>
        <v>60628</v>
      </c>
      <c r="G421" s="1">
        <v>10620014</v>
      </c>
      <c r="H421" s="1" t="s">
        <v>387</v>
      </c>
      <c r="I421" s="61">
        <v>15</v>
      </c>
      <c r="J421" s="61">
        <v>6.7</v>
      </c>
      <c r="K421" s="61">
        <v>8.6</v>
      </c>
      <c r="L421" s="69">
        <f t="shared" si="88"/>
        <v>1.0049999999999999</v>
      </c>
      <c r="M421" s="69">
        <f t="shared" si="89"/>
        <v>1.29</v>
      </c>
      <c r="N421" s="56">
        <f>INDEX(Rate_Chart!$A$1:$AK$127,MATCH(Data!J421,Rate_Chart!$A$1:$A$127,0),MATCH(Data!K421,Rate_Chart!$A$1:$AK$1,0))</f>
        <v>54.826099999999997</v>
      </c>
      <c r="O421" s="57">
        <f t="shared" si="90"/>
        <v>822.39149999999995</v>
      </c>
      <c r="P421" s="58">
        <f t="shared" si="91"/>
        <v>440.96058981233244</v>
      </c>
      <c r="Q421" s="58">
        <f t="shared" si="92"/>
        <v>293.97372654155498</v>
      </c>
      <c r="R421" s="66">
        <f t="shared" si="93"/>
        <v>14.39185125</v>
      </c>
      <c r="S421" s="64">
        <f t="shared" si="94"/>
        <v>56.25</v>
      </c>
      <c r="T421" s="66">
        <f t="shared" si="95"/>
        <v>893.0333512499999</v>
      </c>
      <c r="U421" s="68">
        <f t="shared" si="96"/>
        <v>59.535556749999991</v>
      </c>
      <c r="V421" s="68">
        <f t="shared" si="97"/>
        <v>478.8382580428954</v>
      </c>
      <c r="W421" s="68">
        <f t="shared" si="98"/>
        <v>319.22550536193029</v>
      </c>
    </row>
    <row r="422" spans="1:23" x14ac:dyDescent="0.25">
      <c r="A422" s="169" t="s">
        <v>888</v>
      </c>
      <c r="B422" s="61" t="s">
        <v>396</v>
      </c>
      <c r="C422" s="61" t="s">
        <v>591</v>
      </c>
      <c r="D422" s="61" t="s">
        <v>869</v>
      </c>
      <c r="E422" s="1" t="s">
        <v>355</v>
      </c>
      <c r="F422" s="62" t="str">
        <f t="shared" si="87"/>
        <v>60628</v>
      </c>
      <c r="G422" s="1">
        <v>10620014</v>
      </c>
      <c r="H422" s="1" t="s">
        <v>388</v>
      </c>
      <c r="I422" s="61">
        <v>18</v>
      </c>
      <c r="J422" s="61">
        <v>4.4000000000000004</v>
      </c>
      <c r="K422" s="61">
        <v>8.1</v>
      </c>
      <c r="L422" s="69">
        <f t="shared" si="88"/>
        <v>0.79200000000000004</v>
      </c>
      <c r="M422" s="69">
        <f t="shared" si="89"/>
        <v>1.4579999999999997</v>
      </c>
      <c r="N422" s="56">
        <f>INDEX(Rate_Chart!$A$1:$AK$127,MATCH(Data!J422,Rate_Chart!$A$1:$A$127,0),MATCH(Data!K422,Rate_Chart!$A$1:$AK$1,0))</f>
        <v>40.867125900000005</v>
      </c>
      <c r="O422" s="57">
        <f t="shared" si="90"/>
        <v>735.60826620000012</v>
      </c>
      <c r="P422" s="58">
        <f t="shared" si="91"/>
        <v>417.01148877551026</v>
      </c>
      <c r="Q422" s="58">
        <f t="shared" si="92"/>
        <v>278.00765918367352</v>
      </c>
      <c r="R422" s="66">
        <f t="shared" si="93"/>
        <v>12.873144658500003</v>
      </c>
      <c r="S422" s="64">
        <f t="shared" si="94"/>
        <v>67.5</v>
      </c>
      <c r="T422" s="66">
        <f t="shared" si="95"/>
        <v>815.98141085850011</v>
      </c>
      <c r="U422" s="68">
        <f t="shared" si="96"/>
        <v>45.332300603250005</v>
      </c>
      <c r="V422" s="68">
        <f t="shared" si="97"/>
        <v>462.57449595153065</v>
      </c>
      <c r="W422" s="68">
        <f t="shared" si="98"/>
        <v>308.38299730102045</v>
      </c>
    </row>
    <row r="423" spans="1:23" x14ac:dyDescent="0.25">
      <c r="A423" s="169" t="s">
        <v>888</v>
      </c>
      <c r="B423" s="61" t="s">
        <v>397</v>
      </c>
      <c r="C423" s="61" t="s">
        <v>591</v>
      </c>
      <c r="D423" s="61" t="s">
        <v>869</v>
      </c>
      <c r="E423" s="1" t="s">
        <v>355</v>
      </c>
      <c r="F423" s="62" t="str">
        <f t="shared" si="87"/>
        <v>60628</v>
      </c>
      <c r="G423" s="1">
        <v>10620014</v>
      </c>
      <c r="H423" s="1" t="s">
        <v>387</v>
      </c>
      <c r="I423" s="61">
        <v>6</v>
      </c>
      <c r="J423" s="61">
        <v>7</v>
      </c>
      <c r="K423" s="61">
        <v>8.8000000000000007</v>
      </c>
      <c r="L423" s="69">
        <f t="shared" si="88"/>
        <v>0.42</v>
      </c>
      <c r="M423" s="69">
        <f t="shared" si="89"/>
        <v>0.52800000000000002</v>
      </c>
      <c r="N423" s="56">
        <f>INDEX(Rate_Chart!$A$1:$AK$127,MATCH(Data!J423,Rate_Chart!$A$1:$A$127,0),MATCH(Data!K423,Rate_Chart!$A$1:$AK$1,0))</f>
        <v>57.865500000000004</v>
      </c>
      <c r="O423" s="57">
        <f t="shared" si="90"/>
        <v>347.19300000000004</v>
      </c>
      <c r="P423" s="58">
        <f t="shared" si="91"/>
        <v>449.73186528497411</v>
      </c>
      <c r="Q423" s="58">
        <f t="shared" si="92"/>
        <v>299.82124352331607</v>
      </c>
      <c r="R423" s="66">
        <f t="shared" si="93"/>
        <v>6.0758775000000016</v>
      </c>
      <c r="S423" s="64">
        <f t="shared" si="94"/>
        <v>22.5</v>
      </c>
      <c r="T423" s="66">
        <f t="shared" si="95"/>
        <v>375.76887750000003</v>
      </c>
      <c r="U423" s="68">
        <f t="shared" si="96"/>
        <v>62.628146250000007</v>
      </c>
      <c r="V423" s="68">
        <f t="shared" si="97"/>
        <v>486.74725064766841</v>
      </c>
      <c r="W423" s="68">
        <f t="shared" si="98"/>
        <v>324.49816709844561</v>
      </c>
    </row>
    <row r="424" spans="1:23" x14ac:dyDescent="0.25">
      <c r="A424" s="169" t="s">
        <v>888</v>
      </c>
      <c r="B424" s="61" t="s">
        <v>397</v>
      </c>
      <c r="C424" s="61" t="s">
        <v>591</v>
      </c>
      <c r="D424" s="61" t="s">
        <v>869</v>
      </c>
      <c r="E424" s="1" t="s">
        <v>355</v>
      </c>
      <c r="F424" s="62" t="str">
        <f t="shared" si="87"/>
        <v>60628</v>
      </c>
      <c r="G424" s="1">
        <v>10620014</v>
      </c>
      <c r="H424" s="1" t="s">
        <v>388</v>
      </c>
      <c r="I424" s="61">
        <v>10</v>
      </c>
      <c r="J424" s="61">
        <v>3.8</v>
      </c>
      <c r="K424" s="61">
        <v>8.1</v>
      </c>
      <c r="L424" s="69">
        <f t="shared" si="88"/>
        <v>0.38</v>
      </c>
      <c r="M424" s="69">
        <f t="shared" si="89"/>
        <v>0.81</v>
      </c>
      <c r="N424" s="56">
        <f>INDEX(Rate_Chart!$A$1:$AK$127,MATCH(Data!J424,Rate_Chart!$A$1:$A$127,0),MATCH(Data!K424,Rate_Chart!$A$1:$AK$1,0))</f>
        <v>38.365125900000002</v>
      </c>
      <c r="O424" s="57">
        <f t="shared" si="90"/>
        <v>383.65125900000004</v>
      </c>
      <c r="P424" s="58">
        <f t="shared" si="91"/>
        <v>417.01223804347831</v>
      </c>
      <c r="Q424" s="58">
        <f t="shared" si="92"/>
        <v>278.00815869565218</v>
      </c>
      <c r="R424" s="66">
        <f t="shared" si="93"/>
        <v>6.7138970325000011</v>
      </c>
      <c r="S424" s="64">
        <f t="shared" si="94"/>
        <v>37.5</v>
      </c>
      <c r="T424" s="66">
        <f t="shared" si="95"/>
        <v>427.86515603250007</v>
      </c>
      <c r="U424" s="68">
        <f t="shared" si="96"/>
        <v>42.78651560325001</v>
      </c>
      <c r="V424" s="68">
        <f t="shared" si="97"/>
        <v>465.07082177445665</v>
      </c>
      <c r="W424" s="68">
        <f t="shared" si="98"/>
        <v>310.04721451630445</v>
      </c>
    </row>
    <row r="425" spans="1:23" x14ac:dyDescent="0.25">
      <c r="A425" s="169" t="s">
        <v>889</v>
      </c>
      <c r="B425" s="61" t="s">
        <v>396</v>
      </c>
      <c r="C425" s="61" t="s">
        <v>591</v>
      </c>
      <c r="D425" s="61" t="s">
        <v>869</v>
      </c>
      <c r="E425" s="1" t="s">
        <v>355</v>
      </c>
      <c r="F425" s="62" t="str">
        <f t="shared" si="87"/>
        <v>60628</v>
      </c>
      <c r="G425" s="1">
        <v>10620014</v>
      </c>
      <c r="H425" s="1" t="s">
        <v>387</v>
      </c>
      <c r="I425" s="61">
        <v>15</v>
      </c>
      <c r="J425" s="61">
        <v>6.7</v>
      </c>
      <c r="K425" s="61">
        <v>8.8000000000000007</v>
      </c>
      <c r="L425" s="69">
        <f t="shared" si="88"/>
        <v>1.0049999999999999</v>
      </c>
      <c r="M425" s="69">
        <f t="shared" si="89"/>
        <v>1.32</v>
      </c>
      <c r="N425" s="56">
        <f>INDEX(Rate_Chart!$A$1:$AK$127,MATCH(Data!J425,Rate_Chart!$A$1:$A$127,0),MATCH(Data!K425,Rate_Chart!$A$1:$AK$1,0))</f>
        <v>55.385550000000002</v>
      </c>
      <c r="O425" s="57">
        <f t="shared" si="90"/>
        <v>830.78325000000007</v>
      </c>
      <c r="P425" s="58">
        <f t="shared" si="91"/>
        <v>440.73381962864721</v>
      </c>
      <c r="Q425" s="58">
        <f t="shared" si="92"/>
        <v>293.82254641909816</v>
      </c>
      <c r="R425" s="66">
        <f t="shared" si="93"/>
        <v>14.538706875000003</v>
      </c>
      <c r="S425" s="64">
        <f t="shared" si="94"/>
        <v>56.25</v>
      </c>
      <c r="T425" s="66">
        <f t="shared" si="95"/>
        <v>901.57195687500007</v>
      </c>
      <c r="U425" s="68">
        <f t="shared" si="96"/>
        <v>60.104797125000005</v>
      </c>
      <c r="V425" s="68">
        <f t="shared" si="97"/>
        <v>478.28751027851456</v>
      </c>
      <c r="W425" s="68">
        <f t="shared" si="98"/>
        <v>318.85834018567635</v>
      </c>
    </row>
    <row r="426" spans="1:23" x14ac:dyDescent="0.25">
      <c r="A426" s="169" t="s">
        <v>889</v>
      </c>
      <c r="B426" s="61" t="s">
        <v>396</v>
      </c>
      <c r="C426" s="61" t="s">
        <v>591</v>
      </c>
      <c r="D426" s="61" t="s">
        <v>869</v>
      </c>
      <c r="E426" s="1" t="s">
        <v>355</v>
      </c>
      <c r="F426" s="62" t="str">
        <f t="shared" si="87"/>
        <v>60628</v>
      </c>
      <c r="G426" s="1">
        <v>10620014</v>
      </c>
      <c r="H426" s="1" t="s">
        <v>388</v>
      </c>
      <c r="I426" s="61">
        <v>14</v>
      </c>
      <c r="J426" s="61">
        <v>3.6</v>
      </c>
      <c r="K426" s="61">
        <v>8.1</v>
      </c>
      <c r="L426" s="69">
        <f t="shared" si="88"/>
        <v>0.504</v>
      </c>
      <c r="M426" s="69">
        <f t="shared" si="89"/>
        <v>1.1339999999999999</v>
      </c>
      <c r="N426" s="56">
        <f>INDEX(Rate_Chart!$A$1:$AK$127,MATCH(Data!J426,Rate_Chart!$A$1:$A$127,0),MATCH(Data!K426,Rate_Chart!$A$1:$AK$1,0))</f>
        <v>37.531125900000006</v>
      </c>
      <c r="O426" s="57">
        <f t="shared" si="90"/>
        <v>525.43576260000009</v>
      </c>
      <c r="P426" s="58">
        <f t="shared" si="91"/>
        <v>417.01251000000008</v>
      </c>
      <c r="Q426" s="58">
        <f t="shared" si="92"/>
        <v>278.00834000000003</v>
      </c>
      <c r="R426" s="66">
        <f t="shared" si="93"/>
        <v>9.1951258455000016</v>
      </c>
      <c r="S426" s="64">
        <f t="shared" si="94"/>
        <v>52.5</v>
      </c>
      <c r="T426" s="66">
        <f t="shared" si="95"/>
        <v>587.13088844550009</v>
      </c>
      <c r="U426" s="68">
        <f t="shared" si="96"/>
        <v>41.937920603250006</v>
      </c>
      <c r="V426" s="68">
        <f t="shared" si="97"/>
        <v>465.97689559166673</v>
      </c>
      <c r="W426" s="68">
        <f t="shared" si="98"/>
        <v>310.6512637277778</v>
      </c>
    </row>
    <row r="427" spans="1:23" x14ac:dyDescent="0.25">
      <c r="A427" s="169" t="s">
        <v>889</v>
      </c>
      <c r="B427" s="61" t="s">
        <v>397</v>
      </c>
      <c r="C427" s="61" t="s">
        <v>591</v>
      </c>
      <c r="D427" s="61" t="s">
        <v>869</v>
      </c>
      <c r="E427" s="1" t="s">
        <v>355</v>
      </c>
      <c r="F427" s="62" t="str">
        <f t="shared" si="87"/>
        <v>60628</v>
      </c>
      <c r="G427" s="1">
        <v>10620014</v>
      </c>
      <c r="H427" s="1" t="s">
        <v>387</v>
      </c>
      <c r="I427" s="61">
        <v>5</v>
      </c>
      <c r="J427" s="61">
        <v>7.2</v>
      </c>
      <c r="K427" s="61">
        <v>8.8000000000000007</v>
      </c>
      <c r="L427" s="69">
        <f t="shared" si="88"/>
        <v>0.36</v>
      </c>
      <c r="M427" s="69">
        <f t="shared" si="89"/>
        <v>0.44</v>
      </c>
      <c r="N427" s="56">
        <f>INDEX(Rate_Chart!$A$1:$AK$127,MATCH(Data!J427,Rate_Chart!$A$1:$A$127,0),MATCH(Data!K427,Rate_Chart!$A$1:$AK$1,0))</f>
        <v>59.518800000000006</v>
      </c>
      <c r="O427" s="57">
        <f t="shared" si="90"/>
        <v>297.59400000000005</v>
      </c>
      <c r="P427" s="58">
        <f t="shared" si="91"/>
        <v>455.50102040816324</v>
      </c>
      <c r="Q427" s="58">
        <f t="shared" si="92"/>
        <v>303.66734693877549</v>
      </c>
      <c r="R427" s="66">
        <f t="shared" si="93"/>
        <v>5.2078950000000015</v>
      </c>
      <c r="S427" s="64">
        <f t="shared" si="94"/>
        <v>18.75</v>
      </c>
      <c r="T427" s="66">
        <f t="shared" si="95"/>
        <v>321.55189500000006</v>
      </c>
      <c r="U427" s="68">
        <f t="shared" si="96"/>
        <v>64.310379000000012</v>
      </c>
      <c r="V427" s="68">
        <f t="shared" si="97"/>
        <v>492.17126785714288</v>
      </c>
      <c r="W427" s="68">
        <f t="shared" si="98"/>
        <v>328.11417857142857</v>
      </c>
    </row>
    <row r="428" spans="1:23" x14ac:dyDescent="0.25">
      <c r="A428" s="169" t="s">
        <v>889</v>
      </c>
      <c r="B428" s="61" t="s">
        <v>397</v>
      </c>
      <c r="C428" s="61" t="s">
        <v>591</v>
      </c>
      <c r="D428" s="61" t="s">
        <v>869</v>
      </c>
      <c r="E428" s="1" t="s">
        <v>355</v>
      </c>
      <c r="F428" s="62" t="str">
        <f t="shared" si="87"/>
        <v>60628</v>
      </c>
      <c r="G428" s="1">
        <v>10620014</v>
      </c>
      <c r="H428" s="1" t="s">
        <v>388</v>
      </c>
      <c r="I428" s="61">
        <v>11</v>
      </c>
      <c r="J428" s="61">
        <v>3.6</v>
      </c>
      <c r="K428" s="61">
        <v>8.1</v>
      </c>
      <c r="L428" s="69">
        <f t="shared" si="88"/>
        <v>0.39600000000000002</v>
      </c>
      <c r="M428" s="69">
        <f t="shared" si="89"/>
        <v>0.8909999999999999</v>
      </c>
      <c r="N428" s="56">
        <f>INDEX(Rate_Chart!$A$1:$AK$127,MATCH(Data!J428,Rate_Chart!$A$1:$A$127,0),MATCH(Data!K428,Rate_Chart!$A$1:$AK$1,0))</f>
        <v>37.531125900000006</v>
      </c>
      <c r="O428" s="57">
        <f t="shared" si="90"/>
        <v>412.84238490000007</v>
      </c>
      <c r="P428" s="58">
        <f t="shared" si="91"/>
        <v>417.01251000000008</v>
      </c>
      <c r="Q428" s="58">
        <f t="shared" si="92"/>
        <v>278.00834000000003</v>
      </c>
      <c r="R428" s="66">
        <f t="shared" si="93"/>
        <v>7.2247417357500021</v>
      </c>
      <c r="S428" s="64">
        <f t="shared" si="94"/>
        <v>41.25</v>
      </c>
      <c r="T428" s="66">
        <f t="shared" si="95"/>
        <v>461.31712663575007</v>
      </c>
      <c r="U428" s="68">
        <f t="shared" si="96"/>
        <v>41.937920603250006</v>
      </c>
      <c r="V428" s="68">
        <f t="shared" si="97"/>
        <v>465.97689559166673</v>
      </c>
      <c r="W428" s="68">
        <f t="shared" si="98"/>
        <v>310.6512637277778</v>
      </c>
    </row>
    <row r="429" spans="1:23" x14ac:dyDescent="0.25">
      <c r="A429" s="169" t="s">
        <v>890</v>
      </c>
      <c r="B429" s="61" t="s">
        <v>396</v>
      </c>
      <c r="C429" s="61" t="s">
        <v>591</v>
      </c>
      <c r="D429" s="61" t="s">
        <v>869</v>
      </c>
      <c r="E429" s="1" t="s">
        <v>355</v>
      </c>
      <c r="F429" s="62" t="str">
        <f t="shared" si="87"/>
        <v>60628</v>
      </c>
      <c r="G429" s="1">
        <v>10620014</v>
      </c>
      <c r="H429" s="1" t="s">
        <v>387</v>
      </c>
      <c r="I429" s="61">
        <v>13</v>
      </c>
      <c r="J429" s="61">
        <v>7</v>
      </c>
      <c r="K429" s="61">
        <v>8.8000000000000007</v>
      </c>
      <c r="L429" s="69">
        <f t="shared" si="88"/>
        <v>0.91</v>
      </c>
      <c r="M429" s="69">
        <f t="shared" si="89"/>
        <v>1.1440000000000001</v>
      </c>
      <c r="N429" s="56">
        <f>INDEX(Rate_Chart!$A$1:$AK$127,MATCH(Data!J429,Rate_Chart!$A$1:$A$127,0),MATCH(Data!K429,Rate_Chart!$A$1:$AK$1,0))</f>
        <v>57.865500000000004</v>
      </c>
      <c r="O429" s="57">
        <f t="shared" si="90"/>
        <v>752.25150000000008</v>
      </c>
      <c r="P429" s="58">
        <f t="shared" si="91"/>
        <v>449.73186528497411</v>
      </c>
      <c r="Q429" s="58">
        <f t="shared" si="92"/>
        <v>299.82124352331607</v>
      </c>
      <c r="R429" s="66">
        <f t="shared" si="93"/>
        <v>13.164401250000003</v>
      </c>
      <c r="S429" s="64">
        <f t="shared" si="94"/>
        <v>48.75</v>
      </c>
      <c r="T429" s="66">
        <f t="shared" si="95"/>
        <v>814.16590125000005</v>
      </c>
      <c r="U429" s="68">
        <f t="shared" si="96"/>
        <v>62.62814625</v>
      </c>
      <c r="V429" s="68">
        <f t="shared" si="97"/>
        <v>486.74725064766835</v>
      </c>
      <c r="W429" s="68">
        <f t="shared" si="98"/>
        <v>324.49816709844555</v>
      </c>
    </row>
    <row r="430" spans="1:23" x14ac:dyDescent="0.25">
      <c r="A430" s="169" t="s">
        <v>890</v>
      </c>
      <c r="B430" s="61" t="s">
        <v>396</v>
      </c>
      <c r="C430" s="61" t="s">
        <v>591</v>
      </c>
      <c r="D430" s="61" t="s">
        <v>869</v>
      </c>
      <c r="E430" s="1" t="s">
        <v>355</v>
      </c>
      <c r="F430" s="62" t="str">
        <f t="shared" si="87"/>
        <v>60628</v>
      </c>
      <c r="G430" s="1">
        <v>10620014</v>
      </c>
      <c r="H430" s="1" t="s">
        <v>388</v>
      </c>
      <c r="I430" s="61">
        <v>18</v>
      </c>
      <c r="J430" s="61">
        <v>4.2</v>
      </c>
      <c r="K430" s="61">
        <v>8.1999999999999993</v>
      </c>
      <c r="L430" s="69">
        <f t="shared" si="88"/>
        <v>0.75600000000000012</v>
      </c>
      <c r="M430" s="69">
        <f t="shared" si="89"/>
        <v>1.476</v>
      </c>
      <c r="N430" s="56">
        <f>INDEX(Rate_Chart!$A$1:$AK$127,MATCH(Data!J430,Rate_Chart!$A$1:$A$127,0),MATCH(Data!K430,Rate_Chart!$A$1:$AK$1,0))</f>
        <v>40.311139799999999</v>
      </c>
      <c r="O430" s="57">
        <f t="shared" si="90"/>
        <v>725.60051639999995</v>
      </c>
      <c r="P430" s="58">
        <f t="shared" si="91"/>
        <v>417.01179103448277</v>
      </c>
      <c r="Q430" s="58">
        <f t="shared" si="92"/>
        <v>278.00786068965516</v>
      </c>
      <c r="R430" s="66">
        <f t="shared" si="93"/>
        <v>12.698009037</v>
      </c>
      <c r="S430" s="64">
        <f t="shared" si="94"/>
        <v>67.5</v>
      </c>
      <c r="T430" s="66">
        <f t="shared" si="95"/>
        <v>805.79852543699997</v>
      </c>
      <c r="U430" s="68">
        <f t="shared" si="96"/>
        <v>44.766584746500001</v>
      </c>
      <c r="V430" s="68">
        <f t="shared" si="97"/>
        <v>463.10260082586211</v>
      </c>
      <c r="W430" s="68">
        <f t="shared" si="98"/>
        <v>308.73506721724141</v>
      </c>
    </row>
    <row r="431" spans="1:23" x14ac:dyDescent="0.25">
      <c r="A431" s="169" t="s">
        <v>890</v>
      </c>
      <c r="B431" s="61" t="s">
        <v>397</v>
      </c>
      <c r="C431" s="61" t="s">
        <v>591</v>
      </c>
      <c r="D431" s="61" t="s">
        <v>869</v>
      </c>
      <c r="E431" s="1" t="s">
        <v>355</v>
      </c>
      <c r="F431" s="62" t="str">
        <f t="shared" si="87"/>
        <v>60628</v>
      </c>
      <c r="G431" s="1">
        <v>10620014</v>
      </c>
      <c r="H431" s="1" t="s">
        <v>387</v>
      </c>
      <c r="I431" s="61">
        <v>5</v>
      </c>
      <c r="J431" s="61">
        <v>7.1</v>
      </c>
      <c r="K431" s="61">
        <v>8.8000000000000007</v>
      </c>
      <c r="L431" s="69">
        <f t="shared" si="88"/>
        <v>0.35499999999999998</v>
      </c>
      <c r="M431" s="69">
        <f t="shared" si="89"/>
        <v>0.44</v>
      </c>
      <c r="N431" s="56">
        <f>INDEX(Rate_Chart!$A$1:$AK$127,MATCH(Data!J431,Rate_Chart!$A$1:$A$127,0),MATCH(Data!K431,Rate_Chart!$A$1:$AK$1,0))</f>
        <v>58.692149999999998</v>
      </c>
      <c r="O431" s="57">
        <f t="shared" si="90"/>
        <v>293.46074999999996</v>
      </c>
      <c r="P431" s="58">
        <f t="shared" si="91"/>
        <v>452.63868894601546</v>
      </c>
      <c r="Q431" s="58">
        <f t="shared" si="92"/>
        <v>301.75912596401031</v>
      </c>
      <c r="R431" s="66">
        <f t="shared" si="93"/>
        <v>5.135563125</v>
      </c>
      <c r="S431" s="64">
        <f t="shared" si="94"/>
        <v>18.75</v>
      </c>
      <c r="T431" s="66">
        <f t="shared" si="95"/>
        <v>317.34631312499994</v>
      </c>
      <c r="U431" s="68">
        <f t="shared" si="96"/>
        <v>63.469262624999985</v>
      </c>
      <c r="V431" s="68">
        <f t="shared" si="97"/>
        <v>489.48017448586114</v>
      </c>
      <c r="W431" s="68">
        <f t="shared" si="98"/>
        <v>326.32011632390743</v>
      </c>
    </row>
    <row r="432" spans="1:23" x14ac:dyDescent="0.25">
      <c r="A432" s="169" t="s">
        <v>890</v>
      </c>
      <c r="B432" s="61" t="s">
        <v>397</v>
      </c>
      <c r="C432" s="61" t="s">
        <v>591</v>
      </c>
      <c r="D432" s="61" t="s">
        <v>869</v>
      </c>
      <c r="E432" s="1" t="s">
        <v>355</v>
      </c>
      <c r="F432" s="62" t="str">
        <f t="shared" si="87"/>
        <v>60628</v>
      </c>
      <c r="G432" s="1">
        <v>10620014</v>
      </c>
      <c r="H432" s="1" t="s">
        <v>388</v>
      </c>
      <c r="I432" s="61">
        <v>16</v>
      </c>
      <c r="J432" s="61">
        <v>3.6</v>
      </c>
      <c r="K432" s="61">
        <v>8.1</v>
      </c>
      <c r="L432" s="69">
        <f t="shared" si="88"/>
        <v>0.57600000000000007</v>
      </c>
      <c r="M432" s="69">
        <f t="shared" si="89"/>
        <v>1.296</v>
      </c>
      <c r="N432" s="56">
        <f>INDEX(Rate_Chart!$A$1:$AK$127,MATCH(Data!J432,Rate_Chart!$A$1:$A$127,0),MATCH(Data!K432,Rate_Chart!$A$1:$AK$1,0))</f>
        <v>37.531125900000006</v>
      </c>
      <c r="O432" s="57">
        <f t="shared" si="90"/>
        <v>600.4980144000001</v>
      </c>
      <c r="P432" s="58">
        <f t="shared" si="91"/>
        <v>417.01251000000008</v>
      </c>
      <c r="Q432" s="58">
        <f t="shared" si="92"/>
        <v>278.00834000000003</v>
      </c>
      <c r="R432" s="66">
        <f t="shared" si="93"/>
        <v>10.508715252000004</v>
      </c>
      <c r="S432" s="64">
        <f t="shared" si="94"/>
        <v>60</v>
      </c>
      <c r="T432" s="66">
        <f t="shared" si="95"/>
        <v>671.0067296520001</v>
      </c>
      <c r="U432" s="68">
        <f t="shared" si="96"/>
        <v>41.937920603250006</v>
      </c>
      <c r="V432" s="68">
        <f t="shared" si="97"/>
        <v>465.97689559166673</v>
      </c>
      <c r="W432" s="68">
        <f t="shared" si="98"/>
        <v>310.6512637277778</v>
      </c>
    </row>
    <row r="433" spans="1:23" x14ac:dyDescent="0.25">
      <c r="A433" s="169" t="s">
        <v>891</v>
      </c>
      <c r="B433" s="61" t="s">
        <v>396</v>
      </c>
      <c r="C433" s="61" t="s">
        <v>591</v>
      </c>
      <c r="D433" s="61" t="s">
        <v>869</v>
      </c>
      <c r="E433" s="1" t="s">
        <v>355</v>
      </c>
      <c r="F433" s="62" t="str">
        <f t="shared" si="87"/>
        <v>60628</v>
      </c>
      <c r="G433" s="1">
        <v>10620014</v>
      </c>
      <c r="H433" s="1" t="s">
        <v>387</v>
      </c>
      <c r="I433" s="61">
        <v>9</v>
      </c>
      <c r="J433" s="61">
        <v>6.5</v>
      </c>
      <c r="K433" s="61">
        <v>8.8000000000000007</v>
      </c>
      <c r="L433" s="69">
        <f t="shared" si="88"/>
        <v>0.58499999999999996</v>
      </c>
      <c r="M433" s="69">
        <f t="shared" si="89"/>
        <v>0.79200000000000004</v>
      </c>
      <c r="N433" s="56">
        <f>INDEX(Rate_Chart!$A$1:$AK$127,MATCH(Data!J433,Rate_Chart!$A$1:$A$127,0),MATCH(Data!K433,Rate_Chart!$A$1:$AK$1,0))</f>
        <v>53.732250000000001</v>
      </c>
      <c r="O433" s="57">
        <f t="shared" si="90"/>
        <v>483.59025000000003</v>
      </c>
      <c r="P433" s="58">
        <f t="shared" si="91"/>
        <v>434.49258760107813</v>
      </c>
      <c r="Q433" s="58">
        <f t="shared" si="92"/>
        <v>289.66172506738542</v>
      </c>
      <c r="R433" s="66">
        <f t="shared" si="93"/>
        <v>8.4628293750000019</v>
      </c>
      <c r="S433" s="64">
        <f t="shared" si="94"/>
        <v>33.75</v>
      </c>
      <c r="T433" s="66">
        <f t="shared" si="95"/>
        <v>525.80307937500004</v>
      </c>
      <c r="U433" s="68">
        <f t="shared" si="96"/>
        <v>58.422564375000007</v>
      </c>
      <c r="V433" s="68">
        <f t="shared" si="97"/>
        <v>472.41965801886795</v>
      </c>
      <c r="W433" s="68">
        <f t="shared" si="98"/>
        <v>314.94643867924532</v>
      </c>
    </row>
    <row r="434" spans="1:23" x14ac:dyDescent="0.25">
      <c r="A434" s="169" t="s">
        <v>891</v>
      </c>
      <c r="B434" s="61" t="s">
        <v>396</v>
      </c>
      <c r="C434" s="61" t="s">
        <v>591</v>
      </c>
      <c r="D434" s="61" t="s">
        <v>869</v>
      </c>
      <c r="E434" s="1" t="s">
        <v>355</v>
      </c>
      <c r="F434" s="62" t="str">
        <f t="shared" si="87"/>
        <v>60628</v>
      </c>
      <c r="G434" s="1">
        <v>10620014</v>
      </c>
      <c r="H434" s="1" t="s">
        <v>388</v>
      </c>
      <c r="I434" s="61">
        <v>18</v>
      </c>
      <c r="J434" s="61">
        <v>4.0999999999999996</v>
      </c>
      <c r="K434" s="61">
        <v>8.1999999999999993</v>
      </c>
      <c r="L434" s="69">
        <f t="shared" si="88"/>
        <v>0.73799999999999999</v>
      </c>
      <c r="M434" s="69">
        <f t="shared" si="89"/>
        <v>1.476</v>
      </c>
      <c r="N434" s="56">
        <f>INDEX(Rate_Chart!$A$1:$AK$127,MATCH(Data!J434,Rate_Chart!$A$1:$A$127,0),MATCH(Data!K434,Rate_Chart!$A$1:$AK$1,0))</f>
        <v>39.894139799999998</v>
      </c>
      <c r="O434" s="57">
        <f t="shared" si="90"/>
        <v>718.09451639999997</v>
      </c>
      <c r="P434" s="58">
        <f t="shared" si="91"/>
        <v>417.01191428571434</v>
      </c>
      <c r="Q434" s="58">
        <f t="shared" si="92"/>
        <v>278.00794285714289</v>
      </c>
      <c r="R434" s="66">
        <f t="shared" si="93"/>
        <v>12.566654037000001</v>
      </c>
      <c r="S434" s="64">
        <f t="shared" si="94"/>
        <v>67.5</v>
      </c>
      <c r="T434" s="66">
        <f t="shared" si="95"/>
        <v>798.16117043700001</v>
      </c>
      <c r="U434" s="68">
        <f t="shared" si="96"/>
        <v>44.3422872465</v>
      </c>
      <c r="V434" s="68">
        <f t="shared" si="97"/>
        <v>463.50822905749135</v>
      </c>
      <c r="W434" s="68">
        <f t="shared" si="98"/>
        <v>309.00548603832755</v>
      </c>
    </row>
    <row r="435" spans="1:23" x14ac:dyDescent="0.25">
      <c r="A435" s="169" t="s">
        <v>891</v>
      </c>
      <c r="B435" s="61" t="s">
        <v>397</v>
      </c>
      <c r="C435" s="61" t="s">
        <v>591</v>
      </c>
      <c r="D435" s="61" t="s">
        <v>869</v>
      </c>
      <c r="E435" s="1" t="s">
        <v>355</v>
      </c>
      <c r="F435" s="62" t="str">
        <f t="shared" si="87"/>
        <v>60628</v>
      </c>
      <c r="G435" s="1">
        <v>10620014</v>
      </c>
      <c r="H435" s="1" t="s">
        <v>387</v>
      </c>
      <c r="I435" s="61">
        <v>8</v>
      </c>
      <c r="J435" s="61">
        <v>6.6</v>
      </c>
      <c r="K435" s="61">
        <v>8.8000000000000007</v>
      </c>
      <c r="L435" s="69">
        <f t="shared" si="88"/>
        <v>0.52800000000000002</v>
      </c>
      <c r="M435" s="69">
        <f t="shared" si="89"/>
        <v>0.70400000000000007</v>
      </c>
      <c r="N435" s="56">
        <f>INDEX(Rate_Chart!$A$1:$AK$127,MATCH(Data!J435,Rate_Chart!$A$1:$A$127,0),MATCH(Data!K435,Rate_Chart!$A$1:$AK$1,0))</f>
        <v>54.558900000000001</v>
      </c>
      <c r="O435" s="57">
        <f t="shared" si="90"/>
        <v>436.47120000000001</v>
      </c>
      <c r="P435" s="58">
        <f t="shared" si="91"/>
        <v>437.63823529411764</v>
      </c>
      <c r="Q435" s="58">
        <f t="shared" si="92"/>
        <v>291.75882352941176</v>
      </c>
      <c r="R435" s="66">
        <f t="shared" si="93"/>
        <v>7.6382460000000005</v>
      </c>
      <c r="S435" s="64">
        <f t="shared" si="94"/>
        <v>30</v>
      </c>
      <c r="T435" s="66">
        <f t="shared" si="95"/>
        <v>474.10944599999999</v>
      </c>
      <c r="U435" s="68">
        <f t="shared" si="96"/>
        <v>59.263680749999999</v>
      </c>
      <c r="V435" s="68">
        <f t="shared" si="97"/>
        <v>475.37711831550797</v>
      </c>
      <c r="W435" s="68">
        <f t="shared" si="98"/>
        <v>316.91807887700531</v>
      </c>
    </row>
    <row r="436" spans="1:23" x14ac:dyDescent="0.25">
      <c r="A436" s="169" t="s">
        <v>891</v>
      </c>
      <c r="B436" s="61" t="s">
        <v>397</v>
      </c>
      <c r="C436" s="61" t="s">
        <v>591</v>
      </c>
      <c r="D436" s="61" t="s">
        <v>869</v>
      </c>
      <c r="E436" s="1" t="s">
        <v>355</v>
      </c>
      <c r="F436" s="62" t="str">
        <f t="shared" si="87"/>
        <v>60628</v>
      </c>
      <c r="G436" s="1">
        <v>10620014</v>
      </c>
      <c r="H436" s="1" t="s">
        <v>388</v>
      </c>
      <c r="I436" s="61">
        <v>12</v>
      </c>
      <c r="J436" s="61">
        <v>3.8</v>
      </c>
      <c r="K436" s="61">
        <v>8.1</v>
      </c>
      <c r="L436" s="69">
        <f t="shared" si="88"/>
        <v>0.45599999999999996</v>
      </c>
      <c r="M436" s="69">
        <f t="shared" si="89"/>
        <v>0.97199999999999986</v>
      </c>
      <c r="N436" s="56">
        <f>INDEX(Rate_Chart!$A$1:$AK$127,MATCH(Data!J436,Rate_Chart!$A$1:$A$127,0),MATCH(Data!K436,Rate_Chart!$A$1:$AK$1,0))</f>
        <v>38.365125900000002</v>
      </c>
      <c r="O436" s="57">
        <f t="shared" si="90"/>
        <v>460.3815108</v>
      </c>
      <c r="P436" s="58">
        <f t="shared" si="91"/>
        <v>417.01223804347831</v>
      </c>
      <c r="Q436" s="58">
        <f t="shared" si="92"/>
        <v>278.00815869565218</v>
      </c>
      <c r="R436" s="66">
        <f t="shared" si="93"/>
        <v>8.0566764390000003</v>
      </c>
      <c r="S436" s="64">
        <f t="shared" si="94"/>
        <v>45</v>
      </c>
      <c r="T436" s="66">
        <f t="shared" si="95"/>
        <v>513.43818723899994</v>
      </c>
      <c r="U436" s="68">
        <f t="shared" si="96"/>
        <v>42.786515603249995</v>
      </c>
      <c r="V436" s="68">
        <f t="shared" si="97"/>
        <v>465.07082177445648</v>
      </c>
      <c r="W436" s="68">
        <f t="shared" si="98"/>
        <v>310.04721451630434</v>
      </c>
    </row>
    <row r="437" spans="1:23" x14ac:dyDescent="0.25">
      <c r="A437" s="169" t="s">
        <v>892</v>
      </c>
      <c r="B437" s="61" t="s">
        <v>396</v>
      </c>
      <c r="C437" s="61" t="s">
        <v>591</v>
      </c>
      <c r="D437" s="61" t="s">
        <v>869</v>
      </c>
      <c r="E437" s="1" t="s">
        <v>355</v>
      </c>
      <c r="F437" s="62" t="str">
        <f t="shared" si="87"/>
        <v>60628</v>
      </c>
      <c r="G437" s="1">
        <v>10620014</v>
      </c>
      <c r="H437" s="1" t="s">
        <v>387</v>
      </c>
      <c r="I437" s="61">
        <v>10</v>
      </c>
      <c r="J437" s="61">
        <v>6.7</v>
      </c>
      <c r="K437" s="61">
        <v>8.8000000000000007</v>
      </c>
      <c r="L437" s="69">
        <f t="shared" si="88"/>
        <v>0.67</v>
      </c>
      <c r="M437" s="69">
        <f t="shared" si="89"/>
        <v>0.88</v>
      </c>
      <c r="N437" s="56">
        <f>INDEX(Rate_Chart!$A$1:$AK$127,MATCH(Data!J437,Rate_Chart!$A$1:$A$127,0),MATCH(Data!K437,Rate_Chart!$A$1:$AK$1,0))</f>
        <v>55.385550000000002</v>
      </c>
      <c r="O437" s="57">
        <f t="shared" si="90"/>
        <v>553.85550000000001</v>
      </c>
      <c r="P437" s="58">
        <f t="shared" si="91"/>
        <v>440.73381962864721</v>
      </c>
      <c r="Q437" s="58">
        <f t="shared" si="92"/>
        <v>293.82254641909816</v>
      </c>
      <c r="R437" s="66">
        <f t="shared" si="93"/>
        <v>9.6924712500000005</v>
      </c>
      <c r="S437" s="64">
        <f t="shared" si="94"/>
        <v>37.5</v>
      </c>
      <c r="T437" s="66">
        <f t="shared" si="95"/>
        <v>601.04797125000005</v>
      </c>
      <c r="U437" s="68">
        <f t="shared" si="96"/>
        <v>60.104797125000005</v>
      </c>
      <c r="V437" s="68">
        <f t="shared" si="97"/>
        <v>478.28751027851456</v>
      </c>
      <c r="W437" s="68">
        <f t="shared" si="98"/>
        <v>318.85834018567635</v>
      </c>
    </row>
    <row r="438" spans="1:23" x14ac:dyDescent="0.25">
      <c r="A438" s="169" t="s">
        <v>892</v>
      </c>
      <c r="B438" s="61" t="s">
        <v>396</v>
      </c>
      <c r="C438" s="61" t="s">
        <v>591</v>
      </c>
      <c r="D438" s="61" t="s">
        <v>869</v>
      </c>
      <c r="E438" s="1" t="s">
        <v>355</v>
      </c>
      <c r="F438" s="62" t="str">
        <f t="shared" si="87"/>
        <v>60628</v>
      </c>
      <c r="G438" s="1">
        <v>10620014</v>
      </c>
      <c r="H438" s="1" t="s">
        <v>388</v>
      </c>
      <c r="I438" s="61">
        <v>16</v>
      </c>
      <c r="J438" s="61">
        <v>3.7</v>
      </c>
      <c r="K438" s="61">
        <v>8.1</v>
      </c>
      <c r="L438" s="69">
        <f t="shared" si="88"/>
        <v>0.59200000000000008</v>
      </c>
      <c r="M438" s="69">
        <f t="shared" si="89"/>
        <v>1.296</v>
      </c>
      <c r="N438" s="56">
        <f>INDEX(Rate_Chart!$A$1:$AK$127,MATCH(Data!J438,Rate_Chart!$A$1:$A$127,0),MATCH(Data!K438,Rate_Chart!$A$1:$AK$1,0))</f>
        <v>37.948125900000008</v>
      </c>
      <c r="O438" s="57">
        <f t="shared" si="90"/>
        <v>607.17001440000013</v>
      </c>
      <c r="P438" s="58">
        <f t="shared" si="91"/>
        <v>417.01237252747262</v>
      </c>
      <c r="Q438" s="58">
        <f t="shared" si="92"/>
        <v>278.00824835164843</v>
      </c>
      <c r="R438" s="66">
        <f t="shared" si="93"/>
        <v>10.625475252000003</v>
      </c>
      <c r="S438" s="64">
        <f t="shared" si="94"/>
        <v>60</v>
      </c>
      <c r="T438" s="66">
        <f t="shared" si="95"/>
        <v>677.79548965200013</v>
      </c>
      <c r="U438" s="68">
        <f t="shared" si="96"/>
        <v>42.362218103250008</v>
      </c>
      <c r="V438" s="68">
        <f t="shared" si="97"/>
        <v>465.51888025549459</v>
      </c>
      <c r="W438" s="68">
        <f t="shared" si="98"/>
        <v>310.34592017032975</v>
      </c>
    </row>
    <row r="439" spans="1:23" x14ac:dyDescent="0.25">
      <c r="A439" s="169" t="s">
        <v>892</v>
      </c>
      <c r="B439" s="61" t="s">
        <v>397</v>
      </c>
      <c r="C439" s="61" t="s">
        <v>591</v>
      </c>
      <c r="D439" s="61" t="s">
        <v>869</v>
      </c>
      <c r="E439" s="1" t="s">
        <v>355</v>
      </c>
      <c r="F439" s="62" t="str">
        <f t="shared" si="87"/>
        <v>60628</v>
      </c>
      <c r="G439" s="1">
        <v>10620014</v>
      </c>
      <c r="H439" s="1" t="s">
        <v>387</v>
      </c>
      <c r="I439" s="61">
        <v>8</v>
      </c>
      <c r="J439" s="61">
        <v>8</v>
      </c>
      <c r="K439" s="61">
        <v>9</v>
      </c>
      <c r="L439" s="69">
        <f t="shared" si="88"/>
        <v>0.64</v>
      </c>
      <c r="M439" s="69">
        <f t="shared" si="89"/>
        <v>0.72</v>
      </c>
      <c r="N439" s="56">
        <f>INDEX(Rate_Chart!$A$1:$AK$127,MATCH(Data!J439,Rate_Chart!$A$1:$A$127,0),MATCH(Data!K439,Rate_Chart!$A$1:$AK$1,0))</f>
        <v>66.8</v>
      </c>
      <c r="O439" s="57">
        <f t="shared" si="90"/>
        <v>534.4</v>
      </c>
      <c r="P439" s="58">
        <f t="shared" si="91"/>
        <v>477.14285714285705</v>
      </c>
      <c r="Q439" s="58">
        <f t="shared" si="92"/>
        <v>318.09523809523802</v>
      </c>
      <c r="R439" s="66">
        <f t="shared" si="93"/>
        <v>9.3520000000000003</v>
      </c>
      <c r="S439" s="64">
        <f t="shared" si="94"/>
        <v>30</v>
      </c>
      <c r="T439" s="66">
        <f t="shared" si="95"/>
        <v>573.75199999999995</v>
      </c>
      <c r="U439" s="68">
        <f t="shared" si="96"/>
        <v>71.718999999999994</v>
      </c>
      <c r="V439" s="68">
        <f t="shared" si="97"/>
        <v>512.27857142857135</v>
      </c>
      <c r="W439" s="68">
        <f t="shared" si="98"/>
        <v>341.51904761904757</v>
      </c>
    </row>
    <row r="440" spans="1:23" x14ac:dyDescent="0.25">
      <c r="A440" s="169" t="s">
        <v>892</v>
      </c>
      <c r="B440" s="61" t="s">
        <v>397</v>
      </c>
      <c r="C440" s="61" t="s">
        <v>591</v>
      </c>
      <c r="D440" s="61" t="s">
        <v>869</v>
      </c>
      <c r="E440" s="1" t="s">
        <v>355</v>
      </c>
      <c r="F440" s="62" t="str">
        <f t="shared" si="87"/>
        <v>60628</v>
      </c>
      <c r="G440" s="1">
        <v>10620014</v>
      </c>
      <c r="H440" s="1" t="s">
        <v>388</v>
      </c>
      <c r="I440" s="61">
        <v>12</v>
      </c>
      <c r="J440" s="61">
        <v>3.5</v>
      </c>
      <c r="K440" s="61">
        <v>8.1</v>
      </c>
      <c r="L440" s="69">
        <f t="shared" si="88"/>
        <v>0.42</v>
      </c>
      <c r="M440" s="69">
        <f t="shared" si="89"/>
        <v>0.97199999999999986</v>
      </c>
      <c r="N440" s="56">
        <f>INDEX(Rate_Chart!$A$1:$AK$127,MATCH(Data!J440,Rate_Chart!$A$1:$A$127,0),MATCH(Data!K440,Rate_Chart!$A$1:$AK$1,0))</f>
        <v>37.114125900000005</v>
      </c>
      <c r="O440" s="57">
        <f t="shared" si="90"/>
        <v>445.36951080000006</v>
      </c>
      <c r="P440" s="58">
        <f t="shared" si="91"/>
        <v>417.01265056179784</v>
      </c>
      <c r="Q440" s="58">
        <f t="shared" si="92"/>
        <v>278.00843370786521</v>
      </c>
      <c r="R440" s="66">
        <f t="shared" si="93"/>
        <v>7.7939664390000019</v>
      </c>
      <c r="S440" s="64">
        <f t="shared" si="94"/>
        <v>45</v>
      </c>
      <c r="T440" s="66">
        <f t="shared" si="95"/>
        <v>498.16347723900003</v>
      </c>
      <c r="U440" s="68">
        <f t="shared" si="96"/>
        <v>41.513623103250005</v>
      </c>
      <c r="V440" s="68">
        <f t="shared" si="97"/>
        <v>466.44520340730344</v>
      </c>
      <c r="W440" s="68">
        <f t="shared" si="98"/>
        <v>310.96346893820231</v>
      </c>
    </row>
    <row r="441" spans="1:23" x14ac:dyDescent="0.25">
      <c r="A441" s="169" t="s">
        <v>893</v>
      </c>
      <c r="B441" s="61" t="s">
        <v>396</v>
      </c>
      <c r="C441" s="61" t="s">
        <v>591</v>
      </c>
      <c r="D441" s="61" t="s">
        <v>869</v>
      </c>
      <c r="E441" s="1" t="s">
        <v>355</v>
      </c>
      <c r="F441" s="62" t="str">
        <f t="shared" si="87"/>
        <v>60628</v>
      </c>
      <c r="G441" s="1">
        <v>10620014</v>
      </c>
      <c r="H441" s="1" t="s">
        <v>387</v>
      </c>
      <c r="I441" s="61">
        <v>6</v>
      </c>
      <c r="J441" s="61">
        <v>6.7</v>
      </c>
      <c r="K441" s="61">
        <v>8.8000000000000007</v>
      </c>
      <c r="L441" s="69">
        <f t="shared" si="88"/>
        <v>0.40200000000000002</v>
      </c>
      <c r="M441" s="69">
        <f t="shared" si="89"/>
        <v>0.52800000000000002</v>
      </c>
      <c r="N441" s="56">
        <f>INDEX(Rate_Chart!$A$1:$AK$127,MATCH(Data!J441,Rate_Chart!$A$1:$A$127,0),MATCH(Data!K441,Rate_Chart!$A$1:$AK$1,0))</f>
        <v>55.385550000000002</v>
      </c>
      <c r="O441" s="57">
        <f t="shared" si="90"/>
        <v>332.31330000000003</v>
      </c>
      <c r="P441" s="58">
        <f t="shared" si="91"/>
        <v>440.73381962864721</v>
      </c>
      <c r="Q441" s="58">
        <f t="shared" si="92"/>
        <v>293.82254641909816</v>
      </c>
      <c r="R441" s="66">
        <f t="shared" si="93"/>
        <v>5.815482750000001</v>
      </c>
      <c r="S441" s="64">
        <f t="shared" si="94"/>
        <v>22.5</v>
      </c>
      <c r="T441" s="66">
        <f t="shared" si="95"/>
        <v>360.62878275000003</v>
      </c>
      <c r="U441" s="68">
        <f t="shared" si="96"/>
        <v>60.104797125000005</v>
      </c>
      <c r="V441" s="68">
        <f t="shared" si="97"/>
        <v>478.28751027851456</v>
      </c>
      <c r="W441" s="68">
        <f t="shared" si="98"/>
        <v>318.85834018567635</v>
      </c>
    </row>
    <row r="442" spans="1:23" x14ac:dyDescent="0.25">
      <c r="A442" s="169" t="s">
        <v>893</v>
      </c>
      <c r="B442" s="61" t="s">
        <v>396</v>
      </c>
      <c r="C442" s="61" t="s">
        <v>591</v>
      </c>
      <c r="D442" s="61" t="s">
        <v>869</v>
      </c>
      <c r="E442" s="1" t="s">
        <v>355</v>
      </c>
      <c r="F442" s="62" t="str">
        <f t="shared" si="87"/>
        <v>60628</v>
      </c>
      <c r="G442" s="1">
        <v>10620014</v>
      </c>
      <c r="H442" s="1" t="s">
        <v>388</v>
      </c>
      <c r="I442" s="61">
        <v>16</v>
      </c>
      <c r="J442" s="61">
        <v>3.8</v>
      </c>
      <c r="K442" s="61">
        <v>8.1</v>
      </c>
      <c r="L442" s="69">
        <f t="shared" si="88"/>
        <v>0.60799999999999998</v>
      </c>
      <c r="M442" s="69">
        <f t="shared" si="89"/>
        <v>1.296</v>
      </c>
      <c r="N442" s="56">
        <f>INDEX(Rate_Chart!$A$1:$AK$127,MATCH(Data!J442,Rate_Chart!$A$1:$A$127,0),MATCH(Data!K442,Rate_Chart!$A$1:$AK$1,0))</f>
        <v>38.365125900000002</v>
      </c>
      <c r="O442" s="57">
        <f t="shared" si="90"/>
        <v>613.84201440000004</v>
      </c>
      <c r="P442" s="58">
        <f t="shared" si="91"/>
        <v>417.01223804347831</v>
      </c>
      <c r="Q442" s="58">
        <f t="shared" si="92"/>
        <v>278.00815869565218</v>
      </c>
      <c r="R442" s="66">
        <f t="shared" si="93"/>
        <v>10.742235252000002</v>
      </c>
      <c r="S442" s="64">
        <f t="shared" si="94"/>
        <v>60</v>
      </c>
      <c r="T442" s="66">
        <f t="shared" si="95"/>
        <v>684.58424965200004</v>
      </c>
      <c r="U442" s="68">
        <f t="shared" si="96"/>
        <v>42.786515603250002</v>
      </c>
      <c r="V442" s="68">
        <f t="shared" si="97"/>
        <v>465.07082177445653</v>
      </c>
      <c r="W442" s="68">
        <f t="shared" si="98"/>
        <v>310.04721451630434</v>
      </c>
    </row>
    <row r="443" spans="1:23" x14ac:dyDescent="0.25">
      <c r="A443" s="169" t="s">
        <v>893</v>
      </c>
      <c r="B443" s="61" t="s">
        <v>397</v>
      </c>
      <c r="C443" s="61" t="s">
        <v>591</v>
      </c>
      <c r="D443" s="61" t="s">
        <v>869</v>
      </c>
      <c r="E443" s="1" t="s">
        <v>355</v>
      </c>
      <c r="F443" s="62" t="str">
        <f t="shared" si="87"/>
        <v>60628</v>
      </c>
      <c r="G443" s="1">
        <v>10620014</v>
      </c>
      <c r="H443" s="1" t="s">
        <v>387</v>
      </c>
      <c r="I443" s="61">
        <v>7</v>
      </c>
      <c r="J443" s="61">
        <v>7</v>
      </c>
      <c r="K443" s="61">
        <v>8.8000000000000007</v>
      </c>
      <c r="L443" s="69">
        <f t="shared" si="88"/>
        <v>0.49</v>
      </c>
      <c r="M443" s="69">
        <f t="shared" si="89"/>
        <v>0.6160000000000001</v>
      </c>
      <c r="N443" s="56">
        <f>INDEX(Rate_Chart!$A$1:$AK$127,MATCH(Data!J443,Rate_Chart!$A$1:$A$127,0),MATCH(Data!K443,Rate_Chart!$A$1:$AK$1,0))</f>
        <v>57.865500000000004</v>
      </c>
      <c r="O443" s="57">
        <f t="shared" si="90"/>
        <v>405.05850000000004</v>
      </c>
      <c r="P443" s="58">
        <f t="shared" si="91"/>
        <v>449.73186528497411</v>
      </c>
      <c r="Q443" s="58">
        <f t="shared" si="92"/>
        <v>299.82124352331607</v>
      </c>
      <c r="R443" s="66">
        <f t="shared" si="93"/>
        <v>7.0885237500000011</v>
      </c>
      <c r="S443" s="64">
        <f t="shared" si="94"/>
        <v>26.25</v>
      </c>
      <c r="T443" s="66">
        <f t="shared" si="95"/>
        <v>438.39702375000002</v>
      </c>
      <c r="U443" s="68">
        <f t="shared" si="96"/>
        <v>62.62814625</v>
      </c>
      <c r="V443" s="68">
        <f t="shared" si="97"/>
        <v>486.74725064766835</v>
      </c>
      <c r="W443" s="68">
        <f t="shared" si="98"/>
        <v>324.49816709844555</v>
      </c>
    </row>
    <row r="444" spans="1:23" x14ac:dyDescent="0.25">
      <c r="A444" s="169" t="s">
        <v>893</v>
      </c>
      <c r="B444" s="61" t="s">
        <v>397</v>
      </c>
      <c r="C444" s="61" t="s">
        <v>591</v>
      </c>
      <c r="D444" s="61" t="s">
        <v>869</v>
      </c>
      <c r="E444" s="1" t="s">
        <v>355</v>
      </c>
      <c r="F444" s="62" t="str">
        <f t="shared" si="87"/>
        <v>60628</v>
      </c>
      <c r="G444" s="1">
        <v>10620014</v>
      </c>
      <c r="H444" s="1" t="s">
        <v>388</v>
      </c>
      <c r="I444" s="61">
        <v>16</v>
      </c>
      <c r="J444" s="61">
        <v>3.7</v>
      </c>
      <c r="K444" s="61">
        <v>8.1</v>
      </c>
      <c r="L444" s="69">
        <f t="shared" si="88"/>
        <v>0.59200000000000008</v>
      </c>
      <c r="M444" s="69">
        <f t="shared" si="89"/>
        <v>1.296</v>
      </c>
      <c r="N444" s="56">
        <f>INDEX(Rate_Chart!$A$1:$AK$127,MATCH(Data!J444,Rate_Chart!$A$1:$A$127,0),MATCH(Data!K444,Rate_Chart!$A$1:$AK$1,0))</f>
        <v>37.948125900000008</v>
      </c>
      <c r="O444" s="57">
        <f t="shared" si="90"/>
        <v>607.17001440000013</v>
      </c>
      <c r="P444" s="58">
        <f t="shared" si="91"/>
        <v>417.01237252747262</v>
      </c>
      <c r="Q444" s="58">
        <f t="shared" si="92"/>
        <v>278.00824835164843</v>
      </c>
      <c r="R444" s="66">
        <f t="shared" si="93"/>
        <v>10.625475252000003</v>
      </c>
      <c r="S444" s="64">
        <f t="shared" si="94"/>
        <v>60</v>
      </c>
      <c r="T444" s="66">
        <f t="shared" si="95"/>
        <v>677.79548965200013</v>
      </c>
      <c r="U444" s="68">
        <f t="shared" si="96"/>
        <v>42.362218103250008</v>
      </c>
      <c r="V444" s="68">
        <f t="shared" si="97"/>
        <v>465.51888025549459</v>
      </c>
      <c r="W444" s="68">
        <f t="shared" si="98"/>
        <v>310.34592017032975</v>
      </c>
    </row>
    <row r="445" spans="1:23" x14ac:dyDescent="0.25">
      <c r="A445" s="169" t="s">
        <v>894</v>
      </c>
      <c r="B445" s="61" t="s">
        <v>396</v>
      </c>
      <c r="C445" s="61" t="s">
        <v>591</v>
      </c>
      <c r="D445" s="61" t="s">
        <v>869</v>
      </c>
      <c r="E445" s="1" t="s">
        <v>355</v>
      </c>
      <c r="F445" s="62" t="str">
        <f t="shared" si="87"/>
        <v>60628</v>
      </c>
      <c r="G445" s="1">
        <v>10620014</v>
      </c>
      <c r="H445" s="1" t="s">
        <v>387</v>
      </c>
      <c r="I445" s="61">
        <v>18</v>
      </c>
      <c r="J445" s="61">
        <v>6.5</v>
      </c>
      <c r="K445" s="61">
        <v>8.8000000000000007</v>
      </c>
      <c r="L445" s="69">
        <f t="shared" si="88"/>
        <v>1.17</v>
      </c>
      <c r="M445" s="69">
        <f t="shared" si="89"/>
        <v>1.5840000000000001</v>
      </c>
      <c r="N445" s="56">
        <f>INDEX(Rate_Chart!$A$1:$AK$127,MATCH(Data!J445,Rate_Chart!$A$1:$A$127,0),MATCH(Data!K445,Rate_Chart!$A$1:$AK$1,0))</f>
        <v>53.732250000000001</v>
      </c>
      <c r="O445" s="57">
        <f t="shared" si="90"/>
        <v>967.18050000000005</v>
      </c>
      <c r="P445" s="58">
        <f t="shared" si="91"/>
        <v>434.49258760107813</v>
      </c>
      <c r="Q445" s="58">
        <f t="shared" si="92"/>
        <v>289.66172506738542</v>
      </c>
      <c r="R445" s="66">
        <f t="shared" si="93"/>
        <v>16.925658750000004</v>
      </c>
      <c r="S445" s="64">
        <f t="shared" si="94"/>
        <v>67.5</v>
      </c>
      <c r="T445" s="66">
        <f t="shared" si="95"/>
        <v>1051.6061587500001</v>
      </c>
      <c r="U445" s="68">
        <f t="shared" si="96"/>
        <v>58.422564375000007</v>
      </c>
      <c r="V445" s="68">
        <f t="shared" si="97"/>
        <v>472.41965801886795</v>
      </c>
      <c r="W445" s="68">
        <f t="shared" si="98"/>
        <v>314.94643867924532</v>
      </c>
    </row>
    <row r="446" spans="1:23" x14ac:dyDescent="0.25">
      <c r="A446" s="169" t="s">
        <v>894</v>
      </c>
      <c r="B446" s="61" t="s">
        <v>396</v>
      </c>
      <c r="C446" s="61" t="s">
        <v>591</v>
      </c>
      <c r="D446" s="61" t="s">
        <v>869</v>
      </c>
      <c r="E446" s="1" t="s">
        <v>355</v>
      </c>
      <c r="F446" s="62" t="str">
        <f t="shared" si="87"/>
        <v>60628</v>
      </c>
      <c r="G446" s="1">
        <v>10620014</v>
      </c>
      <c r="H446" s="1" t="s">
        <v>388</v>
      </c>
      <c r="I446" s="61">
        <v>17</v>
      </c>
      <c r="J446" s="61">
        <v>3.6</v>
      </c>
      <c r="K446" s="61">
        <v>8</v>
      </c>
      <c r="L446" s="69">
        <f t="shared" si="88"/>
        <v>0.61199999999999999</v>
      </c>
      <c r="M446" s="69">
        <f t="shared" si="89"/>
        <v>1.36</v>
      </c>
      <c r="N446" s="56">
        <f>INDEX(Rate_Chart!$A$1:$AK$127,MATCH(Data!J446,Rate_Chart!$A$1:$A$127,0),MATCH(Data!K446,Rate_Chart!$A$1:$AK$1,0))</f>
        <v>37.253112000000009</v>
      </c>
      <c r="O446" s="57">
        <f t="shared" si="90"/>
        <v>633.30290400000013</v>
      </c>
      <c r="P446" s="58">
        <f t="shared" si="91"/>
        <v>417.01244776119404</v>
      </c>
      <c r="Q446" s="58">
        <f t="shared" si="92"/>
        <v>278.00829850746271</v>
      </c>
      <c r="R446" s="66">
        <f t="shared" si="93"/>
        <v>11.082800820000003</v>
      </c>
      <c r="S446" s="64">
        <f t="shared" si="94"/>
        <v>63.75</v>
      </c>
      <c r="T446" s="66">
        <f t="shared" si="95"/>
        <v>708.13570482000011</v>
      </c>
      <c r="U446" s="68">
        <f t="shared" si="96"/>
        <v>41.655041460000007</v>
      </c>
      <c r="V446" s="68">
        <f t="shared" si="97"/>
        <v>466.28777753731345</v>
      </c>
      <c r="W446" s="68">
        <f t="shared" si="98"/>
        <v>310.85851835820898</v>
      </c>
    </row>
    <row r="447" spans="1:23" x14ac:dyDescent="0.25">
      <c r="A447" s="169" t="s">
        <v>894</v>
      </c>
      <c r="B447" s="61" t="s">
        <v>397</v>
      </c>
      <c r="C447" s="61" t="s">
        <v>591</v>
      </c>
      <c r="D447" s="61" t="s">
        <v>869</v>
      </c>
      <c r="E447" s="1" t="s">
        <v>355</v>
      </c>
      <c r="F447" s="62" t="str">
        <f t="shared" si="87"/>
        <v>60628</v>
      </c>
      <c r="G447" s="1">
        <v>10620014</v>
      </c>
      <c r="H447" s="1" t="s">
        <v>387</v>
      </c>
      <c r="I447" s="61">
        <v>4</v>
      </c>
      <c r="J447" s="61">
        <v>6.5</v>
      </c>
      <c r="K447" s="61">
        <v>8.8000000000000007</v>
      </c>
      <c r="L447" s="69">
        <f t="shared" si="88"/>
        <v>0.26</v>
      </c>
      <c r="M447" s="69">
        <f t="shared" si="89"/>
        <v>0.35200000000000004</v>
      </c>
      <c r="N447" s="56">
        <f>INDEX(Rate_Chart!$A$1:$AK$127,MATCH(Data!J447,Rate_Chart!$A$1:$A$127,0),MATCH(Data!K447,Rate_Chart!$A$1:$AK$1,0))</f>
        <v>53.732250000000001</v>
      </c>
      <c r="O447" s="57">
        <f t="shared" si="90"/>
        <v>214.929</v>
      </c>
      <c r="P447" s="58">
        <f t="shared" si="91"/>
        <v>434.49258760107813</v>
      </c>
      <c r="Q447" s="58">
        <f t="shared" si="92"/>
        <v>289.66172506738542</v>
      </c>
      <c r="R447" s="66">
        <f t="shared" si="93"/>
        <v>3.7612575000000006</v>
      </c>
      <c r="S447" s="64">
        <f t="shared" si="94"/>
        <v>15</v>
      </c>
      <c r="T447" s="66">
        <f t="shared" si="95"/>
        <v>233.6902575</v>
      </c>
      <c r="U447" s="68">
        <f t="shared" si="96"/>
        <v>58.422564375</v>
      </c>
      <c r="V447" s="68">
        <f t="shared" si="97"/>
        <v>472.41965801886789</v>
      </c>
      <c r="W447" s="68">
        <f t="shared" si="98"/>
        <v>314.94643867924526</v>
      </c>
    </row>
    <row r="448" spans="1:23" x14ac:dyDescent="0.25">
      <c r="A448" s="169" t="s">
        <v>894</v>
      </c>
      <c r="B448" s="61" t="s">
        <v>397</v>
      </c>
      <c r="C448" s="61" t="s">
        <v>591</v>
      </c>
      <c r="D448" s="61" t="s">
        <v>869</v>
      </c>
      <c r="E448" s="1" t="s">
        <v>355</v>
      </c>
      <c r="F448" s="62" t="str">
        <f t="shared" si="87"/>
        <v>60628</v>
      </c>
      <c r="G448" s="1">
        <v>10620014</v>
      </c>
      <c r="H448" s="1" t="s">
        <v>388</v>
      </c>
      <c r="I448" s="61">
        <v>13</v>
      </c>
      <c r="J448" s="61">
        <v>4.5</v>
      </c>
      <c r="K448" s="61">
        <v>8.1</v>
      </c>
      <c r="L448" s="69">
        <f t="shared" si="88"/>
        <v>0.58499999999999996</v>
      </c>
      <c r="M448" s="69">
        <f t="shared" si="89"/>
        <v>1.0529999999999999</v>
      </c>
      <c r="N448" s="56">
        <f>INDEX(Rate_Chart!$A$1:$AK$127,MATCH(Data!J448,Rate_Chart!$A$1:$A$127,0),MATCH(Data!K448,Rate_Chart!$A$1:$AK$1,0))</f>
        <v>41.284125900000006</v>
      </c>
      <c r="O448" s="57">
        <f t="shared" si="90"/>
        <v>536.69363670000007</v>
      </c>
      <c r="P448" s="58">
        <f t="shared" si="91"/>
        <v>417.01137272727277</v>
      </c>
      <c r="Q448" s="58">
        <f t="shared" si="92"/>
        <v>278.00758181818185</v>
      </c>
      <c r="R448" s="66">
        <f t="shared" si="93"/>
        <v>9.3921386422500017</v>
      </c>
      <c r="S448" s="64">
        <f t="shared" si="94"/>
        <v>48.75</v>
      </c>
      <c r="T448" s="66">
        <f t="shared" si="95"/>
        <v>594.83577534225003</v>
      </c>
      <c r="U448" s="68">
        <f t="shared" si="96"/>
        <v>45.756598103249999</v>
      </c>
      <c r="V448" s="68">
        <f t="shared" si="97"/>
        <v>462.18785962878786</v>
      </c>
      <c r="W448" s="68">
        <f t="shared" si="98"/>
        <v>308.12523975252526</v>
      </c>
    </row>
    <row r="449" spans="1:23" x14ac:dyDescent="0.25">
      <c r="A449" s="169" t="s">
        <v>888</v>
      </c>
      <c r="B449" s="61" t="s">
        <v>396</v>
      </c>
      <c r="C449" s="61" t="s">
        <v>591</v>
      </c>
      <c r="D449" s="61" t="s">
        <v>704</v>
      </c>
      <c r="E449" s="1" t="s">
        <v>705</v>
      </c>
      <c r="F449" s="62" t="str">
        <f t="shared" si="87"/>
        <v>60646</v>
      </c>
      <c r="G449" s="1">
        <v>10620100</v>
      </c>
      <c r="H449" s="1" t="s">
        <v>387</v>
      </c>
      <c r="I449" s="61">
        <v>65</v>
      </c>
      <c r="J449" s="61">
        <v>6.8</v>
      </c>
      <c r="K449" s="61">
        <v>9</v>
      </c>
      <c r="L449" s="69">
        <f t="shared" si="88"/>
        <v>4.42</v>
      </c>
      <c r="M449" s="69">
        <f t="shared" si="89"/>
        <v>5.85</v>
      </c>
      <c r="N449" s="56">
        <f>INDEX(Rate_Chart!$A$1:$AK$127,MATCH(Data!J449,Rate_Chart!$A$1:$A$127,0),MATCH(Data!K449,Rate_Chart!$A$1:$AK$1,0))</f>
        <v>56.78</v>
      </c>
      <c r="O449" s="57">
        <f t="shared" si="90"/>
        <v>3690.7000000000003</v>
      </c>
      <c r="P449" s="58">
        <f t="shared" si="91"/>
        <v>443.59375</v>
      </c>
      <c r="Q449" s="58">
        <f t="shared" si="92"/>
        <v>295.72916666666669</v>
      </c>
      <c r="R449" s="66">
        <f t="shared" si="93"/>
        <v>64.587250000000012</v>
      </c>
      <c r="S449" s="64">
        <f t="shared" si="94"/>
        <v>243.75</v>
      </c>
      <c r="T449" s="66">
        <f t="shared" si="95"/>
        <v>3999.0372500000003</v>
      </c>
      <c r="U449" s="68">
        <f t="shared" si="96"/>
        <v>61.523650000000004</v>
      </c>
      <c r="V449" s="68">
        <f t="shared" si="97"/>
        <v>480.65351562500001</v>
      </c>
      <c r="W449" s="68">
        <f t="shared" si="98"/>
        <v>320.43567708333336</v>
      </c>
    </row>
    <row r="450" spans="1:23" x14ac:dyDescent="0.25">
      <c r="A450" s="169" t="s">
        <v>888</v>
      </c>
      <c r="B450" s="61" t="s">
        <v>397</v>
      </c>
      <c r="C450" s="61" t="s">
        <v>591</v>
      </c>
      <c r="D450" s="61" t="s">
        <v>704</v>
      </c>
      <c r="E450" s="1" t="s">
        <v>705</v>
      </c>
      <c r="F450" s="62" t="str">
        <f t="shared" si="87"/>
        <v>60646</v>
      </c>
      <c r="G450" s="1">
        <v>10620100</v>
      </c>
      <c r="H450" s="1" t="s">
        <v>387</v>
      </c>
      <c r="I450" s="61">
        <v>50</v>
      </c>
      <c r="J450" s="61">
        <v>6.9</v>
      </c>
      <c r="K450" s="61">
        <v>9</v>
      </c>
      <c r="L450" s="69">
        <f t="shared" si="88"/>
        <v>3.45</v>
      </c>
      <c r="M450" s="69">
        <f t="shared" si="89"/>
        <v>4.5</v>
      </c>
      <c r="N450" s="56">
        <f>INDEX(Rate_Chart!$A$1:$AK$127,MATCH(Data!J450,Rate_Chart!$A$1:$A$127,0),MATCH(Data!K450,Rate_Chart!$A$1:$AK$1,0))</f>
        <v>57.615000000000002</v>
      </c>
      <c r="O450" s="57">
        <f t="shared" si="90"/>
        <v>2880.75</v>
      </c>
      <c r="P450" s="58">
        <f t="shared" si="91"/>
        <v>446.62790697674421</v>
      </c>
      <c r="Q450" s="58">
        <f t="shared" si="92"/>
        <v>297.75193798449612</v>
      </c>
      <c r="R450" s="66">
        <f t="shared" si="93"/>
        <v>50.413125000000008</v>
      </c>
      <c r="S450" s="64">
        <f t="shared" si="94"/>
        <v>187.5</v>
      </c>
      <c r="T450" s="66">
        <f t="shared" si="95"/>
        <v>3118.663125</v>
      </c>
      <c r="U450" s="68">
        <f t="shared" si="96"/>
        <v>62.373262500000003</v>
      </c>
      <c r="V450" s="68">
        <f t="shared" si="97"/>
        <v>483.51366279069771</v>
      </c>
      <c r="W450" s="68">
        <f t="shared" si="98"/>
        <v>322.34244186046516</v>
      </c>
    </row>
    <row r="451" spans="1:23" x14ac:dyDescent="0.25">
      <c r="A451" s="169" t="s">
        <v>889</v>
      </c>
      <c r="B451" s="61" t="s">
        <v>396</v>
      </c>
      <c r="C451" s="61" t="s">
        <v>591</v>
      </c>
      <c r="D451" s="61" t="s">
        <v>704</v>
      </c>
      <c r="E451" s="1" t="s">
        <v>705</v>
      </c>
      <c r="F451" s="62" t="str">
        <f t="shared" si="87"/>
        <v>60646</v>
      </c>
      <c r="G451" s="1">
        <v>10620100</v>
      </c>
      <c r="H451" s="1" t="s">
        <v>387</v>
      </c>
      <c r="I451" s="61">
        <v>60</v>
      </c>
      <c r="J451" s="61">
        <v>6.8</v>
      </c>
      <c r="K451" s="61">
        <v>9</v>
      </c>
      <c r="L451" s="69">
        <f t="shared" si="88"/>
        <v>4.08</v>
      </c>
      <c r="M451" s="69">
        <f t="shared" si="89"/>
        <v>5.4</v>
      </c>
      <c r="N451" s="56">
        <f>INDEX(Rate_Chart!$A$1:$AK$127,MATCH(Data!J451,Rate_Chart!$A$1:$A$127,0),MATCH(Data!K451,Rate_Chart!$A$1:$AK$1,0))</f>
        <v>56.78</v>
      </c>
      <c r="O451" s="57">
        <f t="shared" si="90"/>
        <v>3406.8</v>
      </c>
      <c r="P451" s="58">
        <f t="shared" si="91"/>
        <v>443.59375</v>
      </c>
      <c r="Q451" s="58">
        <f t="shared" si="92"/>
        <v>295.72916666666669</v>
      </c>
      <c r="R451" s="66">
        <f t="shared" si="93"/>
        <v>59.619000000000007</v>
      </c>
      <c r="S451" s="64">
        <f t="shared" si="94"/>
        <v>225</v>
      </c>
      <c r="T451" s="66">
        <f t="shared" si="95"/>
        <v>3691.4190000000003</v>
      </c>
      <c r="U451" s="68">
        <f t="shared" si="96"/>
        <v>61.523650000000004</v>
      </c>
      <c r="V451" s="68">
        <f t="shared" si="97"/>
        <v>480.65351562500001</v>
      </c>
      <c r="W451" s="68">
        <f t="shared" si="98"/>
        <v>320.43567708333336</v>
      </c>
    </row>
    <row r="452" spans="1:23" x14ac:dyDescent="0.25">
      <c r="A452" s="169" t="s">
        <v>889</v>
      </c>
      <c r="B452" s="61" t="s">
        <v>397</v>
      </c>
      <c r="C452" s="61" t="s">
        <v>591</v>
      </c>
      <c r="D452" s="61" t="s">
        <v>704</v>
      </c>
      <c r="E452" s="1" t="s">
        <v>705</v>
      </c>
      <c r="F452" s="62" t="str">
        <f t="shared" si="87"/>
        <v>60646</v>
      </c>
      <c r="G452" s="1">
        <v>10620100</v>
      </c>
      <c r="H452" s="1" t="s">
        <v>387</v>
      </c>
      <c r="I452" s="61">
        <v>68</v>
      </c>
      <c r="J452" s="61">
        <v>6.8</v>
      </c>
      <c r="K452" s="61">
        <v>9</v>
      </c>
      <c r="L452" s="69">
        <f t="shared" si="88"/>
        <v>4.6239999999999997</v>
      </c>
      <c r="M452" s="69">
        <f t="shared" si="89"/>
        <v>6.12</v>
      </c>
      <c r="N452" s="56">
        <f>INDEX(Rate_Chart!$A$1:$AK$127,MATCH(Data!J452,Rate_Chart!$A$1:$A$127,0),MATCH(Data!K452,Rate_Chart!$A$1:$AK$1,0))</f>
        <v>56.78</v>
      </c>
      <c r="O452" s="57">
        <f t="shared" si="90"/>
        <v>3861.04</v>
      </c>
      <c r="P452" s="58">
        <f t="shared" si="91"/>
        <v>443.59375</v>
      </c>
      <c r="Q452" s="58">
        <f t="shared" si="92"/>
        <v>295.72916666666669</v>
      </c>
      <c r="R452" s="66">
        <f t="shared" si="93"/>
        <v>67.568200000000004</v>
      </c>
      <c r="S452" s="64">
        <f t="shared" si="94"/>
        <v>255</v>
      </c>
      <c r="T452" s="66">
        <f t="shared" si="95"/>
        <v>4183.6081999999997</v>
      </c>
      <c r="U452" s="68">
        <f t="shared" si="96"/>
        <v>61.523649999999996</v>
      </c>
      <c r="V452" s="68">
        <f t="shared" si="97"/>
        <v>480.65351562499995</v>
      </c>
      <c r="W452" s="68">
        <f t="shared" si="98"/>
        <v>320.4356770833333</v>
      </c>
    </row>
    <row r="453" spans="1:23" x14ac:dyDescent="0.25">
      <c r="A453" s="169" t="s">
        <v>890</v>
      </c>
      <c r="B453" s="61" t="s">
        <v>396</v>
      </c>
      <c r="C453" s="61" t="s">
        <v>591</v>
      </c>
      <c r="D453" s="61" t="s">
        <v>704</v>
      </c>
      <c r="E453" s="1" t="s">
        <v>705</v>
      </c>
      <c r="F453" s="62" t="str">
        <f t="shared" ref="F453:F516" si="99">MID(E453,2,5)</f>
        <v>60646</v>
      </c>
      <c r="G453" s="1">
        <v>10620100</v>
      </c>
      <c r="H453" s="1" t="s">
        <v>387</v>
      </c>
      <c r="I453" s="61">
        <v>68</v>
      </c>
      <c r="J453" s="61">
        <v>6.8</v>
      </c>
      <c r="K453" s="61">
        <v>9</v>
      </c>
      <c r="L453" s="69">
        <f t="shared" si="88"/>
        <v>4.6239999999999997</v>
      </c>
      <c r="M453" s="69">
        <f t="shared" si="89"/>
        <v>6.12</v>
      </c>
      <c r="N453" s="56">
        <f>INDEX(Rate_Chart!$A$1:$AK$127,MATCH(Data!J453,Rate_Chart!$A$1:$A$127,0),MATCH(Data!K453,Rate_Chart!$A$1:$AK$1,0))</f>
        <v>56.78</v>
      </c>
      <c r="O453" s="57">
        <f t="shared" si="90"/>
        <v>3861.04</v>
      </c>
      <c r="P453" s="58">
        <f t="shared" si="91"/>
        <v>443.59375</v>
      </c>
      <c r="Q453" s="58">
        <f t="shared" si="92"/>
        <v>295.72916666666669</v>
      </c>
      <c r="R453" s="66">
        <f t="shared" si="93"/>
        <v>67.568200000000004</v>
      </c>
      <c r="S453" s="64">
        <f t="shared" si="94"/>
        <v>255</v>
      </c>
      <c r="T453" s="66">
        <f t="shared" si="95"/>
        <v>4183.6081999999997</v>
      </c>
      <c r="U453" s="68">
        <f t="shared" si="96"/>
        <v>61.523649999999996</v>
      </c>
      <c r="V453" s="68">
        <f t="shared" si="97"/>
        <v>480.65351562499995</v>
      </c>
      <c r="W453" s="68">
        <f t="shared" si="98"/>
        <v>320.4356770833333</v>
      </c>
    </row>
    <row r="454" spans="1:23" x14ac:dyDescent="0.25">
      <c r="A454" s="169" t="s">
        <v>890</v>
      </c>
      <c r="B454" s="61" t="s">
        <v>397</v>
      </c>
      <c r="C454" s="61" t="s">
        <v>591</v>
      </c>
      <c r="D454" s="61" t="s">
        <v>704</v>
      </c>
      <c r="E454" s="1" t="s">
        <v>705</v>
      </c>
      <c r="F454" s="62" t="str">
        <f t="shared" si="99"/>
        <v>60646</v>
      </c>
      <c r="G454" s="1">
        <v>10620100</v>
      </c>
      <c r="H454" s="1" t="s">
        <v>387</v>
      </c>
      <c r="I454" s="61">
        <v>80</v>
      </c>
      <c r="J454" s="61">
        <v>6.2</v>
      </c>
      <c r="K454" s="61">
        <v>8.8000000000000007</v>
      </c>
      <c r="L454" s="69">
        <f t="shared" si="88"/>
        <v>4.96</v>
      </c>
      <c r="M454" s="69">
        <f t="shared" si="89"/>
        <v>7.04</v>
      </c>
      <c r="N454" s="56">
        <f>INDEX(Rate_Chart!$A$1:$AK$127,MATCH(Data!J454,Rate_Chart!$A$1:$A$127,0),MATCH(Data!K454,Rate_Chart!$A$1:$AK$1,0))</f>
        <v>51.252300000000005</v>
      </c>
      <c r="O454" s="57">
        <f t="shared" si="90"/>
        <v>4100.1840000000002</v>
      </c>
      <c r="P454" s="58">
        <f t="shared" si="91"/>
        <v>424.74281767955802</v>
      </c>
      <c r="Q454" s="58">
        <f t="shared" si="92"/>
        <v>283.1618784530387</v>
      </c>
      <c r="R454" s="66">
        <f t="shared" si="93"/>
        <v>71.753220000000013</v>
      </c>
      <c r="S454" s="64">
        <f t="shared" si="94"/>
        <v>300</v>
      </c>
      <c r="T454" s="66">
        <f t="shared" si="95"/>
        <v>4471.9372199999998</v>
      </c>
      <c r="U454" s="68">
        <f t="shared" si="96"/>
        <v>55.899215249999997</v>
      </c>
      <c r="V454" s="68">
        <f t="shared" si="97"/>
        <v>463.25316505524859</v>
      </c>
      <c r="W454" s="68">
        <f t="shared" si="98"/>
        <v>308.83544337016571</v>
      </c>
    </row>
    <row r="455" spans="1:23" x14ac:dyDescent="0.25">
      <c r="A455" s="169" t="s">
        <v>891</v>
      </c>
      <c r="B455" s="61" t="s">
        <v>396</v>
      </c>
      <c r="C455" s="61" t="s">
        <v>591</v>
      </c>
      <c r="D455" s="61" t="s">
        <v>704</v>
      </c>
      <c r="E455" s="1" t="s">
        <v>705</v>
      </c>
      <c r="F455" s="62" t="str">
        <f t="shared" si="99"/>
        <v>60646</v>
      </c>
      <c r="G455" s="1">
        <v>10620100</v>
      </c>
      <c r="H455" s="1" t="s">
        <v>387</v>
      </c>
      <c r="I455" s="61">
        <v>70</v>
      </c>
      <c r="J455" s="61">
        <v>6.8</v>
      </c>
      <c r="K455" s="61">
        <v>9</v>
      </c>
      <c r="L455" s="69">
        <f t="shared" si="88"/>
        <v>4.76</v>
      </c>
      <c r="M455" s="69">
        <f t="shared" si="89"/>
        <v>6.3</v>
      </c>
      <c r="N455" s="56">
        <f>INDEX(Rate_Chart!$A$1:$AK$127,MATCH(Data!J455,Rate_Chart!$A$1:$A$127,0),MATCH(Data!K455,Rate_Chart!$A$1:$AK$1,0))</f>
        <v>56.78</v>
      </c>
      <c r="O455" s="57">
        <f t="shared" si="90"/>
        <v>3974.6</v>
      </c>
      <c r="P455" s="58">
        <f t="shared" si="91"/>
        <v>443.59375</v>
      </c>
      <c r="Q455" s="58">
        <f t="shared" si="92"/>
        <v>295.72916666666669</v>
      </c>
      <c r="R455" s="66">
        <f t="shared" si="93"/>
        <v>69.555500000000009</v>
      </c>
      <c r="S455" s="64">
        <f t="shared" si="94"/>
        <v>262.5</v>
      </c>
      <c r="T455" s="66">
        <f t="shared" si="95"/>
        <v>4306.6554999999998</v>
      </c>
      <c r="U455" s="68">
        <f t="shared" si="96"/>
        <v>61.523649999999996</v>
      </c>
      <c r="V455" s="68">
        <f t="shared" si="97"/>
        <v>480.65351562499995</v>
      </c>
      <c r="W455" s="68">
        <f t="shared" si="98"/>
        <v>320.4356770833333</v>
      </c>
    </row>
    <row r="456" spans="1:23" x14ac:dyDescent="0.25">
      <c r="A456" s="169" t="s">
        <v>891</v>
      </c>
      <c r="B456" s="61" t="s">
        <v>397</v>
      </c>
      <c r="C456" s="61" t="s">
        <v>591</v>
      </c>
      <c r="D456" s="61" t="s">
        <v>704</v>
      </c>
      <c r="E456" s="1" t="s">
        <v>705</v>
      </c>
      <c r="F456" s="62" t="str">
        <f t="shared" si="99"/>
        <v>60646</v>
      </c>
      <c r="G456" s="1">
        <v>10620100</v>
      </c>
      <c r="H456" s="1" t="s">
        <v>387</v>
      </c>
      <c r="I456" s="61">
        <v>66</v>
      </c>
      <c r="J456" s="61">
        <v>6.8</v>
      </c>
      <c r="K456" s="61">
        <v>9</v>
      </c>
      <c r="L456" s="69">
        <f t="shared" si="88"/>
        <v>4.4880000000000004</v>
      </c>
      <c r="M456" s="69">
        <f t="shared" si="89"/>
        <v>5.94</v>
      </c>
      <c r="N456" s="56">
        <f>INDEX(Rate_Chart!$A$1:$AK$127,MATCH(Data!J456,Rate_Chart!$A$1:$A$127,0),MATCH(Data!K456,Rate_Chart!$A$1:$AK$1,0))</f>
        <v>56.78</v>
      </c>
      <c r="O456" s="57">
        <f t="shared" si="90"/>
        <v>3747.48</v>
      </c>
      <c r="P456" s="58">
        <f t="shared" si="91"/>
        <v>443.59375</v>
      </c>
      <c r="Q456" s="58">
        <f t="shared" si="92"/>
        <v>295.72916666666669</v>
      </c>
      <c r="R456" s="66">
        <f t="shared" si="93"/>
        <v>65.5809</v>
      </c>
      <c r="S456" s="64">
        <f t="shared" si="94"/>
        <v>247.5</v>
      </c>
      <c r="T456" s="66">
        <f t="shared" si="95"/>
        <v>4060.5608999999999</v>
      </c>
      <c r="U456" s="68">
        <f t="shared" si="96"/>
        <v>61.523649999999996</v>
      </c>
      <c r="V456" s="68">
        <f t="shared" si="97"/>
        <v>480.65351562499995</v>
      </c>
      <c r="W456" s="68">
        <f t="shared" si="98"/>
        <v>320.4356770833333</v>
      </c>
    </row>
    <row r="457" spans="1:23" x14ac:dyDescent="0.25">
      <c r="A457" s="169" t="s">
        <v>892</v>
      </c>
      <c r="B457" s="61" t="s">
        <v>396</v>
      </c>
      <c r="C457" s="61" t="s">
        <v>591</v>
      </c>
      <c r="D457" s="61" t="s">
        <v>704</v>
      </c>
      <c r="E457" s="1" t="s">
        <v>705</v>
      </c>
      <c r="F457" s="62" t="str">
        <f t="shared" si="99"/>
        <v>60646</v>
      </c>
      <c r="G457" s="1">
        <v>10620100</v>
      </c>
      <c r="H457" s="1" t="s">
        <v>387</v>
      </c>
      <c r="I457" s="61">
        <v>65</v>
      </c>
      <c r="J457" s="61">
        <v>6.8</v>
      </c>
      <c r="K457" s="61">
        <v>9</v>
      </c>
      <c r="L457" s="69">
        <f t="shared" si="88"/>
        <v>4.42</v>
      </c>
      <c r="M457" s="69">
        <f t="shared" si="89"/>
        <v>5.85</v>
      </c>
      <c r="N457" s="56">
        <f>INDEX(Rate_Chart!$A$1:$AK$127,MATCH(Data!J457,Rate_Chart!$A$1:$A$127,0),MATCH(Data!K457,Rate_Chart!$A$1:$AK$1,0))</f>
        <v>56.78</v>
      </c>
      <c r="O457" s="57">
        <f t="shared" si="90"/>
        <v>3690.7000000000003</v>
      </c>
      <c r="P457" s="58">
        <f t="shared" si="91"/>
        <v>443.59375</v>
      </c>
      <c r="Q457" s="58">
        <f t="shared" si="92"/>
        <v>295.72916666666669</v>
      </c>
      <c r="R457" s="66">
        <f t="shared" si="93"/>
        <v>64.587250000000012</v>
      </c>
      <c r="S457" s="64">
        <f t="shared" si="94"/>
        <v>243.75</v>
      </c>
      <c r="T457" s="66">
        <f t="shared" si="95"/>
        <v>3999.0372500000003</v>
      </c>
      <c r="U457" s="68">
        <f t="shared" si="96"/>
        <v>61.523650000000004</v>
      </c>
      <c r="V457" s="68">
        <f t="shared" si="97"/>
        <v>480.65351562500001</v>
      </c>
      <c r="W457" s="68">
        <f t="shared" si="98"/>
        <v>320.43567708333336</v>
      </c>
    </row>
    <row r="458" spans="1:23" x14ac:dyDescent="0.25">
      <c r="A458" s="169" t="s">
        <v>892</v>
      </c>
      <c r="B458" s="61" t="s">
        <v>397</v>
      </c>
      <c r="C458" s="61" t="s">
        <v>591</v>
      </c>
      <c r="D458" s="61" t="s">
        <v>704</v>
      </c>
      <c r="E458" s="1" t="s">
        <v>705</v>
      </c>
      <c r="F458" s="62" t="str">
        <f t="shared" si="99"/>
        <v>60646</v>
      </c>
      <c r="G458" s="1">
        <v>10620100</v>
      </c>
      <c r="H458" s="1" t="s">
        <v>387</v>
      </c>
      <c r="I458" s="61">
        <v>62</v>
      </c>
      <c r="J458" s="61">
        <v>6.5</v>
      </c>
      <c r="K458" s="61">
        <v>9</v>
      </c>
      <c r="L458" s="69">
        <f t="shared" si="88"/>
        <v>4.03</v>
      </c>
      <c r="M458" s="69">
        <f t="shared" si="89"/>
        <v>5.58</v>
      </c>
      <c r="N458" s="56">
        <f>INDEX(Rate_Chart!$A$1:$AK$127,MATCH(Data!J458,Rate_Chart!$A$1:$A$127,0),MATCH(Data!K458,Rate_Chart!$A$1:$AK$1,0))</f>
        <v>54.274999999999999</v>
      </c>
      <c r="O458" s="57">
        <f t="shared" si="90"/>
        <v>3365.0499999999997</v>
      </c>
      <c r="P458" s="58">
        <f t="shared" si="91"/>
        <v>434.2</v>
      </c>
      <c r="Q458" s="58">
        <f t="shared" si="92"/>
        <v>289.46666666666664</v>
      </c>
      <c r="R458" s="66">
        <f t="shared" si="93"/>
        <v>58.888375000000003</v>
      </c>
      <c r="S458" s="64">
        <f t="shared" si="94"/>
        <v>232.5</v>
      </c>
      <c r="T458" s="66">
        <f t="shared" si="95"/>
        <v>3656.4383749999997</v>
      </c>
      <c r="U458" s="68">
        <f t="shared" si="96"/>
        <v>58.974812499999999</v>
      </c>
      <c r="V458" s="68">
        <f t="shared" si="97"/>
        <v>471.79849999999999</v>
      </c>
      <c r="W458" s="68">
        <f t="shared" si="98"/>
        <v>314.53233333333333</v>
      </c>
    </row>
    <row r="459" spans="1:23" x14ac:dyDescent="0.25">
      <c r="A459" s="169" t="s">
        <v>893</v>
      </c>
      <c r="B459" s="61" t="s">
        <v>396</v>
      </c>
      <c r="C459" s="61" t="s">
        <v>591</v>
      </c>
      <c r="D459" s="61" t="s">
        <v>704</v>
      </c>
      <c r="E459" s="1" t="s">
        <v>705</v>
      </c>
      <c r="F459" s="62" t="str">
        <f t="shared" si="99"/>
        <v>60646</v>
      </c>
      <c r="G459" s="1">
        <v>10620100</v>
      </c>
      <c r="H459" s="1" t="s">
        <v>387</v>
      </c>
      <c r="I459" s="61">
        <v>66</v>
      </c>
      <c r="J459" s="61">
        <v>6.6</v>
      </c>
      <c r="K459" s="61">
        <v>9</v>
      </c>
      <c r="L459" s="69">
        <f t="shared" si="88"/>
        <v>4.3559999999999999</v>
      </c>
      <c r="M459" s="69">
        <f t="shared" si="89"/>
        <v>5.94</v>
      </c>
      <c r="N459" s="56">
        <f>INDEX(Rate_Chart!$A$1:$AK$127,MATCH(Data!J459,Rate_Chart!$A$1:$A$127,0),MATCH(Data!K459,Rate_Chart!$A$1:$AK$1,0))</f>
        <v>55.11</v>
      </c>
      <c r="O459" s="57">
        <f t="shared" si="90"/>
        <v>3637.2599999999998</v>
      </c>
      <c r="P459" s="58">
        <f t="shared" si="91"/>
        <v>437.38095238095235</v>
      </c>
      <c r="Q459" s="58">
        <f t="shared" si="92"/>
        <v>291.58730158730157</v>
      </c>
      <c r="R459" s="66">
        <f t="shared" si="93"/>
        <v>63.652050000000003</v>
      </c>
      <c r="S459" s="64">
        <f t="shared" si="94"/>
        <v>247.5</v>
      </c>
      <c r="T459" s="66">
        <f t="shared" si="95"/>
        <v>3948.4120499999999</v>
      </c>
      <c r="U459" s="68">
        <f t="shared" si="96"/>
        <v>59.824424999999998</v>
      </c>
      <c r="V459" s="68">
        <f t="shared" si="97"/>
        <v>474.79702380952381</v>
      </c>
      <c r="W459" s="68">
        <f t="shared" si="98"/>
        <v>316.5313492063492</v>
      </c>
    </row>
    <row r="460" spans="1:23" x14ac:dyDescent="0.25">
      <c r="A460" s="169" t="s">
        <v>893</v>
      </c>
      <c r="B460" s="61" t="s">
        <v>397</v>
      </c>
      <c r="C460" s="61" t="s">
        <v>591</v>
      </c>
      <c r="D460" s="61" t="s">
        <v>704</v>
      </c>
      <c r="E460" s="1" t="s">
        <v>705</v>
      </c>
      <c r="F460" s="62" t="str">
        <f t="shared" si="99"/>
        <v>60646</v>
      </c>
      <c r="G460" s="1">
        <v>10620100</v>
      </c>
      <c r="H460" s="1" t="s">
        <v>387</v>
      </c>
      <c r="I460" s="61">
        <v>62</v>
      </c>
      <c r="J460" s="61">
        <v>6.6</v>
      </c>
      <c r="K460" s="61">
        <v>9</v>
      </c>
      <c r="L460" s="69">
        <f t="shared" si="88"/>
        <v>4.0919999999999996</v>
      </c>
      <c r="M460" s="69">
        <f t="shared" si="89"/>
        <v>5.58</v>
      </c>
      <c r="N460" s="56">
        <f>INDEX(Rate_Chart!$A$1:$AK$127,MATCH(Data!J460,Rate_Chart!$A$1:$A$127,0),MATCH(Data!K460,Rate_Chart!$A$1:$AK$1,0))</f>
        <v>55.11</v>
      </c>
      <c r="O460" s="57">
        <f t="shared" si="90"/>
        <v>3416.82</v>
      </c>
      <c r="P460" s="58">
        <f t="shared" si="91"/>
        <v>437.38095238095235</v>
      </c>
      <c r="Q460" s="58">
        <f t="shared" si="92"/>
        <v>291.58730158730157</v>
      </c>
      <c r="R460" s="66">
        <f t="shared" si="93"/>
        <v>59.794350000000009</v>
      </c>
      <c r="S460" s="64">
        <f t="shared" si="94"/>
        <v>232.5</v>
      </c>
      <c r="T460" s="66">
        <f t="shared" si="95"/>
        <v>3709.1143500000003</v>
      </c>
      <c r="U460" s="68">
        <f t="shared" si="96"/>
        <v>59.824425000000005</v>
      </c>
      <c r="V460" s="68">
        <f t="shared" si="97"/>
        <v>474.79702380952386</v>
      </c>
      <c r="W460" s="68">
        <f t="shared" si="98"/>
        <v>316.53134920634926</v>
      </c>
    </row>
    <row r="461" spans="1:23" x14ac:dyDescent="0.25">
      <c r="A461" s="169" t="s">
        <v>894</v>
      </c>
      <c r="B461" s="61" t="s">
        <v>396</v>
      </c>
      <c r="C461" s="61" t="s">
        <v>591</v>
      </c>
      <c r="D461" s="61" t="s">
        <v>704</v>
      </c>
      <c r="E461" s="1" t="s">
        <v>705</v>
      </c>
      <c r="F461" s="62" t="str">
        <f t="shared" si="99"/>
        <v>60646</v>
      </c>
      <c r="G461" s="1">
        <v>10620100</v>
      </c>
      <c r="H461" s="1" t="s">
        <v>387</v>
      </c>
      <c r="I461" s="61">
        <v>65</v>
      </c>
      <c r="J461" s="61">
        <v>6.7</v>
      </c>
      <c r="K461" s="61">
        <v>8.8000000000000007</v>
      </c>
      <c r="L461" s="69">
        <f t="shared" si="88"/>
        <v>4.3550000000000004</v>
      </c>
      <c r="M461" s="69">
        <f t="shared" si="89"/>
        <v>5.72</v>
      </c>
      <c r="N461" s="56">
        <f>INDEX(Rate_Chart!$A$1:$AK$127,MATCH(Data!J461,Rate_Chart!$A$1:$A$127,0),MATCH(Data!K461,Rate_Chart!$A$1:$AK$1,0))</f>
        <v>55.385550000000002</v>
      </c>
      <c r="O461" s="57">
        <f t="shared" si="90"/>
        <v>3600.0607500000001</v>
      </c>
      <c r="P461" s="58">
        <f t="shared" si="91"/>
        <v>440.73381962864721</v>
      </c>
      <c r="Q461" s="58">
        <f t="shared" si="92"/>
        <v>293.82254641909816</v>
      </c>
      <c r="R461" s="66">
        <f t="shared" si="93"/>
        <v>63.001063125000009</v>
      </c>
      <c r="S461" s="64">
        <f t="shared" si="94"/>
        <v>243.75</v>
      </c>
      <c r="T461" s="66">
        <f t="shared" si="95"/>
        <v>3906.8118131250003</v>
      </c>
      <c r="U461" s="68">
        <f t="shared" si="96"/>
        <v>60.104797125000005</v>
      </c>
      <c r="V461" s="68">
        <f t="shared" si="97"/>
        <v>478.28751027851456</v>
      </c>
      <c r="W461" s="68">
        <f t="shared" si="98"/>
        <v>318.85834018567635</v>
      </c>
    </row>
    <row r="462" spans="1:23" x14ac:dyDescent="0.25">
      <c r="A462" s="169" t="s">
        <v>894</v>
      </c>
      <c r="B462" s="61" t="s">
        <v>397</v>
      </c>
      <c r="C462" s="61" t="s">
        <v>591</v>
      </c>
      <c r="D462" s="61" t="s">
        <v>704</v>
      </c>
      <c r="E462" s="1" t="s">
        <v>705</v>
      </c>
      <c r="F462" s="62" t="str">
        <f t="shared" si="99"/>
        <v>60646</v>
      </c>
      <c r="G462" s="1">
        <v>10620100</v>
      </c>
      <c r="H462" s="1" t="s">
        <v>387</v>
      </c>
      <c r="I462" s="61">
        <v>63</v>
      </c>
      <c r="J462" s="61">
        <v>6.8</v>
      </c>
      <c r="K462" s="61">
        <v>9</v>
      </c>
      <c r="L462" s="69">
        <f t="shared" si="88"/>
        <v>4.2839999999999998</v>
      </c>
      <c r="M462" s="69">
        <f t="shared" si="89"/>
        <v>5.67</v>
      </c>
      <c r="N462" s="56">
        <f>INDEX(Rate_Chart!$A$1:$AK$127,MATCH(Data!J462,Rate_Chart!$A$1:$A$127,0),MATCH(Data!K462,Rate_Chart!$A$1:$AK$1,0))</f>
        <v>56.78</v>
      </c>
      <c r="O462" s="57">
        <f t="shared" si="90"/>
        <v>3577.14</v>
      </c>
      <c r="P462" s="58">
        <f t="shared" si="91"/>
        <v>443.59375</v>
      </c>
      <c r="Q462" s="58">
        <f t="shared" si="92"/>
        <v>295.72916666666669</v>
      </c>
      <c r="R462" s="66">
        <f t="shared" si="93"/>
        <v>62.599950000000007</v>
      </c>
      <c r="S462" s="64">
        <f t="shared" si="94"/>
        <v>236.25</v>
      </c>
      <c r="T462" s="66">
        <f t="shared" si="95"/>
        <v>3875.9899500000001</v>
      </c>
      <c r="U462" s="68">
        <f t="shared" si="96"/>
        <v>61.523650000000004</v>
      </c>
      <c r="V462" s="68">
        <f t="shared" si="97"/>
        <v>480.65351562500001</v>
      </c>
      <c r="W462" s="68">
        <f t="shared" si="98"/>
        <v>320.43567708333336</v>
      </c>
    </row>
    <row r="463" spans="1:23" x14ac:dyDescent="0.25">
      <c r="A463" s="169" t="s">
        <v>888</v>
      </c>
      <c r="B463" s="61" t="s">
        <v>396</v>
      </c>
      <c r="C463" s="61" t="s">
        <v>591</v>
      </c>
      <c r="D463" s="61" t="s">
        <v>869</v>
      </c>
      <c r="E463" s="1" t="s">
        <v>356</v>
      </c>
      <c r="F463" s="62" t="str">
        <f t="shared" si="99"/>
        <v>64501</v>
      </c>
      <c r="G463" s="1">
        <v>10620056</v>
      </c>
      <c r="H463" s="1" t="s">
        <v>388</v>
      </c>
      <c r="I463" s="61">
        <v>22</v>
      </c>
      <c r="J463" s="61">
        <v>4.3</v>
      </c>
      <c r="K463" s="61">
        <v>8.1</v>
      </c>
      <c r="L463" s="69">
        <f t="shared" si="88"/>
        <v>0.94599999999999995</v>
      </c>
      <c r="M463" s="69">
        <f t="shared" si="89"/>
        <v>1.7819999999999998</v>
      </c>
      <c r="N463" s="56">
        <f>INDEX(Rate_Chart!$A$1:$AK$127,MATCH(Data!J463,Rate_Chart!$A$1:$A$127,0),MATCH(Data!K463,Rate_Chart!$A$1:$AK$1,0))</f>
        <v>40.450125900000003</v>
      </c>
      <c r="O463" s="57">
        <f t="shared" si="90"/>
        <v>889.9027698000001</v>
      </c>
      <c r="P463" s="58">
        <f t="shared" si="91"/>
        <v>417.01160721649489</v>
      </c>
      <c r="Q463" s="58">
        <f t="shared" si="92"/>
        <v>278.00773814432995</v>
      </c>
      <c r="R463" s="66">
        <f t="shared" si="93"/>
        <v>15.573298471500003</v>
      </c>
      <c r="S463" s="64">
        <f t="shared" si="94"/>
        <v>82.5</v>
      </c>
      <c r="T463" s="66">
        <f t="shared" si="95"/>
        <v>987.97606827150014</v>
      </c>
      <c r="U463" s="68">
        <f t="shared" si="96"/>
        <v>44.908003103250003</v>
      </c>
      <c r="V463" s="68">
        <f t="shared" si="97"/>
        <v>462.96910415721652</v>
      </c>
      <c r="W463" s="68">
        <f t="shared" si="98"/>
        <v>308.64606943814437</v>
      </c>
    </row>
    <row r="464" spans="1:23" x14ac:dyDescent="0.25">
      <c r="A464" s="169" t="s">
        <v>888</v>
      </c>
      <c r="B464" s="61" t="s">
        <v>397</v>
      </c>
      <c r="C464" s="61" t="s">
        <v>591</v>
      </c>
      <c r="D464" s="61" t="s">
        <v>869</v>
      </c>
      <c r="E464" s="1" t="s">
        <v>356</v>
      </c>
      <c r="F464" s="62" t="str">
        <f t="shared" si="99"/>
        <v>64501</v>
      </c>
      <c r="G464" s="1">
        <v>10620056</v>
      </c>
      <c r="H464" s="1" t="s">
        <v>388</v>
      </c>
      <c r="I464" s="61">
        <v>18</v>
      </c>
      <c r="J464" s="61">
        <v>3.9</v>
      </c>
      <c r="K464" s="61">
        <v>8.1</v>
      </c>
      <c r="L464" s="69">
        <f t="shared" si="88"/>
        <v>0.70200000000000007</v>
      </c>
      <c r="M464" s="69">
        <f t="shared" si="89"/>
        <v>1.4579999999999997</v>
      </c>
      <c r="N464" s="56">
        <f>INDEX(Rate_Chart!$A$1:$AK$127,MATCH(Data!J464,Rate_Chart!$A$1:$A$127,0),MATCH(Data!K464,Rate_Chart!$A$1:$AK$1,0))</f>
        <v>38.782125900000004</v>
      </c>
      <c r="O464" s="57">
        <f t="shared" si="90"/>
        <v>698.07826620000003</v>
      </c>
      <c r="P464" s="58">
        <f t="shared" si="91"/>
        <v>417.01210645161296</v>
      </c>
      <c r="Q464" s="58">
        <f t="shared" si="92"/>
        <v>278.00807096774196</v>
      </c>
      <c r="R464" s="66">
        <f t="shared" si="93"/>
        <v>12.216369658500001</v>
      </c>
      <c r="S464" s="64">
        <f t="shared" si="94"/>
        <v>67.5</v>
      </c>
      <c r="T464" s="66">
        <f t="shared" si="95"/>
        <v>777.79463585849999</v>
      </c>
      <c r="U464" s="68">
        <f t="shared" si="96"/>
        <v>43.210813103249997</v>
      </c>
      <c r="V464" s="68">
        <f t="shared" si="97"/>
        <v>464.6323989596774</v>
      </c>
      <c r="W464" s="68">
        <f t="shared" si="98"/>
        <v>309.75493263978495</v>
      </c>
    </row>
    <row r="465" spans="1:23" x14ac:dyDescent="0.25">
      <c r="A465" s="169" t="s">
        <v>889</v>
      </c>
      <c r="B465" s="61" t="s">
        <v>396</v>
      </c>
      <c r="C465" s="61" t="s">
        <v>591</v>
      </c>
      <c r="D465" s="61" t="s">
        <v>869</v>
      </c>
      <c r="E465" s="1" t="s">
        <v>356</v>
      </c>
      <c r="F465" s="62" t="str">
        <f t="shared" si="99"/>
        <v>64501</v>
      </c>
      <c r="G465" s="1">
        <v>10620056</v>
      </c>
      <c r="H465" s="1" t="s">
        <v>388</v>
      </c>
      <c r="I465" s="61">
        <v>20</v>
      </c>
      <c r="J465" s="61">
        <v>4.4000000000000004</v>
      </c>
      <c r="K465" s="61">
        <v>8.1</v>
      </c>
      <c r="L465" s="69">
        <f t="shared" si="88"/>
        <v>0.88</v>
      </c>
      <c r="M465" s="69">
        <f t="shared" si="89"/>
        <v>1.62</v>
      </c>
      <c r="N465" s="56">
        <f>INDEX(Rate_Chart!$A$1:$AK$127,MATCH(Data!J465,Rate_Chart!$A$1:$A$127,0),MATCH(Data!K465,Rate_Chart!$A$1:$AK$1,0))</f>
        <v>40.867125900000005</v>
      </c>
      <c r="O465" s="57">
        <f t="shared" si="90"/>
        <v>817.34251800000015</v>
      </c>
      <c r="P465" s="58">
        <f t="shared" si="91"/>
        <v>417.01148877551026</v>
      </c>
      <c r="Q465" s="58">
        <f t="shared" si="92"/>
        <v>278.00765918367352</v>
      </c>
      <c r="R465" s="66">
        <f t="shared" si="93"/>
        <v>14.303494065000004</v>
      </c>
      <c r="S465" s="64">
        <f t="shared" si="94"/>
        <v>75</v>
      </c>
      <c r="T465" s="66">
        <f t="shared" si="95"/>
        <v>906.64601206500015</v>
      </c>
      <c r="U465" s="68">
        <f t="shared" si="96"/>
        <v>45.332300603250005</v>
      </c>
      <c r="V465" s="68">
        <f t="shared" si="97"/>
        <v>462.57449595153065</v>
      </c>
      <c r="W465" s="68">
        <f t="shared" si="98"/>
        <v>308.38299730102045</v>
      </c>
    </row>
    <row r="466" spans="1:23" x14ac:dyDescent="0.25">
      <c r="A466" s="169" t="s">
        <v>889</v>
      </c>
      <c r="B466" s="61" t="s">
        <v>397</v>
      </c>
      <c r="C466" s="61" t="s">
        <v>591</v>
      </c>
      <c r="D466" s="61" t="s">
        <v>869</v>
      </c>
      <c r="E466" s="1" t="s">
        <v>356</v>
      </c>
      <c r="F466" s="62" t="str">
        <f t="shared" si="99"/>
        <v>64501</v>
      </c>
      <c r="G466" s="1">
        <v>10620056</v>
      </c>
      <c r="H466" s="1" t="s">
        <v>388</v>
      </c>
      <c r="I466" s="61">
        <v>18</v>
      </c>
      <c r="J466" s="61">
        <v>3.8</v>
      </c>
      <c r="K466" s="61">
        <v>8.1</v>
      </c>
      <c r="L466" s="69">
        <f t="shared" si="88"/>
        <v>0.68399999999999994</v>
      </c>
      <c r="M466" s="69">
        <f t="shared" si="89"/>
        <v>1.4579999999999997</v>
      </c>
      <c r="N466" s="56">
        <f>INDEX(Rate_Chart!$A$1:$AK$127,MATCH(Data!J466,Rate_Chart!$A$1:$A$127,0),MATCH(Data!K466,Rate_Chart!$A$1:$AK$1,0))</f>
        <v>38.365125900000002</v>
      </c>
      <c r="O466" s="57">
        <f t="shared" si="90"/>
        <v>690.57226620000006</v>
      </c>
      <c r="P466" s="58">
        <f t="shared" si="91"/>
        <v>417.01223804347831</v>
      </c>
      <c r="Q466" s="58">
        <f t="shared" si="92"/>
        <v>278.00815869565218</v>
      </c>
      <c r="R466" s="66">
        <f t="shared" si="93"/>
        <v>12.085014658500002</v>
      </c>
      <c r="S466" s="64">
        <f t="shared" si="94"/>
        <v>67.5</v>
      </c>
      <c r="T466" s="66">
        <f t="shared" si="95"/>
        <v>770.15728085850003</v>
      </c>
      <c r="U466" s="68">
        <f t="shared" si="96"/>
        <v>42.786515603250002</v>
      </c>
      <c r="V466" s="68">
        <f t="shared" si="97"/>
        <v>465.07082177445653</v>
      </c>
      <c r="W466" s="68">
        <f t="shared" si="98"/>
        <v>310.04721451630434</v>
      </c>
    </row>
    <row r="467" spans="1:23" x14ac:dyDescent="0.25">
      <c r="A467" s="169" t="s">
        <v>890</v>
      </c>
      <c r="B467" s="61" t="s">
        <v>396</v>
      </c>
      <c r="C467" s="61" t="s">
        <v>591</v>
      </c>
      <c r="D467" s="61" t="s">
        <v>869</v>
      </c>
      <c r="E467" s="1" t="s">
        <v>356</v>
      </c>
      <c r="F467" s="62" t="str">
        <f t="shared" si="99"/>
        <v>64501</v>
      </c>
      <c r="G467" s="1">
        <v>10620056</v>
      </c>
      <c r="H467" s="1" t="s">
        <v>388</v>
      </c>
      <c r="I467" s="61">
        <v>20</v>
      </c>
      <c r="J467" s="61">
        <v>4.2</v>
      </c>
      <c r="K467" s="61">
        <v>8.1</v>
      </c>
      <c r="L467" s="69">
        <f t="shared" si="88"/>
        <v>0.84</v>
      </c>
      <c r="M467" s="69">
        <f t="shared" si="89"/>
        <v>1.62</v>
      </c>
      <c r="N467" s="56">
        <f>INDEX(Rate_Chart!$A$1:$AK$127,MATCH(Data!J467,Rate_Chart!$A$1:$A$127,0),MATCH(Data!K467,Rate_Chart!$A$1:$AK$1,0))</f>
        <v>40.033125900000002</v>
      </c>
      <c r="O467" s="57">
        <f t="shared" si="90"/>
        <v>800.66251800000009</v>
      </c>
      <c r="P467" s="58">
        <f t="shared" si="91"/>
        <v>417.01172812499999</v>
      </c>
      <c r="Q467" s="58">
        <f t="shared" si="92"/>
        <v>278.00781875000001</v>
      </c>
      <c r="R467" s="66">
        <f t="shared" si="93"/>
        <v>14.011594065000002</v>
      </c>
      <c r="S467" s="64">
        <f t="shared" si="94"/>
        <v>75</v>
      </c>
      <c r="T467" s="66">
        <f t="shared" si="95"/>
        <v>889.67411206500014</v>
      </c>
      <c r="U467" s="68">
        <f t="shared" si="96"/>
        <v>44.483705603250009</v>
      </c>
      <c r="V467" s="68">
        <f t="shared" si="97"/>
        <v>463.37193336718758</v>
      </c>
      <c r="W467" s="68">
        <f t="shared" si="98"/>
        <v>308.9146222447917</v>
      </c>
    </row>
    <row r="468" spans="1:23" x14ac:dyDescent="0.25">
      <c r="A468" s="169" t="s">
        <v>890</v>
      </c>
      <c r="B468" s="61" t="s">
        <v>397</v>
      </c>
      <c r="C468" s="61" t="s">
        <v>591</v>
      </c>
      <c r="D468" s="61" t="s">
        <v>869</v>
      </c>
      <c r="E468" s="1" t="s">
        <v>356</v>
      </c>
      <c r="F468" s="62" t="str">
        <f t="shared" si="99"/>
        <v>64501</v>
      </c>
      <c r="G468" s="1">
        <v>10620056</v>
      </c>
      <c r="H468" s="1" t="s">
        <v>388</v>
      </c>
      <c r="I468" s="61">
        <v>20</v>
      </c>
      <c r="J468" s="61">
        <v>3.7</v>
      </c>
      <c r="K468" s="61">
        <v>8.1</v>
      </c>
      <c r="L468" s="69">
        <f t="shared" si="88"/>
        <v>0.74</v>
      </c>
      <c r="M468" s="69">
        <f t="shared" si="89"/>
        <v>1.62</v>
      </c>
      <c r="N468" s="56">
        <f>INDEX(Rate_Chart!$A$1:$AK$127,MATCH(Data!J468,Rate_Chart!$A$1:$A$127,0),MATCH(Data!K468,Rate_Chart!$A$1:$AK$1,0))</f>
        <v>37.948125900000008</v>
      </c>
      <c r="O468" s="57">
        <f t="shared" si="90"/>
        <v>758.96251800000016</v>
      </c>
      <c r="P468" s="58">
        <f t="shared" si="91"/>
        <v>417.01237252747262</v>
      </c>
      <c r="Q468" s="58">
        <f t="shared" si="92"/>
        <v>278.00824835164843</v>
      </c>
      <c r="R468" s="66">
        <f t="shared" si="93"/>
        <v>13.281844065000005</v>
      </c>
      <c r="S468" s="64">
        <f t="shared" si="94"/>
        <v>75</v>
      </c>
      <c r="T468" s="66">
        <f t="shared" si="95"/>
        <v>847.24436206500013</v>
      </c>
      <c r="U468" s="68">
        <f t="shared" si="96"/>
        <v>42.362218103250008</v>
      </c>
      <c r="V468" s="68">
        <f t="shared" si="97"/>
        <v>465.51888025549459</v>
      </c>
      <c r="W468" s="68">
        <f t="shared" si="98"/>
        <v>310.34592017032975</v>
      </c>
    </row>
    <row r="469" spans="1:23" x14ac:dyDescent="0.25">
      <c r="A469" s="169" t="s">
        <v>891</v>
      </c>
      <c r="B469" s="61" t="s">
        <v>396</v>
      </c>
      <c r="C469" s="61" t="s">
        <v>591</v>
      </c>
      <c r="D469" s="61" t="s">
        <v>869</v>
      </c>
      <c r="E469" s="1" t="s">
        <v>356</v>
      </c>
      <c r="F469" s="62" t="str">
        <f t="shared" si="99"/>
        <v>64501</v>
      </c>
      <c r="G469" s="1">
        <v>10620056</v>
      </c>
      <c r="H469" s="1" t="s">
        <v>388</v>
      </c>
      <c r="I469" s="61">
        <v>21</v>
      </c>
      <c r="J469" s="61">
        <v>4.2</v>
      </c>
      <c r="K469" s="61">
        <v>8.1</v>
      </c>
      <c r="L469" s="69">
        <f t="shared" si="88"/>
        <v>0.88200000000000001</v>
      </c>
      <c r="M469" s="69">
        <f t="shared" si="89"/>
        <v>1.7009999999999998</v>
      </c>
      <c r="N469" s="56">
        <f>INDEX(Rate_Chart!$A$1:$AK$127,MATCH(Data!J469,Rate_Chart!$A$1:$A$127,0),MATCH(Data!K469,Rate_Chart!$A$1:$AK$1,0))</f>
        <v>40.033125900000002</v>
      </c>
      <c r="O469" s="57">
        <f t="shared" si="90"/>
        <v>840.69564390000005</v>
      </c>
      <c r="P469" s="58">
        <f t="shared" si="91"/>
        <v>417.01172812499999</v>
      </c>
      <c r="Q469" s="58">
        <f t="shared" si="92"/>
        <v>278.00781875000001</v>
      </c>
      <c r="R469" s="66">
        <f t="shared" si="93"/>
        <v>14.712173768250002</v>
      </c>
      <c r="S469" s="64">
        <f t="shared" si="94"/>
        <v>78.75</v>
      </c>
      <c r="T469" s="66">
        <f t="shared" si="95"/>
        <v>934.15781766825</v>
      </c>
      <c r="U469" s="68">
        <f t="shared" si="96"/>
        <v>44.483705603250002</v>
      </c>
      <c r="V469" s="68">
        <f t="shared" si="97"/>
        <v>463.37193336718752</v>
      </c>
      <c r="W469" s="68">
        <f t="shared" si="98"/>
        <v>308.9146222447917</v>
      </c>
    </row>
    <row r="470" spans="1:23" x14ac:dyDescent="0.25">
      <c r="A470" s="169" t="s">
        <v>891</v>
      </c>
      <c r="B470" s="61" t="s">
        <v>397</v>
      </c>
      <c r="C470" s="61" t="s">
        <v>591</v>
      </c>
      <c r="D470" s="61" t="s">
        <v>869</v>
      </c>
      <c r="E470" s="1" t="s">
        <v>356</v>
      </c>
      <c r="F470" s="62" t="str">
        <f t="shared" si="99"/>
        <v>64501</v>
      </c>
      <c r="G470" s="1">
        <v>10620056</v>
      </c>
      <c r="H470" s="1" t="s">
        <v>388</v>
      </c>
      <c r="I470" s="61">
        <v>20</v>
      </c>
      <c r="J470" s="61">
        <v>3.6</v>
      </c>
      <c r="K470" s="61">
        <v>8.1</v>
      </c>
      <c r="L470" s="69">
        <f t="shared" si="88"/>
        <v>0.72</v>
      </c>
      <c r="M470" s="69">
        <f t="shared" si="89"/>
        <v>1.62</v>
      </c>
      <c r="N470" s="56">
        <f>INDEX(Rate_Chart!$A$1:$AK$127,MATCH(Data!J470,Rate_Chart!$A$1:$A$127,0),MATCH(Data!K470,Rate_Chart!$A$1:$AK$1,0))</f>
        <v>37.531125900000006</v>
      </c>
      <c r="O470" s="57">
        <f t="shared" si="90"/>
        <v>750.62251800000013</v>
      </c>
      <c r="P470" s="58">
        <f t="shared" si="91"/>
        <v>417.01251000000008</v>
      </c>
      <c r="Q470" s="58">
        <f t="shared" si="92"/>
        <v>278.00834000000003</v>
      </c>
      <c r="R470" s="66">
        <f t="shared" si="93"/>
        <v>13.135894065000004</v>
      </c>
      <c r="S470" s="64">
        <f t="shared" si="94"/>
        <v>75</v>
      </c>
      <c r="T470" s="66">
        <f t="shared" si="95"/>
        <v>838.75841206500013</v>
      </c>
      <c r="U470" s="68">
        <f t="shared" si="96"/>
        <v>41.937920603250006</v>
      </c>
      <c r="V470" s="68">
        <f t="shared" si="97"/>
        <v>465.97689559166673</v>
      </c>
      <c r="W470" s="68">
        <f t="shared" si="98"/>
        <v>310.6512637277778</v>
      </c>
    </row>
    <row r="471" spans="1:23" x14ac:dyDescent="0.25">
      <c r="A471" s="169" t="s">
        <v>892</v>
      </c>
      <c r="B471" s="61" t="s">
        <v>396</v>
      </c>
      <c r="C471" s="61" t="s">
        <v>591</v>
      </c>
      <c r="D471" s="61" t="s">
        <v>869</v>
      </c>
      <c r="E471" s="1" t="s">
        <v>356</v>
      </c>
      <c r="F471" s="62" t="str">
        <f t="shared" si="99"/>
        <v>64501</v>
      </c>
      <c r="G471" s="1">
        <v>10620056</v>
      </c>
      <c r="H471" s="1" t="s">
        <v>388</v>
      </c>
      <c r="I471" s="61">
        <v>21</v>
      </c>
      <c r="J471" s="61">
        <v>4.2</v>
      </c>
      <c r="K471" s="61">
        <v>8.1</v>
      </c>
      <c r="L471" s="69">
        <f t="shared" si="88"/>
        <v>0.88200000000000001</v>
      </c>
      <c r="M471" s="69">
        <f t="shared" si="89"/>
        <v>1.7009999999999998</v>
      </c>
      <c r="N471" s="56">
        <f>INDEX(Rate_Chart!$A$1:$AK$127,MATCH(Data!J471,Rate_Chart!$A$1:$A$127,0),MATCH(Data!K471,Rate_Chart!$A$1:$AK$1,0))</f>
        <v>40.033125900000002</v>
      </c>
      <c r="O471" s="57">
        <f t="shared" si="90"/>
        <v>840.69564390000005</v>
      </c>
      <c r="P471" s="58">
        <f t="shared" si="91"/>
        <v>417.01172812499999</v>
      </c>
      <c r="Q471" s="58">
        <f t="shared" si="92"/>
        <v>278.00781875000001</v>
      </c>
      <c r="R471" s="66">
        <f t="shared" si="93"/>
        <v>14.712173768250002</v>
      </c>
      <c r="S471" s="64">
        <f t="shared" si="94"/>
        <v>78.75</v>
      </c>
      <c r="T471" s="66">
        <f t="shared" si="95"/>
        <v>934.15781766825</v>
      </c>
      <c r="U471" s="68">
        <f t="shared" si="96"/>
        <v>44.483705603250002</v>
      </c>
      <c r="V471" s="68">
        <f t="shared" si="97"/>
        <v>463.37193336718752</v>
      </c>
      <c r="W471" s="68">
        <f t="shared" si="98"/>
        <v>308.9146222447917</v>
      </c>
    </row>
    <row r="472" spans="1:23" x14ac:dyDescent="0.25">
      <c r="A472" s="169" t="s">
        <v>892</v>
      </c>
      <c r="B472" s="61" t="s">
        <v>397</v>
      </c>
      <c r="C472" s="61" t="s">
        <v>591</v>
      </c>
      <c r="D472" s="61" t="s">
        <v>869</v>
      </c>
      <c r="E472" s="1" t="s">
        <v>356</v>
      </c>
      <c r="F472" s="62" t="str">
        <f t="shared" si="99"/>
        <v>64501</v>
      </c>
      <c r="G472" s="1">
        <v>10620056</v>
      </c>
      <c r="H472" s="1" t="s">
        <v>388</v>
      </c>
      <c r="I472" s="61">
        <v>19</v>
      </c>
      <c r="J472" s="61">
        <v>4</v>
      </c>
      <c r="K472" s="61">
        <v>8.1</v>
      </c>
      <c r="L472" s="69">
        <f t="shared" si="88"/>
        <v>0.76</v>
      </c>
      <c r="M472" s="69">
        <f t="shared" si="89"/>
        <v>1.5390000000000001</v>
      </c>
      <c r="N472" s="56">
        <f>INDEX(Rate_Chart!$A$1:$AK$127,MATCH(Data!J472,Rate_Chart!$A$1:$A$127,0),MATCH(Data!K472,Rate_Chart!$A$1:$AK$1,0))</f>
        <v>39.199125899999999</v>
      </c>
      <c r="O472" s="57">
        <f t="shared" si="90"/>
        <v>744.78339210000001</v>
      </c>
      <c r="P472" s="58">
        <f t="shared" si="91"/>
        <v>417.01197765957443</v>
      </c>
      <c r="Q472" s="58">
        <f t="shared" si="92"/>
        <v>278.00798510638293</v>
      </c>
      <c r="R472" s="66">
        <f t="shared" si="93"/>
        <v>13.033709361750001</v>
      </c>
      <c r="S472" s="64">
        <f t="shared" si="94"/>
        <v>71.25</v>
      </c>
      <c r="T472" s="66">
        <f t="shared" si="95"/>
        <v>829.06710146174998</v>
      </c>
      <c r="U472" s="68">
        <f t="shared" si="96"/>
        <v>43.635110603249998</v>
      </c>
      <c r="V472" s="68">
        <f t="shared" si="97"/>
        <v>464.20330428989359</v>
      </c>
      <c r="W472" s="68">
        <f t="shared" si="98"/>
        <v>309.46886952659571</v>
      </c>
    </row>
    <row r="473" spans="1:23" x14ac:dyDescent="0.25">
      <c r="A473" s="169" t="s">
        <v>893</v>
      </c>
      <c r="B473" s="61" t="s">
        <v>396</v>
      </c>
      <c r="C473" s="61" t="s">
        <v>591</v>
      </c>
      <c r="D473" s="61" t="s">
        <v>869</v>
      </c>
      <c r="E473" s="1" t="s">
        <v>356</v>
      </c>
      <c r="F473" s="62" t="str">
        <f t="shared" si="99"/>
        <v>64501</v>
      </c>
      <c r="G473" s="1">
        <v>10620056</v>
      </c>
      <c r="H473" s="1" t="s">
        <v>388</v>
      </c>
      <c r="I473" s="61">
        <v>20</v>
      </c>
      <c r="J473" s="61">
        <v>4.0999999999999996</v>
      </c>
      <c r="K473" s="61">
        <v>8.1</v>
      </c>
      <c r="L473" s="69">
        <f t="shared" si="88"/>
        <v>0.82</v>
      </c>
      <c r="M473" s="69">
        <f t="shared" si="89"/>
        <v>1.62</v>
      </c>
      <c r="N473" s="56">
        <f>INDEX(Rate_Chart!$A$1:$AK$127,MATCH(Data!J473,Rate_Chart!$A$1:$A$127,0),MATCH(Data!K473,Rate_Chart!$A$1:$AK$1,0))</f>
        <v>39.6161259</v>
      </c>
      <c r="O473" s="57">
        <f t="shared" si="90"/>
        <v>792.32251799999995</v>
      </c>
      <c r="P473" s="58">
        <f t="shared" si="91"/>
        <v>417.01185157894736</v>
      </c>
      <c r="Q473" s="58">
        <f t="shared" si="92"/>
        <v>278.00790105263155</v>
      </c>
      <c r="R473" s="66">
        <f t="shared" si="93"/>
        <v>13.865644065</v>
      </c>
      <c r="S473" s="64">
        <f t="shared" si="94"/>
        <v>75</v>
      </c>
      <c r="T473" s="66">
        <f t="shared" si="95"/>
        <v>881.18816206499991</v>
      </c>
      <c r="U473" s="68">
        <f t="shared" si="96"/>
        <v>44.059408103249993</v>
      </c>
      <c r="V473" s="68">
        <f t="shared" si="97"/>
        <v>463.7832431921052</v>
      </c>
      <c r="W473" s="68">
        <f t="shared" si="98"/>
        <v>309.18882879473682</v>
      </c>
    </row>
    <row r="474" spans="1:23" x14ac:dyDescent="0.25">
      <c r="A474" s="169" t="s">
        <v>893</v>
      </c>
      <c r="B474" s="61" t="s">
        <v>397</v>
      </c>
      <c r="C474" s="61" t="s">
        <v>591</v>
      </c>
      <c r="D474" s="61" t="s">
        <v>869</v>
      </c>
      <c r="E474" s="1" t="s">
        <v>356</v>
      </c>
      <c r="F474" s="62" t="str">
        <f t="shared" si="99"/>
        <v>64501</v>
      </c>
      <c r="G474" s="1">
        <v>10620056</v>
      </c>
      <c r="H474" s="1" t="s">
        <v>388</v>
      </c>
      <c r="I474" s="61">
        <v>16</v>
      </c>
      <c r="J474" s="61">
        <v>4</v>
      </c>
      <c r="K474" s="61">
        <v>8.1</v>
      </c>
      <c r="L474" s="69">
        <f t="shared" si="88"/>
        <v>0.64</v>
      </c>
      <c r="M474" s="69">
        <f t="shared" si="89"/>
        <v>1.296</v>
      </c>
      <c r="N474" s="56">
        <f>INDEX(Rate_Chart!$A$1:$AK$127,MATCH(Data!J474,Rate_Chart!$A$1:$A$127,0),MATCH(Data!K474,Rate_Chart!$A$1:$AK$1,0))</f>
        <v>39.199125899999999</v>
      </c>
      <c r="O474" s="57">
        <f t="shared" si="90"/>
        <v>627.18601439999998</v>
      </c>
      <c r="P474" s="58">
        <f t="shared" si="91"/>
        <v>417.01197765957443</v>
      </c>
      <c r="Q474" s="58">
        <f t="shared" si="92"/>
        <v>278.00798510638293</v>
      </c>
      <c r="R474" s="66">
        <f t="shared" si="93"/>
        <v>10.975755252000001</v>
      </c>
      <c r="S474" s="64">
        <f t="shared" si="94"/>
        <v>60</v>
      </c>
      <c r="T474" s="66">
        <f t="shared" si="95"/>
        <v>698.16176965199998</v>
      </c>
      <c r="U474" s="68">
        <f t="shared" si="96"/>
        <v>43.635110603249998</v>
      </c>
      <c r="V474" s="68">
        <f t="shared" si="97"/>
        <v>464.20330428989359</v>
      </c>
      <c r="W474" s="68">
        <f t="shared" si="98"/>
        <v>309.46886952659571</v>
      </c>
    </row>
    <row r="475" spans="1:23" x14ac:dyDescent="0.25">
      <c r="A475" s="169" t="s">
        <v>894</v>
      </c>
      <c r="B475" s="61" t="s">
        <v>396</v>
      </c>
      <c r="C475" s="61" t="s">
        <v>591</v>
      </c>
      <c r="D475" s="61" t="s">
        <v>869</v>
      </c>
      <c r="E475" s="1" t="s">
        <v>356</v>
      </c>
      <c r="F475" s="62" t="str">
        <f t="shared" si="99"/>
        <v>64501</v>
      </c>
      <c r="G475" s="1">
        <v>10620056</v>
      </c>
      <c r="H475" s="1" t="s">
        <v>388</v>
      </c>
      <c r="I475" s="61">
        <v>19</v>
      </c>
      <c r="J475" s="61">
        <v>4.7</v>
      </c>
      <c r="K475" s="61">
        <v>8.1999999999999993</v>
      </c>
      <c r="L475" s="69">
        <f t="shared" si="88"/>
        <v>0.89300000000000002</v>
      </c>
      <c r="M475" s="69">
        <f t="shared" si="89"/>
        <v>1.5579999999999998</v>
      </c>
      <c r="N475" s="56">
        <f>INDEX(Rate_Chart!$A$1:$AK$127,MATCH(Data!J475,Rate_Chart!$A$1:$A$127,0),MATCH(Data!K475,Rate_Chart!$A$1:$AK$1,0))</f>
        <v>42.3961398</v>
      </c>
      <c r="O475" s="57">
        <f t="shared" si="90"/>
        <v>805.52665620000005</v>
      </c>
      <c r="P475" s="58">
        <f t="shared" si="91"/>
        <v>417.01121114754102</v>
      </c>
      <c r="Q475" s="58">
        <f t="shared" si="92"/>
        <v>278.00747409836066</v>
      </c>
      <c r="R475" s="66">
        <f t="shared" si="93"/>
        <v>14.096716483500002</v>
      </c>
      <c r="S475" s="64">
        <f t="shared" si="94"/>
        <v>71.25</v>
      </c>
      <c r="T475" s="66">
        <f t="shared" si="95"/>
        <v>890.87337268350007</v>
      </c>
      <c r="U475" s="68">
        <f t="shared" si="96"/>
        <v>46.888072246500002</v>
      </c>
      <c r="V475" s="68">
        <f t="shared" si="97"/>
        <v>461.19415324426234</v>
      </c>
      <c r="W475" s="68">
        <f t="shared" si="98"/>
        <v>307.46276882950821</v>
      </c>
    </row>
    <row r="476" spans="1:23" x14ac:dyDescent="0.25">
      <c r="A476" s="169" t="s">
        <v>894</v>
      </c>
      <c r="B476" s="61" t="s">
        <v>397</v>
      </c>
      <c r="C476" s="61" t="s">
        <v>591</v>
      </c>
      <c r="D476" s="61" t="s">
        <v>869</v>
      </c>
      <c r="E476" s="1" t="s">
        <v>356</v>
      </c>
      <c r="F476" s="62" t="str">
        <f t="shared" si="99"/>
        <v>64501</v>
      </c>
      <c r="G476" s="1">
        <v>10620056</v>
      </c>
      <c r="H476" s="1" t="s">
        <v>388</v>
      </c>
      <c r="I476" s="61">
        <v>15</v>
      </c>
      <c r="J476" s="61">
        <v>4.2</v>
      </c>
      <c r="K476" s="61">
        <v>8.1</v>
      </c>
      <c r="L476" s="69">
        <f t="shared" si="88"/>
        <v>0.63</v>
      </c>
      <c r="M476" s="69">
        <f t="shared" si="89"/>
        <v>1.2150000000000001</v>
      </c>
      <c r="N476" s="56">
        <f>INDEX(Rate_Chart!$A$1:$AK$127,MATCH(Data!J476,Rate_Chart!$A$1:$A$127,0),MATCH(Data!K476,Rate_Chart!$A$1:$AK$1,0))</f>
        <v>40.033125900000002</v>
      </c>
      <c r="O476" s="57">
        <f t="shared" si="90"/>
        <v>600.49688850000007</v>
      </c>
      <c r="P476" s="58">
        <f t="shared" si="91"/>
        <v>417.01172812499999</v>
      </c>
      <c r="Q476" s="58">
        <f t="shared" si="92"/>
        <v>278.00781875000001</v>
      </c>
      <c r="R476" s="66">
        <f t="shared" si="93"/>
        <v>10.508695548750001</v>
      </c>
      <c r="S476" s="64">
        <f t="shared" si="94"/>
        <v>56.25</v>
      </c>
      <c r="T476" s="66">
        <f t="shared" si="95"/>
        <v>667.25558404875005</v>
      </c>
      <c r="U476" s="68">
        <f t="shared" si="96"/>
        <v>44.483705603250002</v>
      </c>
      <c r="V476" s="68">
        <f t="shared" si="97"/>
        <v>463.37193336718752</v>
      </c>
      <c r="W476" s="68">
        <f t="shared" si="98"/>
        <v>308.9146222447917</v>
      </c>
    </row>
    <row r="477" spans="1:23" x14ac:dyDescent="0.25">
      <c r="A477" s="169" t="s">
        <v>888</v>
      </c>
      <c r="B477" s="61" t="s">
        <v>396</v>
      </c>
      <c r="C477" s="61" t="s">
        <v>591</v>
      </c>
      <c r="D477" s="61" t="s">
        <v>869</v>
      </c>
      <c r="E477" s="1" t="s">
        <v>809</v>
      </c>
      <c r="F477" s="62" t="str">
        <f t="shared" si="99"/>
        <v>64504</v>
      </c>
      <c r="G477" s="1">
        <v>10620099</v>
      </c>
      <c r="H477" s="1" t="s">
        <v>388</v>
      </c>
      <c r="I477" s="61">
        <v>66</v>
      </c>
      <c r="J477" s="61">
        <v>3.5</v>
      </c>
      <c r="K477" s="61">
        <v>8.1</v>
      </c>
      <c r="L477" s="69">
        <f t="shared" ref="L477:L540" si="100">J477*I477/100</f>
        <v>2.31</v>
      </c>
      <c r="M477" s="69">
        <f t="shared" ref="M477:M540" si="101">K477*I477/100</f>
        <v>5.3460000000000001</v>
      </c>
      <c r="N477" s="56">
        <f>INDEX(Rate_Chart!$A$1:$AK$127,MATCH(Data!J477,Rate_Chart!$A$1:$A$127,0),MATCH(Data!K477,Rate_Chart!$A$1:$AK$1,0))</f>
        <v>37.114125900000005</v>
      </c>
      <c r="O477" s="57">
        <f t="shared" ref="O477:O540" si="102">N477*I477</f>
        <v>2449.5323094000005</v>
      </c>
      <c r="P477" s="58">
        <f t="shared" ref="P477:P540" si="103">N477/(J477%+K477%*2/3)</f>
        <v>417.01265056179784</v>
      </c>
      <c r="Q477" s="58">
        <f t="shared" ref="Q477:Q540" si="104">P477*2/3</f>
        <v>278.00843370786521</v>
      </c>
      <c r="R477" s="66">
        <f t="shared" ref="R477:R540" si="105">O477*1.75%</f>
        <v>42.86681541450001</v>
      </c>
      <c r="S477" s="64">
        <f t="shared" ref="S477:S540" si="106">I477*3.75</f>
        <v>247.5</v>
      </c>
      <c r="T477" s="66">
        <f t="shared" ref="T477:T540" si="107">R477+S477+O477</f>
        <v>2739.8991248145003</v>
      </c>
      <c r="U477" s="68">
        <f t="shared" ref="U477:U540" si="108">T477/I477</f>
        <v>41.513623103250005</v>
      </c>
      <c r="V477" s="68">
        <f t="shared" ref="V477:V540" si="109">U477/(J477%+K477%*2/3)</f>
        <v>466.44520340730344</v>
      </c>
      <c r="W477" s="68">
        <f t="shared" ref="W477:W540" si="110">V477*2/3</f>
        <v>310.96346893820231</v>
      </c>
    </row>
    <row r="478" spans="1:23" x14ac:dyDescent="0.25">
      <c r="A478" s="169" t="s">
        <v>888</v>
      </c>
      <c r="B478" s="61" t="s">
        <v>397</v>
      </c>
      <c r="C478" s="61" t="s">
        <v>591</v>
      </c>
      <c r="D478" s="61" t="s">
        <v>869</v>
      </c>
      <c r="E478" s="1" t="s">
        <v>809</v>
      </c>
      <c r="F478" s="62" t="str">
        <f t="shared" si="99"/>
        <v>64504</v>
      </c>
      <c r="G478" s="1">
        <v>10620099</v>
      </c>
      <c r="H478" s="1" t="s">
        <v>388</v>
      </c>
      <c r="I478" s="61">
        <v>32</v>
      </c>
      <c r="J478" s="61">
        <v>3</v>
      </c>
      <c r="K478" s="61">
        <v>8</v>
      </c>
      <c r="L478" s="69">
        <f t="shared" si="100"/>
        <v>0.96</v>
      </c>
      <c r="M478" s="69">
        <f t="shared" si="101"/>
        <v>2.56</v>
      </c>
      <c r="N478" s="56">
        <f>INDEX(Rate_Chart!$A$1:$AK$127,MATCH(Data!J478,Rate_Chart!$A$1:$A$127,0),MATCH(Data!K478,Rate_Chart!$A$1:$AK$1,0))</f>
        <v>34.751112000000006</v>
      </c>
      <c r="O478" s="57">
        <f t="shared" si="102"/>
        <v>1112.0355840000002</v>
      </c>
      <c r="P478" s="58">
        <f t="shared" si="103"/>
        <v>417.01334400000002</v>
      </c>
      <c r="Q478" s="58">
        <f t="shared" si="104"/>
        <v>278.00889599999999</v>
      </c>
      <c r="R478" s="66">
        <f t="shared" si="105"/>
        <v>19.460622720000007</v>
      </c>
      <c r="S478" s="64">
        <f t="shared" si="106"/>
        <v>120</v>
      </c>
      <c r="T478" s="66">
        <f t="shared" si="107"/>
        <v>1251.4962067200001</v>
      </c>
      <c r="U478" s="68">
        <f t="shared" si="108"/>
        <v>39.109256460000005</v>
      </c>
      <c r="V478" s="68">
        <f t="shared" si="109"/>
        <v>469.31107752000003</v>
      </c>
      <c r="W478" s="68">
        <f t="shared" si="110"/>
        <v>312.87405168000004</v>
      </c>
    </row>
    <row r="479" spans="1:23" x14ac:dyDescent="0.25">
      <c r="A479" s="169" t="s">
        <v>890</v>
      </c>
      <c r="B479" s="61" t="s">
        <v>396</v>
      </c>
      <c r="C479" s="61" t="s">
        <v>591</v>
      </c>
      <c r="D479" s="61" t="s">
        <v>869</v>
      </c>
      <c r="E479" s="1" t="s">
        <v>809</v>
      </c>
      <c r="F479" s="62" t="str">
        <f t="shared" si="99"/>
        <v>64504</v>
      </c>
      <c r="G479" s="1">
        <v>10620099</v>
      </c>
      <c r="H479" s="1" t="s">
        <v>388</v>
      </c>
      <c r="I479" s="61">
        <v>8</v>
      </c>
      <c r="J479" s="61">
        <v>3.3</v>
      </c>
      <c r="K479" s="61">
        <v>8</v>
      </c>
      <c r="L479" s="69">
        <f t="shared" si="100"/>
        <v>0.26400000000000001</v>
      </c>
      <c r="M479" s="69">
        <f t="shared" si="101"/>
        <v>0.64</v>
      </c>
      <c r="N479" s="56">
        <f>INDEX(Rate_Chart!$A$1:$AK$127,MATCH(Data!J479,Rate_Chart!$A$1:$A$127,0),MATCH(Data!K479,Rate_Chart!$A$1:$AK$1,0))</f>
        <v>36.002112000000004</v>
      </c>
      <c r="O479" s="57">
        <f t="shared" si="102"/>
        <v>288.01689600000003</v>
      </c>
      <c r="P479" s="58">
        <f t="shared" si="103"/>
        <v>417.01288030888031</v>
      </c>
      <c r="Q479" s="58">
        <f t="shared" si="104"/>
        <v>278.00858687258687</v>
      </c>
      <c r="R479" s="66">
        <f t="shared" si="105"/>
        <v>5.0402956800000007</v>
      </c>
      <c r="S479" s="64">
        <f t="shared" si="106"/>
        <v>30</v>
      </c>
      <c r="T479" s="66">
        <f t="shared" si="107"/>
        <v>323.05719168000002</v>
      </c>
      <c r="U479" s="68">
        <f t="shared" si="108"/>
        <v>40.382148960000002</v>
      </c>
      <c r="V479" s="68">
        <f t="shared" si="109"/>
        <v>467.74689915057911</v>
      </c>
      <c r="W479" s="68">
        <f t="shared" si="110"/>
        <v>311.83126610038607</v>
      </c>
    </row>
    <row r="480" spans="1:23" x14ac:dyDescent="0.25">
      <c r="A480" s="169" t="s">
        <v>890</v>
      </c>
      <c r="B480" s="61" t="s">
        <v>397</v>
      </c>
      <c r="C480" s="61" t="s">
        <v>591</v>
      </c>
      <c r="D480" s="61" t="s">
        <v>869</v>
      </c>
      <c r="E480" s="1" t="s">
        <v>809</v>
      </c>
      <c r="F480" s="62" t="str">
        <f t="shared" si="99"/>
        <v>64504</v>
      </c>
      <c r="G480" s="1">
        <v>10620099</v>
      </c>
      <c r="H480" s="1" t="s">
        <v>388</v>
      </c>
      <c r="I480" s="61">
        <v>33</v>
      </c>
      <c r="J480" s="61">
        <v>3</v>
      </c>
      <c r="K480" s="61">
        <v>8</v>
      </c>
      <c r="L480" s="69">
        <f t="shared" si="100"/>
        <v>0.99</v>
      </c>
      <c r="M480" s="69">
        <f t="shared" si="101"/>
        <v>2.64</v>
      </c>
      <c r="N480" s="56">
        <f>INDEX(Rate_Chart!$A$1:$AK$127,MATCH(Data!J480,Rate_Chart!$A$1:$A$127,0),MATCH(Data!K480,Rate_Chart!$A$1:$AK$1,0))</f>
        <v>34.751112000000006</v>
      </c>
      <c r="O480" s="57">
        <f t="shared" si="102"/>
        <v>1146.7866960000001</v>
      </c>
      <c r="P480" s="58">
        <f t="shared" si="103"/>
        <v>417.01334400000002</v>
      </c>
      <c r="Q480" s="58">
        <f t="shared" si="104"/>
        <v>278.00889599999999</v>
      </c>
      <c r="R480" s="66">
        <f t="shared" si="105"/>
        <v>20.068767180000005</v>
      </c>
      <c r="S480" s="64">
        <f t="shared" si="106"/>
        <v>123.75</v>
      </c>
      <c r="T480" s="66">
        <f t="shared" si="107"/>
        <v>1290.6054631800002</v>
      </c>
      <c r="U480" s="68">
        <f t="shared" si="108"/>
        <v>39.109256460000005</v>
      </c>
      <c r="V480" s="68">
        <f t="shared" si="109"/>
        <v>469.31107752000003</v>
      </c>
      <c r="W480" s="68">
        <f t="shared" si="110"/>
        <v>312.87405168000004</v>
      </c>
    </row>
    <row r="481" spans="1:23" x14ac:dyDescent="0.25">
      <c r="A481" s="169" t="s">
        <v>891</v>
      </c>
      <c r="B481" s="61" t="s">
        <v>397</v>
      </c>
      <c r="C481" s="61" t="s">
        <v>591</v>
      </c>
      <c r="D481" s="61" t="s">
        <v>869</v>
      </c>
      <c r="E481" s="1" t="s">
        <v>809</v>
      </c>
      <c r="F481" s="62" t="str">
        <f t="shared" si="99"/>
        <v>64504</v>
      </c>
      <c r="G481" s="1">
        <v>10620099</v>
      </c>
      <c r="H481" s="1" t="s">
        <v>388</v>
      </c>
      <c r="I481" s="61">
        <v>37</v>
      </c>
      <c r="J481" s="61">
        <v>3</v>
      </c>
      <c r="K481" s="61">
        <v>8</v>
      </c>
      <c r="L481" s="69">
        <f t="shared" si="100"/>
        <v>1.1100000000000001</v>
      </c>
      <c r="M481" s="69">
        <f t="shared" si="101"/>
        <v>2.96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1285.7911440000003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22.501345020000006</v>
      </c>
      <c r="S481" s="64">
        <f t="shared" si="106"/>
        <v>138.75</v>
      </c>
      <c r="T481" s="66">
        <f t="shared" si="107"/>
        <v>1447.0424890200002</v>
      </c>
      <c r="U481" s="68">
        <f t="shared" si="108"/>
        <v>39.109256460000005</v>
      </c>
      <c r="V481" s="68">
        <f t="shared" si="109"/>
        <v>469.31107752000003</v>
      </c>
      <c r="W481" s="68">
        <f t="shared" si="110"/>
        <v>312.87405168000004</v>
      </c>
    </row>
    <row r="482" spans="1:23" x14ac:dyDescent="0.25">
      <c r="A482" s="169" t="s">
        <v>892</v>
      </c>
      <c r="B482" s="61" t="s">
        <v>396</v>
      </c>
      <c r="C482" s="61" t="s">
        <v>591</v>
      </c>
      <c r="D482" s="61" t="s">
        <v>869</v>
      </c>
      <c r="E482" s="1" t="s">
        <v>809</v>
      </c>
      <c r="F482" s="62" t="str">
        <f t="shared" si="99"/>
        <v>64504</v>
      </c>
      <c r="G482" s="1">
        <v>10620099</v>
      </c>
      <c r="H482" s="1" t="s">
        <v>388</v>
      </c>
      <c r="I482" s="61">
        <v>34</v>
      </c>
      <c r="J482" s="61">
        <v>3.1</v>
      </c>
      <c r="K482" s="61">
        <v>8</v>
      </c>
      <c r="L482" s="69">
        <f t="shared" si="100"/>
        <v>1.054</v>
      </c>
      <c r="M482" s="69">
        <f t="shared" si="101"/>
        <v>2.72</v>
      </c>
      <c r="N482" s="56">
        <f>INDEX(Rate_Chart!$A$1:$AK$127,MATCH(Data!J482,Rate_Chart!$A$1:$A$127,0),MATCH(Data!K482,Rate_Chart!$A$1:$AK$1,0))</f>
        <v>35.168112000000008</v>
      </c>
      <c r="O482" s="57">
        <f t="shared" si="102"/>
        <v>1195.7158080000004</v>
      </c>
      <c r="P482" s="58">
        <f t="shared" si="103"/>
        <v>417.01318577075102</v>
      </c>
      <c r="Q482" s="58">
        <f t="shared" si="104"/>
        <v>278.00879051383401</v>
      </c>
      <c r="R482" s="66">
        <f t="shared" si="105"/>
        <v>20.925026640000009</v>
      </c>
      <c r="S482" s="64">
        <f t="shared" si="106"/>
        <v>127.5</v>
      </c>
      <c r="T482" s="66">
        <f t="shared" si="107"/>
        <v>1344.1408346400003</v>
      </c>
      <c r="U482" s="68">
        <f t="shared" si="108"/>
        <v>39.533553960000006</v>
      </c>
      <c r="V482" s="68">
        <f t="shared" si="109"/>
        <v>468.77731968379447</v>
      </c>
      <c r="W482" s="68">
        <f t="shared" si="110"/>
        <v>312.51821312252963</v>
      </c>
    </row>
    <row r="483" spans="1:23" x14ac:dyDescent="0.25">
      <c r="A483" s="169" t="s">
        <v>892</v>
      </c>
      <c r="B483" s="61" t="s">
        <v>397</v>
      </c>
      <c r="C483" s="61" t="s">
        <v>591</v>
      </c>
      <c r="D483" s="61" t="s">
        <v>869</v>
      </c>
      <c r="E483" s="1" t="s">
        <v>809</v>
      </c>
      <c r="F483" s="62" t="str">
        <f t="shared" si="99"/>
        <v>64504</v>
      </c>
      <c r="G483" s="1">
        <v>10620099</v>
      </c>
      <c r="H483" s="1" t="s">
        <v>388</v>
      </c>
      <c r="I483" s="61">
        <v>27</v>
      </c>
      <c r="J483" s="61">
        <v>3.1</v>
      </c>
      <c r="K483" s="61">
        <v>8.1</v>
      </c>
      <c r="L483" s="69">
        <f t="shared" si="100"/>
        <v>0.83700000000000008</v>
      </c>
      <c r="M483" s="69">
        <f t="shared" si="101"/>
        <v>2.1869999999999998</v>
      </c>
      <c r="N483" s="56">
        <f>INDEX(Rate_Chart!$A$1:$AK$127,MATCH(Data!J483,Rate_Chart!$A$1:$A$127,0),MATCH(Data!K483,Rate_Chart!$A$1:$AK$1,0))</f>
        <v>35.446125899999998</v>
      </c>
      <c r="O483" s="57">
        <f t="shared" si="102"/>
        <v>957.04539929999999</v>
      </c>
      <c r="P483" s="58">
        <f t="shared" si="103"/>
        <v>417.01324588235298</v>
      </c>
      <c r="Q483" s="58">
        <f t="shared" si="104"/>
        <v>278.0088305882353</v>
      </c>
      <c r="R483" s="66">
        <f t="shared" si="105"/>
        <v>16.748294487750002</v>
      </c>
      <c r="S483" s="64">
        <f t="shared" si="106"/>
        <v>101.25</v>
      </c>
      <c r="T483" s="66">
        <f t="shared" si="107"/>
        <v>1075.04369378775</v>
      </c>
      <c r="U483" s="68">
        <f t="shared" si="108"/>
        <v>39.816433103249999</v>
      </c>
      <c r="V483" s="68">
        <f t="shared" si="109"/>
        <v>468.42862474411766</v>
      </c>
      <c r="W483" s="68">
        <f t="shared" si="110"/>
        <v>312.28574982941177</v>
      </c>
    </row>
    <row r="484" spans="1:23" x14ac:dyDescent="0.25">
      <c r="A484" s="169" t="s">
        <v>893</v>
      </c>
      <c r="B484" s="61" t="s">
        <v>396</v>
      </c>
      <c r="C484" s="61" t="s">
        <v>591</v>
      </c>
      <c r="D484" s="61" t="s">
        <v>869</v>
      </c>
      <c r="E484" s="1" t="s">
        <v>809</v>
      </c>
      <c r="F484" s="62" t="str">
        <f t="shared" si="99"/>
        <v>64504</v>
      </c>
      <c r="G484" s="1">
        <v>10620099</v>
      </c>
      <c r="H484" s="1" t="s">
        <v>388</v>
      </c>
      <c r="I484" s="61">
        <v>60</v>
      </c>
      <c r="J484" s="61">
        <v>3.2</v>
      </c>
      <c r="K484" s="61">
        <v>8</v>
      </c>
      <c r="L484" s="69">
        <f t="shared" si="100"/>
        <v>1.92</v>
      </c>
      <c r="M484" s="69">
        <f t="shared" si="101"/>
        <v>4.8</v>
      </c>
      <c r="N484" s="56">
        <f>INDEX(Rate_Chart!$A$1:$AK$127,MATCH(Data!J484,Rate_Chart!$A$1:$A$127,0),MATCH(Data!K484,Rate_Chart!$A$1:$AK$1,0))</f>
        <v>35.585112000000002</v>
      </c>
      <c r="O484" s="57">
        <f t="shared" si="102"/>
        <v>2135.1067200000002</v>
      </c>
      <c r="P484" s="58">
        <f t="shared" si="103"/>
        <v>417.01303124999998</v>
      </c>
      <c r="Q484" s="58">
        <f t="shared" si="104"/>
        <v>278.00868750000001</v>
      </c>
      <c r="R484" s="66">
        <f t="shared" si="105"/>
        <v>37.364367600000008</v>
      </c>
      <c r="S484" s="64">
        <f t="shared" si="106"/>
        <v>225</v>
      </c>
      <c r="T484" s="66">
        <f t="shared" si="107"/>
        <v>2397.4710876000004</v>
      </c>
      <c r="U484" s="68">
        <f t="shared" si="108"/>
        <v>39.957851460000008</v>
      </c>
      <c r="V484" s="68">
        <f t="shared" si="109"/>
        <v>468.25607179687501</v>
      </c>
      <c r="W484" s="68">
        <f t="shared" si="110"/>
        <v>312.17071453124998</v>
      </c>
    </row>
    <row r="485" spans="1:23" x14ac:dyDescent="0.25">
      <c r="A485" s="169" t="s">
        <v>893</v>
      </c>
      <c r="B485" s="61" t="s">
        <v>397</v>
      </c>
      <c r="C485" s="61" t="s">
        <v>591</v>
      </c>
      <c r="D485" s="61" t="s">
        <v>869</v>
      </c>
      <c r="E485" s="1" t="s">
        <v>809</v>
      </c>
      <c r="F485" s="62" t="str">
        <f t="shared" si="99"/>
        <v>64504</v>
      </c>
      <c r="G485" s="1">
        <v>10620099</v>
      </c>
      <c r="H485" s="1" t="s">
        <v>388</v>
      </c>
      <c r="I485" s="61">
        <v>38</v>
      </c>
      <c r="J485" s="61">
        <v>3.1</v>
      </c>
      <c r="K485" s="61">
        <v>8</v>
      </c>
      <c r="L485" s="69">
        <f t="shared" si="100"/>
        <v>1.1779999999999999</v>
      </c>
      <c r="M485" s="69">
        <f t="shared" si="101"/>
        <v>3.04</v>
      </c>
      <c r="N485" s="56">
        <f>INDEX(Rate_Chart!$A$1:$AK$127,MATCH(Data!J485,Rate_Chart!$A$1:$A$127,0),MATCH(Data!K485,Rate_Chart!$A$1:$AK$1,0))</f>
        <v>35.168112000000008</v>
      </c>
      <c r="O485" s="57">
        <f t="shared" si="102"/>
        <v>1336.3882560000002</v>
      </c>
      <c r="P485" s="58">
        <f t="shared" si="103"/>
        <v>417.01318577075102</v>
      </c>
      <c r="Q485" s="58">
        <f t="shared" si="104"/>
        <v>278.00879051383401</v>
      </c>
      <c r="R485" s="66">
        <f t="shared" si="105"/>
        <v>23.386794480000006</v>
      </c>
      <c r="S485" s="64">
        <f t="shared" si="106"/>
        <v>142.5</v>
      </c>
      <c r="T485" s="66">
        <f t="shared" si="107"/>
        <v>1502.2750504800001</v>
      </c>
      <c r="U485" s="68">
        <f t="shared" si="108"/>
        <v>39.533553960000006</v>
      </c>
      <c r="V485" s="68">
        <f t="shared" si="109"/>
        <v>468.77731968379447</v>
      </c>
      <c r="W485" s="68">
        <f t="shared" si="110"/>
        <v>312.51821312252963</v>
      </c>
    </row>
    <row r="486" spans="1:23" x14ac:dyDescent="0.25">
      <c r="A486" s="169" t="s">
        <v>894</v>
      </c>
      <c r="B486" s="61" t="s">
        <v>396</v>
      </c>
      <c r="C486" s="61" t="s">
        <v>591</v>
      </c>
      <c r="D486" s="61" t="s">
        <v>869</v>
      </c>
      <c r="E486" s="1" t="s">
        <v>809</v>
      </c>
      <c r="F486" s="62" t="str">
        <f t="shared" si="99"/>
        <v>64504</v>
      </c>
      <c r="G486" s="1">
        <v>10620099</v>
      </c>
      <c r="H486" s="1" t="s">
        <v>388</v>
      </c>
      <c r="I486" s="61">
        <v>34</v>
      </c>
      <c r="J486" s="61">
        <v>4</v>
      </c>
      <c r="K486" s="61">
        <v>8</v>
      </c>
      <c r="L486" s="69">
        <f t="shared" si="100"/>
        <v>1.36</v>
      </c>
      <c r="M486" s="69">
        <f t="shared" si="101"/>
        <v>2.72</v>
      </c>
      <c r="N486" s="56">
        <f>INDEX(Rate_Chart!$A$1:$AK$127,MATCH(Data!J486,Rate_Chart!$A$1:$A$127,0),MATCH(Data!K486,Rate_Chart!$A$1:$AK$1,0))</f>
        <v>38.921112000000008</v>
      </c>
      <c r="O486" s="57">
        <f t="shared" si="102"/>
        <v>1323.3178080000002</v>
      </c>
      <c r="P486" s="58">
        <f t="shared" si="103"/>
        <v>417.01191428571434</v>
      </c>
      <c r="Q486" s="58">
        <f t="shared" si="104"/>
        <v>278.00794285714289</v>
      </c>
      <c r="R486" s="66">
        <f t="shared" si="105"/>
        <v>23.158061640000007</v>
      </c>
      <c r="S486" s="64">
        <f t="shared" si="106"/>
        <v>127.5</v>
      </c>
      <c r="T486" s="66">
        <f t="shared" si="107"/>
        <v>1473.9758696400002</v>
      </c>
      <c r="U486" s="68">
        <f t="shared" si="108"/>
        <v>43.352231460000006</v>
      </c>
      <c r="V486" s="68">
        <f t="shared" si="109"/>
        <v>464.48819421428578</v>
      </c>
      <c r="W486" s="68">
        <f t="shared" si="110"/>
        <v>309.65879614285717</v>
      </c>
    </row>
    <row r="487" spans="1:23" x14ac:dyDescent="0.25">
      <c r="A487" s="169" t="s">
        <v>888</v>
      </c>
      <c r="B487" s="61" t="s">
        <v>396</v>
      </c>
      <c r="C487" s="61" t="s">
        <v>591</v>
      </c>
      <c r="D487" s="61" t="s">
        <v>595</v>
      </c>
      <c r="E487" s="1" t="s">
        <v>357</v>
      </c>
      <c r="F487" s="62" t="str">
        <f t="shared" si="99"/>
        <v>64505</v>
      </c>
      <c r="G487" s="1">
        <v>10620005</v>
      </c>
      <c r="H487" s="1" t="s">
        <v>387</v>
      </c>
      <c r="I487" s="61">
        <v>46</v>
      </c>
      <c r="J487" s="61">
        <v>7.5</v>
      </c>
      <c r="K487" s="61">
        <v>8.9</v>
      </c>
      <c r="L487" s="69">
        <f t="shared" si="100"/>
        <v>3.45</v>
      </c>
      <c r="M487" s="69">
        <f t="shared" si="101"/>
        <v>4.0940000000000003</v>
      </c>
      <c r="N487" s="56">
        <f>INDEX(Rate_Chart!$A$1:$AK$127,MATCH(Data!J487,Rate_Chart!$A$1:$A$127,0),MATCH(Data!K487,Rate_Chart!$A$1:$AK$1,0))</f>
        <v>61.998750000000001</v>
      </c>
      <c r="O487" s="57">
        <f t="shared" si="102"/>
        <v>2851.9425000000001</v>
      </c>
      <c r="P487" s="58">
        <f t="shared" si="103"/>
        <v>461.52915632754343</v>
      </c>
      <c r="Q487" s="58">
        <f t="shared" si="104"/>
        <v>307.68610421836229</v>
      </c>
      <c r="R487" s="66">
        <f t="shared" si="105"/>
        <v>49.908993750000008</v>
      </c>
      <c r="S487" s="64">
        <f t="shared" si="106"/>
        <v>172.5</v>
      </c>
      <c r="T487" s="66">
        <f t="shared" si="107"/>
        <v>3074.3514937499999</v>
      </c>
      <c r="U487" s="68">
        <f t="shared" si="108"/>
        <v>66.833728124999993</v>
      </c>
      <c r="V487" s="68">
        <f t="shared" si="109"/>
        <v>497.52154931761783</v>
      </c>
      <c r="W487" s="68">
        <f t="shared" si="110"/>
        <v>331.68103287841188</v>
      </c>
    </row>
    <row r="488" spans="1:23" x14ac:dyDescent="0.25">
      <c r="A488" s="169" t="s">
        <v>888</v>
      </c>
      <c r="B488" s="61" t="s">
        <v>397</v>
      </c>
      <c r="C488" s="61" t="s">
        <v>591</v>
      </c>
      <c r="D488" s="61" t="s">
        <v>595</v>
      </c>
      <c r="E488" s="1" t="s">
        <v>357</v>
      </c>
      <c r="F488" s="62" t="str">
        <f t="shared" si="99"/>
        <v>64505</v>
      </c>
      <c r="G488" s="1">
        <v>10620005</v>
      </c>
      <c r="H488" s="1" t="s">
        <v>387</v>
      </c>
      <c r="I488" s="61">
        <v>31</v>
      </c>
      <c r="J488" s="61">
        <v>7.8</v>
      </c>
      <c r="K488" s="61">
        <v>9</v>
      </c>
      <c r="L488" s="69">
        <f t="shared" si="100"/>
        <v>2.4179999999999997</v>
      </c>
      <c r="M488" s="69">
        <f t="shared" si="101"/>
        <v>2.79</v>
      </c>
      <c r="N488" s="56">
        <f>INDEX(Rate_Chart!$A$1:$AK$127,MATCH(Data!J488,Rate_Chart!$A$1:$A$127,0),MATCH(Data!K488,Rate_Chart!$A$1:$AK$1,0))</f>
        <v>65.13</v>
      </c>
      <c r="O488" s="57">
        <f t="shared" si="102"/>
        <v>2019.0299999999997</v>
      </c>
      <c r="P488" s="58">
        <f t="shared" si="103"/>
        <v>471.95652173913038</v>
      </c>
      <c r="Q488" s="58">
        <f t="shared" si="104"/>
        <v>314.63768115942025</v>
      </c>
      <c r="R488" s="66">
        <f t="shared" si="105"/>
        <v>35.333024999999999</v>
      </c>
      <c r="S488" s="64">
        <f t="shared" si="106"/>
        <v>116.25</v>
      </c>
      <c r="T488" s="66">
        <f t="shared" si="107"/>
        <v>2170.6130249999997</v>
      </c>
      <c r="U488" s="68">
        <f t="shared" si="108"/>
        <v>70.019774999999996</v>
      </c>
      <c r="V488" s="68">
        <f t="shared" si="109"/>
        <v>507.3896739130434</v>
      </c>
      <c r="W488" s="68">
        <f t="shared" si="110"/>
        <v>338.25978260869562</v>
      </c>
    </row>
    <row r="489" spans="1:23" x14ac:dyDescent="0.25">
      <c r="A489" s="169" t="s">
        <v>889</v>
      </c>
      <c r="B489" s="61" t="s">
        <v>396</v>
      </c>
      <c r="C489" s="61" t="s">
        <v>591</v>
      </c>
      <c r="D489" s="61" t="s">
        <v>595</v>
      </c>
      <c r="E489" s="1" t="s">
        <v>357</v>
      </c>
      <c r="F489" s="62" t="str">
        <f t="shared" si="99"/>
        <v>64505</v>
      </c>
      <c r="G489" s="1">
        <v>10620005</v>
      </c>
      <c r="H489" s="1" t="s">
        <v>387</v>
      </c>
      <c r="I489" s="61">
        <v>32</v>
      </c>
      <c r="J489" s="61">
        <v>8.4</v>
      </c>
      <c r="K489" s="61">
        <v>9</v>
      </c>
      <c r="L489" s="69">
        <f t="shared" si="100"/>
        <v>2.6880000000000002</v>
      </c>
      <c r="M489" s="69">
        <f t="shared" si="101"/>
        <v>2.88</v>
      </c>
      <c r="N489" s="56">
        <f>INDEX(Rate_Chart!$A$1:$AK$127,MATCH(Data!J489,Rate_Chart!$A$1:$A$127,0),MATCH(Data!K489,Rate_Chart!$A$1:$AK$1,0))</f>
        <v>70.14</v>
      </c>
      <c r="O489" s="57">
        <f t="shared" si="102"/>
        <v>2244.48</v>
      </c>
      <c r="P489" s="58">
        <f t="shared" si="103"/>
        <v>487.08333333333326</v>
      </c>
      <c r="Q489" s="58">
        <f t="shared" si="104"/>
        <v>324.72222222222217</v>
      </c>
      <c r="R489" s="66">
        <f t="shared" si="105"/>
        <v>39.278400000000005</v>
      </c>
      <c r="S489" s="64">
        <f t="shared" si="106"/>
        <v>120</v>
      </c>
      <c r="T489" s="66">
        <f t="shared" si="107"/>
        <v>2403.7584000000002</v>
      </c>
      <c r="U489" s="68">
        <f t="shared" si="108"/>
        <v>75.117450000000005</v>
      </c>
      <c r="V489" s="68">
        <f t="shared" si="109"/>
        <v>521.64895833333333</v>
      </c>
      <c r="W489" s="68">
        <f t="shared" si="110"/>
        <v>347.76597222222222</v>
      </c>
    </row>
    <row r="490" spans="1:23" x14ac:dyDescent="0.25">
      <c r="A490" s="169" t="s">
        <v>889</v>
      </c>
      <c r="B490" s="61" t="s">
        <v>396</v>
      </c>
      <c r="C490" s="61" t="s">
        <v>591</v>
      </c>
      <c r="D490" s="61" t="s">
        <v>595</v>
      </c>
      <c r="E490" s="1" t="s">
        <v>357</v>
      </c>
      <c r="F490" s="62" t="str">
        <f t="shared" si="99"/>
        <v>64505</v>
      </c>
      <c r="G490" s="1">
        <v>10620005</v>
      </c>
      <c r="H490" s="1" t="s">
        <v>388</v>
      </c>
      <c r="I490" s="61">
        <v>8</v>
      </c>
      <c r="J490" s="61">
        <v>4.7</v>
      </c>
      <c r="K490" s="61">
        <v>8.5</v>
      </c>
      <c r="L490" s="69">
        <f t="shared" si="100"/>
        <v>0.376</v>
      </c>
      <c r="M490" s="69">
        <f t="shared" si="101"/>
        <v>0.68</v>
      </c>
      <c r="N490" s="56">
        <f>INDEX(Rate_Chart!$A$1:$AK$127,MATCH(Data!J490,Rate_Chart!$A$1:$A$127,0),MATCH(Data!K490,Rate_Chart!$A$1:$AK$1,0))</f>
        <v>43.2301815</v>
      </c>
      <c r="O490" s="57">
        <f t="shared" si="102"/>
        <v>345.841452</v>
      </c>
      <c r="P490" s="58">
        <f t="shared" si="103"/>
        <v>417.01139710610931</v>
      </c>
      <c r="Q490" s="58">
        <f t="shared" si="104"/>
        <v>278.00759807073956</v>
      </c>
      <c r="R490" s="66">
        <f t="shared" si="105"/>
        <v>6.052225410000001</v>
      </c>
      <c r="S490" s="64">
        <f t="shared" si="106"/>
        <v>30</v>
      </c>
      <c r="T490" s="66">
        <f t="shared" si="107"/>
        <v>381.89367741000001</v>
      </c>
      <c r="U490" s="68">
        <f t="shared" si="108"/>
        <v>47.736709676250001</v>
      </c>
      <c r="V490" s="68">
        <f t="shared" si="109"/>
        <v>460.48272999598072</v>
      </c>
      <c r="W490" s="68">
        <f t="shared" si="110"/>
        <v>306.98848666398715</v>
      </c>
    </row>
    <row r="491" spans="1:23" x14ac:dyDescent="0.25">
      <c r="A491" s="169" t="s">
        <v>889</v>
      </c>
      <c r="B491" s="61" t="s">
        <v>397</v>
      </c>
      <c r="C491" s="61" t="s">
        <v>591</v>
      </c>
      <c r="D491" s="61" t="s">
        <v>595</v>
      </c>
      <c r="E491" s="1" t="s">
        <v>357</v>
      </c>
      <c r="F491" s="62" t="str">
        <f t="shared" si="99"/>
        <v>64505</v>
      </c>
      <c r="G491" s="1">
        <v>10620005</v>
      </c>
      <c r="H491" s="1" t="s">
        <v>387</v>
      </c>
      <c r="I491" s="61">
        <v>27</v>
      </c>
      <c r="J491" s="61">
        <v>8</v>
      </c>
      <c r="K491" s="61">
        <v>9</v>
      </c>
      <c r="L491" s="69">
        <f t="shared" si="100"/>
        <v>2.16</v>
      </c>
      <c r="M491" s="69">
        <f t="shared" si="101"/>
        <v>2.4300000000000002</v>
      </c>
      <c r="N491" s="56">
        <f>INDEX(Rate_Chart!$A$1:$AK$127,MATCH(Data!J491,Rate_Chart!$A$1:$A$127,0),MATCH(Data!K491,Rate_Chart!$A$1:$AK$1,0))</f>
        <v>66.8</v>
      </c>
      <c r="O491" s="57">
        <f t="shared" si="102"/>
        <v>1803.6</v>
      </c>
      <c r="P491" s="58">
        <f t="shared" si="103"/>
        <v>477.14285714285705</v>
      </c>
      <c r="Q491" s="58">
        <f t="shared" si="104"/>
        <v>318.09523809523802</v>
      </c>
      <c r="R491" s="66">
        <f t="shared" si="105"/>
        <v>31.563000000000002</v>
      </c>
      <c r="S491" s="64">
        <f t="shared" si="106"/>
        <v>101.25</v>
      </c>
      <c r="T491" s="66">
        <f t="shared" si="107"/>
        <v>1936.413</v>
      </c>
      <c r="U491" s="68">
        <f t="shared" si="108"/>
        <v>71.718999999999994</v>
      </c>
      <c r="V491" s="68">
        <f t="shared" si="109"/>
        <v>512.27857142857135</v>
      </c>
      <c r="W491" s="68">
        <f t="shared" si="110"/>
        <v>341.51904761904757</v>
      </c>
    </row>
    <row r="492" spans="1:23" x14ac:dyDescent="0.25">
      <c r="A492" s="169" t="s">
        <v>889</v>
      </c>
      <c r="B492" s="61" t="s">
        <v>397</v>
      </c>
      <c r="C492" s="61" t="s">
        <v>591</v>
      </c>
      <c r="D492" s="61" t="s">
        <v>595</v>
      </c>
      <c r="E492" s="1" t="s">
        <v>357</v>
      </c>
      <c r="F492" s="62" t="str">
        <f t="shared" si="99"/>
        <v>64505</v>
      </c>
      <c r="G492" s="1">
        <v>10620005</v>
      </c>
      <c r="H492" s="1" t="s">
        <v>388</v>
      </c>
      <c r="I492" s="61">
        <v>34</v>
      </c>
      <c r="J492" s="61">
        <v>3.9</v>
      </c>
      <c r="K492" s="61">
        <v>8.1999999999999993</v>
      </c>
      <c r="L492" s="69">
        <f t="shared" si="100"/>
        <v>1.3259999999999998</v>
      </c>
      <c r="M492" s="69">
        <f t="shared" si="101"/>
        <v>2.7879999999999994</v>
      </c>
      <c r="N492" s="56">
        <f>INDEX(Rate_Chart!$A$1:$AK$127,MATCH(Data!J492,Rate_Chart!$A$1:$A$127,0),MATCH(Data!K492,Rate_Chart!$A$1:$AK$1,0))</f>
        <v>39.060139800000002</v>
      </c>
      <c r="O492" s="57">
        <f t="shared" si="102"/>
        <v>1328.0447532000001</v>
      </c>
      <c r="P492" s="58">
        <f t="shared" si="103"/>
        <v>417.01216868327407</v>
      </c>
      <c r="Q492" s="58">
        <f t="shared" si="104"/>
        <v>278.00811245551603</v>
      </c>
      <c r="R492" s="66">
        <f t="shared" si="105"/>
        <v>23.240783181000005</v>
      </c>
      <c r="S492" s="64">
        <f t="shared" si="106"/>
        <v>127.5</v>
      </c>
      <c r="T492" s="66">
        <f t="shared" si="107"/>
        <v>1478.7855363810002</v>
      </c>
      <c r="U492" s="68">
        <f t="shared" si="108"/>
        <v>43.493692246500004</v>
      </c>
      <c r="V492" s="68">
        <f t="shared" si="109"/>
        <v>464.34546882384348</v>
      </c>
      <c r="W492" s="68">
        <f t="shared" si="110"/>
        <v>309.5636458825623</v>
      </c>
    </row>
    <row r="493" spans="1:23" x14ac:dyDescent="0.25">
      <c r="A493" s="169" t="s">
        <v>890</v>
      </c>
      <c r="B493" s="61" t="s">
        <v>396</v>
      </c>
      <c r="C493" s="61" t="s">
        <v>591</v>
      </c>
      <c r="D493" s="61" t="s">
        <v>595</v>
      </c>
      <c r="E493" s="1" t="s">
        <v>357</v>
      </c>
      <c r="F493" s="62" t="str">
        <f t="shared" si="99"/>
        <v>64505</v>
      </c>
      <c r="G493" s="1">
        <v>10620005</v>
      </c>
      <c r="H493" s="1" t="s">
        <v>387</v>
      </c>
      <c r="I493" s="61">
        <v>39</v>
      </c>
      <c r="J493" s="61">
        <v>7.8</v>
      </c>
      <c r="K493" s="61">
        <v>9</v>
      </c>
      <c r="L493" s="69">
        <f t="shared" si="100"/>
        <v>3.0419999999999998</v>
      </c>
      <c r="M493" s="69">
        <f t="shared" si="101"/>
        <v>3.51</v>
      </c>
      <c r="N493" s="56">
        <f>INDEX(Rate_Chart!$A$1:$AK$127,MATCH(Data!J493,Rate_Chart!$A$1:$A$127,0),MATCH(Data!K493,Rate_Chart!$A$1:$AK$1,0))</f>
        <v>65.13</v>
      </c>
      <c r="O493" s="57">
        <f t="shared" si="102"/>
        <v>2540.0699999999997</v>
      </c>
      <c r="P493" s="58">
        <f t="shared" si="103"/>
        <v>471.95652173913038</v>
      </c>
      <c r="Q493" s="58">
        <f t="shared" si="104"/>
        <v>314.63768115942025</v>
      </c>
      <c r="R493" s="66">
        <f t="shared" si="105"/>
        <v>44.451225000000001</v>
      </c>
      <c r="S493" s="64">
        <f t="shared" si="106"/>
        <v>146.25</v>
      </c>
      <c r="T493" s="66">
        <f t="shared" si="107"/>
        <v>2730.7712249999995</v>
      </c>
      <c r="U493" s="68">
        <f t="shared" si="108"/>
        <v>70.019774999999981</v>
      </c>
      <c r="V493" s="68">
        <f t="shared" si="109"/>
        <v>507.38967391304328</v>
      </c>
      <c r="W493" s="68">
        <f t="shared" si="110"/>
        <v>338.2597826086955</v>
      </c>
    </row>
    <row r="494" spans="1:23" x14ac:dyDescent="0.25">
      <c r="A494" s="169" t="s">
        <v>890</v>
      </c>
      <c r="B494" s="61" t="s">
        <v>397</v>
      </c>
      <c r="C494" s="61" t="s">
        <v>591</v>
      </c>
      <c r="D494" s="61" t="s">
        <v>595</v>
      </c>
      <c r="E494" s="1" t="s">
        <v>357</v>
      </c>
      <c r="F494" s="62" t="str">
        <f t="shared" si="99"/>
        <v>64505</v>
      </c>
      <c r="G494" s="1">
        <v>10620005</v>
      </c>
      <c r="H494" s="1" t="s">
        <v>387</v>
      </c>
      <c r="I494" s="61">
        <v>24</v>
      </c>
      <c r="J494" s="61">
        <v>8</v>
      </c>
      <c r="K494" s="61">
        <v>9</v>
      </c>
      <c r="L494" s="69">
        <f t="shared" si="100"/>
        <v>1.92</v>
      </c>
      <c r="M494" s="69">
        <f t="shared" si="101"/>
        <v>2.16</v>
      </c>
      <c r="N494" s="56">
        <f>INDEX(Rate_Chart!$A$1:$AK$127,MATCH(Data!J494,Rate_Chart!$A$1:$A$127,0),MATCH(Data!K494,Rate_Chart!$A$1:$AK$1,0))</f>
        <v>66.8</v>
      </c>
      <c r="O494" s="57">
        <f t="shared" si="102"/>
        <v>1603.1999999999998</v>
      </c>
      <c r="P494" s="58">
        <f t="shared" si="103"/>
        <v>477.14285714285705</v>
      </c>
      <c r="Q494" s="58">
        <f t="shared" si="104"/>
        <v>318.09523809523802</v>
      </c>
      <c r="R494" s="66">
        <f t="shared" si="105"/>
        <v>28.056000000000001</v>
      </c>
      <c r="S494" s="64">
        <f t="shared" si="106"/>
        <v>90</v>
      </c>
      <c r="T494" s="66">
        <f t="shared" si="107"/>
        <v>1721.2559999999999</v>
      </c>
      <c r="U494" s="68">
        <f t="shared" si="108"/>
        <v>71.718999999999994</v>
      </c>
      <c r="V494" s="68">
        <f t="shared" si="109"/>
        <v>512.27857142857135</v>
      </c>
      <c r="W494" s="68">
        <f t="shared" si="110"/>
        <v>341.51904761904757</v>
      </c>
    </row>
    <row r="495" spans="1:23" x14ac:dyDescent="0.25">
      <c r="A495" s="169" t="s">
        <v>890</v>
      </c>
      <c r="B495" s="61" t="s">
        <v>397</v>
      </c>
      <c r="C495" s="61" t="s">
        <v>591</v>
      </c>
      <c r="D495" s="61" t="s">
        <v>595</v>
      </c>
      <c r="E495" s="1" t="s">
        <v>357</v>
      </c>
      <c r="F495" s="62" t="str">
        <f t="shared" si="99"/>
        <v>64505</v>
      </c>
      <c r="G495" s="1">
        <v>10620005</v>
      </c>
      <c r="H495" s="1" t="s">
        <v>388</v>
      </c>
      <c r="I495" s="61">
        <v>34</v>
      </c>
      <c r="J495" s="61">
        <v>4</v>
      </c>
      <c r="K495" s="61">
        <v>8.1999999999999993</v>
      </c>
      <c r="L495" s="69">
        <f t="shared" si="100"/>
        <v>1.36</v>
      </c>
      <c r="M495" s="69">
        <f t="shared" si="101"/>
        <v>2.7879999999999994</v>
      </c>
      <c r="N495" s="56">
        <f>INDEX(Rate_Chart!$A$1:$AK$127,MATCH(Data!J495,Rate_Chart!$A$1:$A$127,0),MATCH(Data!K495,Rate_Chart!$A$1:$AK$1,0))</f>
        <v>39.477139800000003</v>
      </c>
      <c r="O495" s="57">
        <f t="shared" si="102"/>
        <v>1342.2227532000002</v>
      </c>
      <c r="P495" s="58">
        <f t="shared" si="103"/>
        <v>417.0120401408451</v>
      </c>
      <c r="Q495" s="58">
        <f t="shared" si="104"/>
        <v>278.00802676056338</v>
      </c>
      <c r="R495" s="66">
        <f t="shared" si="105"/>
        <v>23.488898181000007</v>
      </c>
      <c r="S495" s="64">
        <f t="shared" si="106"/>
        <v>127.5</v>
      </c>
      <c r="T495" s="66">
        <f t="shared" si="107"/>
        <v>1493.2116513810001</v>
      </c>
      <c r="U495" s="68">
        <f t="shared" si="108"/>
        <v>43.917989746500005</v>
      </c>
      <c r="V495" s="68">
        <f t="shared" si="109"/>
        <v>463.92242689964797</v>
      </c>
      <c r="W495" s="68">
        <f t="shared" si="110"/>
        <v>309.28161793309863</v>
      </c>
    </row>
    <row r="496" spans="1:23" x14ac:dyDescent="0.25">
      <c r="A496" s="169" t="s">
        <v>891</v>
      </c>
      <c r="B496" s="61" t="s">
        <v>396</v>
      </c>
      <c r="C496" s="61" t="s">
        <v>591</v>
      </c>
      <c r="D496" s="61" t="s">
        <v>595</v>
      </c>
      <c r="E496" s="1" t="s">
        <v>357</v>
      </c>
      <c r="F496" s="62" t="str">
        <f t="shared" si="99"/>
        <v>64505</v>
      </c>
      <c r="G496" s="1">
        <v>10620005</v>
      </c>
      <c r="H496" s="1" t="s">
        <v>387</v>
      </c>
      <c r="I496" s="61">
        <v>39</v>
      </c>
      <c r="J496" s="61">
        <v>8</v>
      </c>
      <c r="K496" s="61">
        <v>9</v>
      </c>
      <c r="L496" s="69">
        <f t="shared" si="100"/>
        <v>3.12</v>
      </c>
      <c r="M496" s="69">
        <f t="shared" si="101"/>
        <v>3.51</v>
      </c>
      <c r="N496" s="56">
        <f>INDEX(Rate_Chart!$A$1:$AK$127,MATCH(Data!J496,Rate_Chart!$A$1:$A$127,0),MATCH(Data!K496,Rate_Chart!$A$1:$AK$1,0))</f>
        <v>66.8</v>
      </c>
      <c r="O496" s="57">
        <f t="shared" si="102"/>
        <v>2605.1999999999998</v>
      </c>
      <c r="P496" s="58">
        <f t="shared" si="103"/>
        <v>477.14285714285705</v>
      </c>
      <c r="Q496" s="58">
        <f t="shared" si="104"/>
        <v>318.09523809523802</v>
      </c>
      <c r="R496" s="66">
        <f t="shared" si="105"/>
        <v>45.591000000000001</v>
      </c>
      <c r="S496" s="64">
        <f t="shared" si="106"/>
        <v>146.25</v>
      </c>
      <c r="T496" s="66">
        <f t="shared" si="107"/>
        <v>2797.0409999999997</v>
      </c>
      <c r="U496" s="68">
        <f t="shared" si="108"/>
        <v>71.718999999999994</v>
      </c>
      <c r="V496" s="68">
        <f t="shared" si="109"/>
        <v>512.27857142857135</v>
      </c>
      <c r="W496" s="68">
        <f t="shared" si="110"/>
        <v>341.51904761904757</v>
      </c>
    </row>
    <row r="497" spans="1:23" x14ac:dyDescent="0.25">
      <c r="A497" s="169" t="s">
        <v>891</v>
      </c>
      <c r="B497" s="61" t="s">
        <v>397</v>
      </c>
      <c r="C497" s="61" t="s">
        <v>591</v>
      </c>
      <c r="D497" s="61" t="s">
        <v>595</v>
      </c>
      <c r="E497" s="1" t="s">
        <v>357</v>
      </c>
      <c r="F497" s="62" t="str">
        <f t="shared" si="99"/>
        <v>64505</v>
      </c>
      <c r="G497" s="1">
        <v>10620005</v>
      </c>
      <c r="H497" s="1" t="s">
        <v>387</v>
      </c>
      <c r="I497" s="61">
        <v>36</v>
      </c>
      <c r="J497" s="61">
        <v>7.9</v>
      </c>
      <c r="K497" s="61">
        <v>9</v>
      </c>
      <c r="L497" s="69">
        <f t="shared" si="100"/>
        <v>2.8440000000000003</v>
      </c>
      <c r="M497" s="69">
        <f t="shared" si="101"/>
        <v>3.24</v>
      </c>
      <c r="N497" s="56">
        <f>INDEX(Rate_Chart!$A$1:$AK$127,MATCH(Data!J497,Rate_Chart!$A$1:$A$127,0),MATCH(Data!K497,Rate_Chart!$A$1:$AK$1,0))</f>
        <v>65.965000000000003</v>
      </c>
      <c r="O497" s="57">
        <f t="shared" si="102"/>
        <v>2374.7400000000002</v>
      </c>
      <c r="P497" s="58">
        <f t="shared" si="103"/>
        <v>474.56834532374097</v>
      </c>
      <c r="Q497" s="58">
        <f t="shared" si="104"/>
        <v>316.37889688249396</v>
      </c>
      <c r="R497" s="66">
        <f t="shared" si="105"/>
        <v>41.557950000000005</v>
      </c>
      <c r="S497" s="64">
        <f t="shared" si="106"/>
        <v>135</v>
      </c>
      <c r="T497" s="66">
        <f t="shared" si="107"/>
        <v>2551.2979500000001</v>
      </c>
      <c r="U497" s="68">
        <f t="shared" si="108"/>
        <v>70.869387500000002</v>
      </c>
      <c r="V497" s="68">
        <f t="shared" si="109"/>
        <v>509.85170863309349</v>
      </c>
      <c r="W497" s="68">
        <f t="shared" si="110"/>
        <v>339.901139088729</v>
      </c>
    </row>
    <row r="498" spans="1:23" x14ac:dyDescent="0.25">
      <c r="A498" s="169" t="s">
        <v>891</v>
      </c>
      <c r="B498" s="61" t="s">
        <v>397</v>
      </c>
      <c r="C498" s="61" t="s">
        <v>591</v>
      </c>
      <c r="D498" s="61" t="s">
        <v>595</v>
      </c>
      <c r="E498" s="1" t="s">
        <v>357</v>
      </c>
      <c r="F498" s="62" t="str">
        <f t="shared" si="99"/>
        <v>64505</v>
      </c>
      <c r="G498" s="1">
        <v>10620005</v>
      </c>
      <c r="H498" s="1" t="s">
        <v>388</v>
      </c>
      <c r="I498" s="61">
        <v>26</v>
      </c>
      <c r="J498" s="61">
        <v>3.2</v>
      </c>
      <c r="K498" s="61">
        <v>8.1</v>
      </c>
      <c r="L498" s="69">
        <f t="shared" si="100"/>
        <v>0.83200000000000007</v>
      </c>
      <c r="M498" s="69">
        <f t="shared" si="101"/>
        <v>2.1059999999999999</v>
      </c>
      <c r="N498" s="56">
        <f>INDEX(Rate_Chart!$A$1:$AK$127,MATCH(Data!J498,Rate_Chart!$A$1:$A$127,0),MATCH(Data!K498,Rate_Chart!$A$1:$AK$1,0))</f>
        <v>35.8631259</v>
      </c>
      <c r="O498" s="57">
        <f t="shared" si="102"/>
        <v>932.4412734</v>
      </c>
      <c r="P498" s="58">
        <f t="shared" si="103"/>
        <v>417.01309186046512</v>
      </c>
      <c r="Q498" s="58">
        <f t="shared" si="104"/>
        <v>278.00872790697673</v>
      </c>
      <c r="R498" s="66">
        <f t="shared" si="105"/>
        <v>16.3177222845</v>
      </c>
      <c r="S498" s="64">
        <f t="shared" si="106"/>
        <v>97.5</v>
      </c>
      <c r="T498" s="66">
        <f t="shared" si="107"/>
        <v>1046.2589956845</v>
      </c>
      <c r="U498" s="68">
        <f t="shared" si="108"/>
        <v>40.24073060325</v>
      </c>
      <c r="V498" s="68">
        <f t="shared" si="109"/>
        <v>467.91547213081401</v>
      </c>
      <c r="W498" s="68">
        <f t="shared" si="110"/>
        <v>311.94364808720934</v>
      </c>
    </row>
    <row r="499" spans="1:23" x14ac:dyDescent="0.25">
      <c r="A499" s="169" t="s">
        <v>892</v>
      </c>
      <c r="B499" s="61" t="s">
        <v>396</v>
      </c>
      <c r="C499" s="61" t="s">
        <v>591</v>
      </c>
      <c r="D499" s="61" t="s">
        <v>595</v>
      </c>
      <c r="E499" s="1" t="s">
        <v>357</v>
      </c>
      <c r="F499" s="62" t="str">
        <f t="shared" si="99"/>
        <v>64505</v>
      </c>
      <c r="G499" s="1">
        <v>10620005</v>
      </c>
      <c r="H499" s="1" t="s">
        <v>387</v>
      </c>
      <c r="I499" s="61">
        <v>32</v>
      </c>
      <c r="J499" s="61">
        <v>8.4</v>
      </c>
      <c r="K499" s="61">
        <v>9</v>
      </c>
      <c r="L499" s="69">
        <f t="shared" si="100"/>
        <v>2.6880000000000002</v>
      </c>
      <c r="M499" s="69">
        <f t="shared" si="101"/>
        <v>2.88</v>
      </c>
      <c r="N499" s="56">
        <f>INDEX(Rate_Chart!$A$1:$AK$127,MATCH(Data!J499,Rate_Chart!$A$1:$A$127,0),MATCH(Data!K499,Rate_Chart!$A$1:$AK$1,0))</f>
        <v>70.14</v>
      </c>
      <c r="O499" s="57">
        <f t="shared" si="102"/>
        <v>2244.48</v>
      </c>
      <c r="P499" s="58">
        <f t="shared" si="103"/>
        <v>487.08333333333326</v>
      </c>
      <c r="Q499" s="58">
        <f t="shared" si="104"/>
        <v>324.72222222222217</v>
      </c>
      <c r="R499" s="66">
        <f t="shared" si="105"/>
        <v>39.278400000000005</v>
      </c>
      <c r="S499" s="64">
        <f t="shared" si="106"/>
        <v>120</v>
      </c>
      <c r="T499" s="66">
        <f t="shared" si="107"/>
        <v>2403.7584000000002</v>
      </c>
      <c r="U499" s="68">
        <f t="shared" si="108"/>
        <v>75.117450000000005</v>
      </c>
      <c r="V499" s="68">
        <f t="shared" si="109"/>
        <v>521.64895833333333</v>
      </c>
      <c r="W499" s="68">
        <f t="shared" si="110"/>
        <v>347.76597222222222</v>
      </c>
    </row>
    <row r="500" spans="1:23" x14ac:dyDescent="0.25">
      <c r="A500" s="169" t="s">
        <v>892</v>
      </c>
      <c r="B500" s="61" t="s">
        <v>397</v>
      </c>
      <c r="C500" s="61" t="s">
        <v>591</v>
      </c>
      <c r="D500" s="61" t="s">
        <v>595</v>
      </c>
      <c r="E500" s="1" t="s">
        <v>357</v>
      </c>
      <c r="F500" s="62" t="str">
        <f t="shared" si="99"/>
        <v>64505</v>
      </c>
      <c r="G500" s="1">
        <v>10620005</v>
      </c>
      <c r="H500" s="1" t="s">
        <v>387</v>
      </c>
      <c r="I500" s="61">
        <v>28</v>
      </c>
      <c r="J500" s="61">
        <v>8</v>
      </c>
      <c r="K500" s="61">
        <v>9</v>
      </c>
      <c r="L500" s="69">
        <f t="shared" si="100"/>
        <v>2.2400000000000002</v>
      </c>
      <c r="M500" s="69">
        <f t="shared" si="101"/>
        <v>2.52</v>
      </c>
      <c r="N500" s="56">
        <f>INDEX(Rate_Chart!$A$1:$AK$127,MATCH(Data!J500,Rate_Chart!$A$1:$A$127,0),MATCH(Data!K500,Rate_Chart!$A$1:$AK$1,0))</f>
        <v>66.8</v>
      </c>
      <c r="O500" s="57">
        <f t="shared" si="102"/>
        <v>1870.3999999999999</v>
      </c>
      <c r="P500" s="58">
        <f t="shared" si="103"/>
        <v>477.14285714285705</v>
      </c>
      <c r="Q500" s="58">
        <f t="shared" si="104"/>
        <v>318.09523809523802</v>
      </c>
      <c r="R500" s="66">
        <f t="shared" si="105"/>
        <v>32.731999999999999</v>
      </c>
      <c r="S500" s="64">
        <f t="shared" si="106"/>
        <v>105</v>
      </c>
      <c r="T500" s="66">
        <f t="shared" si="107"/>
        <v>2008.1319999999998</v>
      </c>
      <c r="U500" s="68">
        <f t="shared" si="108"/>
        <v>71.718999999999994</v>
      </c>
      <c r="V500" s="68">
        <f t="shared" si="109"/>
        <v>512.27857142857135</v>
      </c>
      <c r="W500" s="68">
        <f t="shared" si="110"/>
        <v>341.51904761904757</v>
      </c>
    </row>
    <row r="501" spans="1:23" x14ac:dyDescent="0.25">
      <c r="A501" s="169" t="s">
        <v>892</v>
      </c>
      <c r="B501" s="61" t="s">
        <v>397</v>
      </c>
      <c r="C501" s="61" t="s">
        <v>591</v>
      </c>
      <c r="D501" s="61" t="s">
        <v>595</v>
      </c>
      <c r="E501" s="1" t="s">
        <v>357</v>
      </c>
      <c r="F501" s="62" t="str">
        <f t="shared" si="99"/>
        <v>64505</v>
      </c>
      <c r="G501" s="1">
        <v>10620005</v>
      </c>
      <c r="H501" s="1" t="s">
        <v>388</v>
      </c>
      <c r="I501" s="61">
        <v>29</v>
      </c>
      <c r="J501" s="61">
        <v>4</v>
      </c>
      <c r="K501" s="61">
        <v>8.1</v>
      </c>
      <c r="L501" s="69">
        <f t="shared" si="100"/>
        <v>1.1599999999999999</v>
      </c>
      <c r="M501" s="69">
        <f t="shared" si="101"/>
        <v>2.3489999999999998</v>
      </c>
      <c r="N501" s="56">
        <f>INDEX(Rate_Chart!$A$1:$AK$127,MATCH(Data!J501,Rate_Chart!$A$1:$A$127,0),MATCH(Data!K501,Rate_Chart!$A$1:$AK$1,0))</f>
        <v>39.199125899999999</v>
      </c>
      <c r="O501" s="57">
        <f t="shared" si="102"/>
        <v>1136.7746511</v>
      </c>
      <c r="P501" s="58">
        <f t="shared" si="103"/>
        <v>417.01197765957443</v>
      </c>
      <c r="Q501" s="58">
        <f t="shared" si="104"/>
        <v>278.00798510638293</v>
      </c>
      <c r="R501" s="66">
        <f t="shared" si="105"/>
        <v>19.893556394250002</v>
      </c>
      <c r="S501" s="64">
        <f t="shared" si="106"/>
        <v>108.75</v>
      </c>
      <c r="T501" s="66">
        <f t="shared" si="107"/>
        <v>1265.4182074942501</v>
      </c>
      <c r="U501" s="68">
        <f t="shared" si="108"/>
        <v>43.635110603249998</v>
      </c>
      <c r="V501" s="68">
        <f t="shared" si="109"/>
        <v>464.20330428989359</v>
      </c>
      <c r="W501" s="68">
        <f t="shared" si="110"/>
        <v>309.46886952659571</v>
      </c>
    </row>
    <row r="502" spans="1:23" x14ac:dyDescent="0.25">
      <c r="A502" s="169" t="s">
        <v>893</v>
      </c>
      <c r="B502" s="61" t="s">
        <v>396</v>
      </c>
      <c r="C502" s="61" t="s">
        <v>591</v>
      </c>
      <c r="D502" s="61" t="s">
        <v>595</v>
      </c>
      <c r="E502" s="1" t="s">
        <v>357</v>
      </c>
      <c r="F502" s="62" t="str">
        <f t="shared" si="99"/>
        <v>64505</v>
      </c>
      <c r="G502" s="1">
        <v>10620005</v>
      </c>
      <c r="H502" s="1" t="s">
        <v>387</v>
      </c>
      <c r="I502" s="61">
        <v>31</v>
      </c>
      <c r="J502" s="61">
        <v>8.4</v>
      </c>
      <c r="K502" s="61">
        <v>9</v>
      </c>
      <c r="L502" s="69">
        <f t="shared" si="100"/>
        <v>2.6040000000000005</v>
      </c>
      <c r="M502" s="69">
        <f t="shared" si="101"/>
        <v>2.79</v>
      </c>
      <c r="N502" s="56">
        <f>INDEX(Rate_Chart!$A$1:$AK$127,MATCH(Data!J502,Rate_Chart!$A$1:$A$127,0),MATCH(Data!K502,Rate_Chart!$A$1:$AK$1,0))</f>
        <v>70.14</v>
      </c>
      <c r="O502" s="57">
        <f t="shared" si="102"/>
        <v>2174.34</v>
      </c>
      <c r="P502" s="58">
        <f t="shared" si="103"/>
        <v>487.08333333333326</v>
      </c>
      <c r="Q502" s="58">
        <f t="shared" si="104"/>
        <v>324.72222222222217</v>
      </c>
      <c r="R502" s="66">
        <f t="shared" si="105"/>
        <v>38.050950000000007</v>
      </c>
      <c r="S502" s="64">
        <f t="shared" si="106"/>
        <v>116.25</v>
      </c>
      <c r="T502" s="66">
        <f t="shared" si="107"/>
        <v>2328.64095</v>
      </c>
      <c r="U502" s="68">
        <f t="shared" si="108"/>
        <v>75.117450000000005</v>
      </c>
      <c r="V502" s="68">
        <f t="shared" si="109"/>
        <v>521.64895833333333</v>
      </c>
      <c r="W502" s="68">
        <f t="shared" si="110"/>
        <v>347.76597222222222</v>
      </c>
    </row>
    <row r="503" spans="1:23" x14ac:dyDescent="0.25">
      <c r="A503" s="169" t="s">
        <v>893</v>
      </c>
      <c r="B503" s="61" t="s">
        <v>397</v>
      </c>
      <c r="C503" s="61" t="s">
        <v>591</v>
      </c>
      <c r="D503" s="61" t="s">
        <v>595</v>
      </c>
      <c r="E503" s="1" t="s">
        <v>357</v>
      </c>
      <c r="F503" s="62" t="str">
        <f t="shared" si="99"/>
        <v>64505</v>
      </c>
      <c r="G503" s="1">
        <v>10620005</v>
      </c>
      <c r="H503" s="1" t="s">
        <v>387</v>
      </c>
      <c r="I503" s="61">
        <v>38</v>
      </c>
      <c r="J503" s="61">
        <v>7.7</v>
      </c>
      <c r="K503" s="61">
        <v>8.8000000000000007</v>
      </c>
      <c r="L503" s="69">
        <f t="shared" si="100"/>
        <v>2.9260000000000002</v>
      </c>
      <c r="M503" s="69">
        <f t="shared" si="101"/>
        <v>3.3440000000000003</v>
      </c>
      <c r="N503" s="56">
        <f>INDEX(Rate_Chart!$A$1:$AK$127,MATCH(Data!J503,Rate_Chart!$A$1:$A$127,0),MATCH(Data!K503,Rate_Chart!$A$1:$AK$1,0))</f>
        <v>63.652050000000003</v>
      </c>
      <c r="O503" s="57">
        <f t="shared" si="102"/>
        <v>2418.7779</v>
      </c>
      <c r="P503" s="58">
        <f t="shared" si="103"/>
        <v>469.17972972972979</v>
      </c>
      <c r="Q503" s="58">
        <f t="shared" si="104"/>
        <v>312.78648648648652</v>
      </c>
      <c r="R503" s="66">
        <f t="shared" si="105"/>
        <v>42.328613250000004</v>
      </c>
      <c r="S503" s="64">
        <f t="shared" si="106"/>
        <v>142.5</v>
      </c>
      <c r="T503" s="66">
        <f t="shared" si="107"/>
        <v>2603.6065132499998</v>
      </c>
      <c r="U503" s="68">
        <f t="shared" si="108"/>
        <v>68.51596087499999</v>
      </c>
      <c r="V503" s="68">
        <f t="shared" si="109"/>
        <v>505.03165264127762</v>
      </c>
      <c r="W503" s="68">
        <f t="shared" si="110"/>
        <v>336.68776842751839</v>
      </c>
    </row>
    <row r="504" spans="1:23" x14ac:dyDescent="0.25">
      <c r="A504" s="169" t="s">
        <v>893</v>
      </c>
      <c r="B504" s="61" t="s">
        <v>397</v>
      </c>
      <c r="C504" s="61" t="s">
        <v>591</v>
      </c>
      <c r="D504" s="61" t="s">
        <v>595</v>
      </c>
      <c r="E504" s="1" t="s">
        <v>357</v>
      </c>
      <c r="F504" s="62" t="str">
        <f t="shared" si="99"/>
        <v>64505</v>
      </c>
      <c r="G504" s="1">
        <v>10620005</v>
      </c>
      <c r="H504" s="1" t="s">
        <v>388</v>
      </c>
      <c r="I504" s="61">
        <v>31</v>
      </c>
      <c r="J504" s="61">
        <v>3.6</v>
      </c>
      <c r="K504" s="61">
        <v>8.1999999999999993</v>
      </c>
      <c r="L504" s="69">
        <f t="shared" si="100"/>
        <v>1.1160000000000001</v>
      </c>
      <c r="M504" s="69">
        <f t="shared" si="101"/>
        <v>2.5419999999999998</v>
      </c>
      <c r="N504" s="56">
        <f>INDEX(Rate_Chart!$A$1:$AK$127,MATCH(Data!J504,Rate_Chart!$A$1:$A$127,0),MATCH(Data!K504,Rate_Chart!$A$1:$AK$1,0))</f>
        <v>37.809139800000004</v>
      </c>
      <c r="O504" s="57">
        <f t="shared" si="102"/>
        <v>1172.0833338000002</v>
      </c>
      <c r="P504" s="58">
        <f t="shared" si="103"/>
        <v>417.01257132352941</v>
      </c>
      <c r="Q504" s="58">
        <f t="shared" si="104"/>
        <v>278.00838088235292</v>
      </c>
      <c r="R504" s="66">
        <f t="shared" si="105"/>
        <v>20.511458341500006</v>
      </c>
      <c r="S504" s="64">
        <f t="shared" si="106"/>
        <v>116.25</v>
      </c>
      <c r="T504" s="66">
        <f t="shared" si="107"/>
        <v>1308.8447921415002</v>
      </c>
      <c r="U504" s="68">
        <f t="shared" si="108"/>
        <v>42.220799746500006</v>
      </c>
      <c r="V504" s="68">
        <f t="shared" si="109"/>
        <v>465.67058543933825</v>
      </c>
      <c r="W504" s="68">
        <f t="shared" si="110"/>
        <v>310.44705695955884</v>
      </c>
    </row>
    <row r="505" spans="1:23" x14ac:dyDescent="0.25">
      <c r="A505" s="169" t="s">
        <v>894</v>
      </c>
      <c r="B505" s="61" t="s">
        <v>396</v>
      </c>
      <c r="C505" s="61" t="s">
        <v>591</v>
      </c>
      <c r="D505" s="61" t="s">
        <v>595</v>
      </c>
      <c r="E505" s="1" t="s">
        <v>357</v>
      </c>
      <c r="F505" s="62" t="str">
        <f t="shared" si="99"/>
        <v>64505</v>
      </c>
      <c r="G505" s="1">
        <v>10620005</v>
      </c>
      <c r="H505" s="1" t="s">
        <v>387</v>
      </c>
      <c r="I505" s="61">
        <v>31</v>
      </c>
      <c r="J505" s="61">
        <v>8.4</v>
      </c>
      <c r="K505" s="61">
        <v>9</v>
      </c>
      <c r="L505" s="69">
        <f t="shared" si="100"/>
        <v>2.6040000000000005</v>
      </c>
      <c r="M505" s="69">
        <f t="shared" si="101"/>
        <v>2.79</v>
      </c>
      <c r="N505" s="56">
        <f>INDEX(Rate_Chart!$A$1:$AK$127,MATCH(Data!J505,Rate_Chart!$A$1:$A$127,0),MATCH(Data!K505,Rate_Chart!$A$1:$AK$1,0))</f>
        <v>70.14</v>
      </c>
      <c r="O505" s="57">
        <f t="shared" si="102"/>
        <v>2174.34</v>
      </c>
      <c r="P505" s="58">
        <f t="shared" si="103"/>
        <v>487.08333333333326</v>
      </c>
      <c r="Q505" s="58">
        <f t="shared" si="104"/>
        <v>324.72222222222217</v>
      </c>
      <c r="R505" s="66">
        <f t="shared" si="105"/>
        <v>38.050950000000007</v>
      </c>
      <c r="S505" s="64">
        <f t="shared" si="106"/>
        <v>116.25</v>
      </c>
      <c r="T505" s="66">
        <f t="shared" si="107"/>
        <v>2328.64095</v>
      </c>
      <c r="U505" s="68">
        <f t="shared" si="108"/>
        <v>75.117450000000005</v>
      </c>
      <c r="V505" s="68">
        <f t="shared" si="109"/>
        <v>521.64895833333333</v>
      </c>
      <c r="W505" s="68">
        <f t="shared" si="110"/>
        <v>347.76597222222222</v>
      </c>
    </row>
    <row r="506" spans="1:23" x14ac:dyDescent="0.25">
      <c r="A506" s="169" t="s">
        <v>894</v>
      </c>
      <c r="B506" s="61" t="s">
        <v>397</v>
      </c>
      <c r="C506" s="61" t="s">
        <v>591</v>
      </c>
      <c r="D506" s="61" t="s">
        <v>595</v>
      </c>
      <c r="E506" s="1" t="s">
        <v>357</v>
      </c>
      <c r="F506" s="62" t="str">
        <f t="shared" si="99"/>
        <v>64505</v>
      </c>
      <c r="G506" s="1">
        <v>10620005</v>
      </c>
      <c r="H506" s="1" t="s">
        <v>387</v>
      </c>
      <c r="I506" s="61">
        <v>25</v>
      </c>
      <c r="J506" s="61">
        <v>8.3000000000000007</v>
      </c>
      <c r="K506" s="61">
        <v>9</v>
      </c>
      <c r="L506" s="69">
        <f t="shared" si="100"/>
        <v>2.0750000000000002</v>
      </c>
      <c r="M506" s="69">
        <f t="shared" si="101"/>
        <v>2.25</v>
      </c>
      <c r="N506" s="56">
        <f>INDEX(Rate_Chart!$A$1:$AK$127,MATCH(Data!J506,Rate_Chart!$A$1:$A$127,0),MATCH(Data!K506,Rate_Chart!$A$1:$AK$1,0))</f>
        <v>69.305000000000007</v>
      </c>
      <c r="O506" s="57">
        <f t="shared" si="102"/>
        <v>1732.6250000000002</v>
      </c>
      <c r="P506" s="58">
        <f t="shared" si="103"/>
        <v>484.65034965034965</v>
      </c>
      <c r="Q506" s="58">
        <f t="shared" si="104"/>
        <v>323.10023310023308</v>
      </c>
      <c r="R506" s="66">
        <f t="shared" si="105"/>
        <v>30.320937500000007</v>
      </c>
      <c r="S506" s="64">
        <f t="shared" si="106"/>
        <v>93.75</v>
      </c>
      <c r="T506" s="66">
        <f t="shared" si="107"/>
        <v>1856.6959375000001</v>
      </c>
      <c r="U506" s="68">
        <f t="shared" si="108"/>
        <v>74.267837499999999</v>
      </c>
      <c r="V506" s="68">
        <f t="shared" si="109"/>
        <v>519.35550699300688</v>
      </c>
      <c r="W506" s="68">
        <f t="shared" si="110"/>
        <v>346.23700466200461</v>
      </c>
    </row>
    <row r="507" spans="1:23" x14ac:dyDescent="0.25">
      <c r="A507" s="169" t="s">
        <v>894</v>
      </c>
      <c r="B507" s="61" t="s">
        <v>397</v>
      </c>
      <c r="C507" s="61" t="s">
        <v>591</v>
      </c>
      <c r="D507" s="61" t="s">
        <v>595</v>
      </c>
      <c r="E507" s="1" t="s">
        <v>357</v>
      </c>
      <c r="F507" s="62" t="str">
        <f t="shared" si="99"/>
        <v>64505</v>
      </c>
      <c r="G507" s="1">
        <v>10620005</v>
      </c>
      <c r="H507" s="1" t="s">
        <v>388</v>
      </c>
      <c r="I507" s="61">
        <v>31</v>
      </c>
      <c r="J507" s="61">
        <v>4</v>
      </c>
      <c r="K507" s="61">
        <v>8.1999999999999993</v>
      </c>
      <c r="L507" s="69">
        <f t="shared" si="100"/>
        <v>1.24</v>
      </c>
      <c r="M507" s="69">
        <f t="shared" si="101"/>
        <v>2.5419999999999998</v>
      </c>
      <c r="N507" s="56">
        <f>INDEX(Rate_Chart!$A$1:$AK$127,MATCH(Data!J507,Rate_Chart!$A$1:$A$127,0),MATCH(Data!K507,Rate_Chart!$A$1:$AK$1,0))</f>
        <v>39.477139800000003</v>
      </c>
      <c r="O507" s="57">
        <f t="shared" si="102"/>
        <v>1223.7913338000001</v>
      </c>
      <c r="P507" s="58">
        <f t="shared" si="103"/>
        <v>417.0120401408451</v>
      </c>
      <c r="Q507" s="58">
        <f t="shared" si="104"/>
        <v>278.00802676056338</v>
      </c>
      <c r="R507" s="66">
        <f t="shared" si="105"/>
        <v>21.416348341500004</v>
      </c>
      <c r="S507" s="64">
        <f t="shared" si="106"/>
        <v>116.25</v>
      </c>
      <c r="T507" s="66">
        <f t="shared" si="107"/>
        <v>1361.4576821415001</v>
      </c>
      <c r="U507" s="68">
        <f t="shared" si="108"/>
        <v>43.917989746500005</v>
      </c>
      <c r="V507" s="68">
        <f t="shared" si="109"/>
        <v>463.92242689964797</v>
      </c>
      <c r="W507" s="68">
        <f t="shared" si="110"/>
        <v>309.28161793309863</v>
      </c>
    </row>
    <row r="508" spans="1:23" x14ac:dyDescent="0.25">
      <c r="A508" s="169" t="s">
        <v>888</v>
      </c>
      <c r="B508" s="61" t="s">
        <v>396</v>
      </c>
      <c r="C508" s="61" t="s">
        <v>591</v>
      </c>
      <c r="D508" s="61" t="s">
        <v>593</v>
      </c>
      <c r="E508" s="1" t="s">
        <v>358</v>
      </c>
      <c r="F508" s="62" t="str">
        <f t="shared" si="99"/>
        <v>64506</v>
      </c>
      <c r="G508" s="1">
        <v>10620037</v>
      </c>
      <c r="H508" s="1" t="s">
        <v>387</v>
      </c>
      <c r="I508" s="61">
        <v>60</v>
      </c>
      <c r="J508" s="61">
        <v>6.2</v>
      </c>
      <c r="K508" s="61">
        <v>8.8000000000000007</v>
      </c>
      <c r="L508" s="69">
        <f t="shared" si="100"/>
        <v>3.72</v>
      </c>
      <c r="M508" s="69">
        <f t="shared" si="101"/>
        <v>5.28</v>
      </c>
      <c r="N508" s="56">
        <f>INDEX(Rate_Chart!$A$1:$AK$127,MATCH(Data!J508,Rate_Chart!$A$1:$A$127,0),MATCH(Data!K508,Rate_Chart!$A$1:$AK$1,0))</f>
        <v>51.252300000000005</v>
      </c>
      <c r="O508" s="57">
        <f t="shared" si="102"/>
        <v>3075.1380000000004</v>
      </c>
      <c r="P508" s="58">
        <f t="shared" si="103"/>
        <v>424.74281767955802</v>
      </c>
      <c r="Q508" s="58">
        <f t="shared" si="104"/>
        <v>283.1618784530387</v>
      </c>
      <c r="R508" s="66">
        <f t="shared" si="105"/>
        <v>53.814915000000013</v>
      </c>
      <c r="S508" s="64">
        <f t="shared" si="106"/>
        <v>225</v>
      </c>
      <c r="T508" s="66">
        <f t="shared" si="107"/>
        <v>3353.9529150000003</v>
      </c>
      <c r="U508" s="68">
        <f t="shared" si="108"/>
        <v>55.899215250000005</v>
      </c>
      <c r="V508" s="68">
        <f t="shared" si="109"/>
        <v>463.25316505524864</v>
      </c>
      <c r="W508" s="68">
        <f t="shared" si="110"/>
        <v>308.83544337016576</v>
      </c>
    </row>
    <row r="509" spans="1:23" x14ac:dyDescent="0.25">
      <c r="A509" s="169" t="s">
        <v>888</v>
      </c>
      <c r="B509" s="61" t="s">
        <v>396</v>
      </c>
      <c r="C509" s="61" t="s">
        <v>591</v>
      </c>
      <c r="D509" s="61" t="s">
        <v>593</v>
      </c>
      <c r="E509" s="1" t="s">
        <v>358</v>
      </c>
      <c r="F509" s="62" t="str">
        <f t="shared" si="99"/>
        <v>64506</v>
      </c>
      <c r="G509" s="1">
        <v>10620037</v>
      </c>
      <c r="H509" s="1" t="s">
        <v>388</v>
      </c>
      <c r="I509" s="61">
        <v>59</v>
      </c>
      <c r="J509" s="61">
        <v>3.5</v>
      </c>
      <c r="K509" s="61">
        <v>8.1999999999999993</v>
      </c>
      <c r="L509" s="69">
        <f t="shared" si="100"/>
        <v>2.0649999999999999</v>
      </c>
      <c r="M509" s="69">
        <f t="shared" si="101"/>
        <v>4.8379999999999992</v>
      </c>
      <c r="N509" s="56">
        <f>INDEX(Rate_Chart!$A$1:$AK$127,MATCH(Data!J509,Rate_Chart!$A$1:$A$127,0),MATCH(Data!K509,Rate_Chart!$A$1:$AK$1,0))</f>
        <v>37.392139800000002</v>
      </c>
      <c r="O509" s="57">
        <f t="shared" si="102"/>
        <v>2206.1362482</v>
      </c>
      <c r="P509" s="58">
        <f t="shared" si="103"/>
        <v>417.01271152416359</v>
      </c>
      <c r="Q509" s="58">
        <f t="shared" si="104"/>
        <v>278.00847434944239</v>
      </c>
      <c r="R509" s="66">
        <f t="shared" si="105"/>
        <v>38.607384343500001</v>
      </c>
      <c r="S509" s="64">
        <f t="shared" si="106"/>
        <v>221.25</v>
      </c>
      <c r="T509" s="66">
        <f t="shared" si="107"/>
        <v>2465.9936325435001</v>
      </c>
      <c r="U509" s="68">
        <f t="shared" si="108"/>
        <v>41.796502246500005</v>
      </c>
      <c r="V509" s="68">
        <f t="shared" si="109"/>
        <v>466.13199531412641</v>
      </c>
      <c r="W509" s="68">
        <f t="shared" si="110"/>
        <v>310.75466354275096</v>
      </c>
    </row>
    <row r="510" spans="1:23" x14ac:dyDescent="0.25">
      <c r="A510" s="169" t="s">
        <v>888</v>
      </c>
      <c r="B510" s="61" t="s">
        <v>397</v>
      </c>
      <c r="C510" s="61" t="s">
        <v>591</v>
      </c>
      <c r="D510" s="61" t="s">
        <v>593</v>
      </c>
      <c r="E510" s="1" t="s">
        <v>358</v>
      </c>
      <c r="F510" s="62" t="str">
        <f t="shared" si="99"/>
        <v>64506</v>
      </c>
      <c r="G510" s="1">
        <v>10620037</v>
      </c>
      <c r="H510" s="1" t="s">
        <v>387</v>
      </c>
      <c r="I510" s="61">
        <v>73</v>
      </c>
      <c r="J510" s="61">
        <v>5.8</v>
      </c>
      <c r="K510" s="61">
        <v>8.8000000000000007</v>
      </c>
      <c r="L510" s="69">
        <f t="shared" si="100"/>
        <v>4.234</v>
      </c>
      <c r="M510" s="69">
        <f t="shared" si="101"/>
        <v>6.4240000000000013</v>
      </c>
      <c r="N510" s="56">
        <f>INDEX(Rate_Chart!$A$1:$AK$127,MATCH(Data!J510,Rate_Chart!$A$1:$A$127,0),MATCH(Data!K510,Rate_Chart!$A$1:$AK$1,0))</f>
        <v>47.945700000000002</v>
      </c>
      <c r="O510" s="57">
        <f t="shared" si="102"/>
        <v>3500.0361000000003</v>
      </c>
      <c r="P510" s="58">
        <f t="shared" si="103"/>
        <v>410.96314285714288</v>
      </c>
      <c r="Q510" s="58">
        <f t="shared" si="104"/>
        <v>273.97542857142861</v>
      </c>
      <c r="R510" s="66">
        <f t="shared" si="105"/>
        <v>61.250631750000011</v>
      </c>
      <c r="S510" s="64">
        <f t="shared" si="106"/>
        <v>273.75</v>
      </c>
      <c r="T510" s="66">
        <f t="shared" si="107"/>
        <v>3835.0367317500004</v>
      </c>
      <c r="U510" s="68">
        <f t="shared" si="108"/>
        <v>52.534749750000003</v>
      </c>
      <c r="V510" s="68">
        <f t="shared" si="109"/>
        <v>450.29785500000003</v>
      </c>
      <c r="W510" s="68">
        <f t="shared" si="110"/>
        <v>300.19857000000002</v>
      </c>
    </row>
    <row r="511" spans="1:23" x14ac:dyDescent="0.25">
      <c r="A511" s="169" t="s">
        <v>888</v>
      </c>
      <c r="B511" s="61" t="s">
        <v>397</v>
      </c>
      <c r="C511" s="61" t="s">
        <v>591</v>
      </c>
      <c r="D511" s="61" t="s">
        <v>593</v>
      </c>
      <c r="E511" s="1" t="s">
        <v>358</v>
      </c>
      <c r="F511" s="62" t="str">
        <f t="shared" si="99"/>
        <v>64506</v>
      </c>
      <c r="G511" s="1">
        <v>10620037</v>
      </c>
      <c r="H511" s="1" t="s">
        <v>388</v>
      </c>
      <c r="I511" s="61">
        <v>41</v>
      </c>
      <c r="J511" s="61">
        <v>3.3</v>
      </c>
      <c r="K511" s="61">
        <v>8</v>
      </c>
      <c r="L511" s="69">
        <f t="shared" si="100"/>
        <v>1.3529999999999998</v>
      </c>
      <c r="M511" s="69">
        <f t="shared" si="101"/>
        <v>3.28</v>
      </c>
      <c r="N511" s="56">
        <f>INDEX(Rate_Chart!$A$1:$AK$127,MATCH(Data!J511,Rate_Chart!$A$1:$A$127,0),MATCH(Data!K511,Rate_Chart!$A$1:$AK$1,0))</f>
        <v>36.002112000000004</v>
      </c>
      <c r="O511" s="57">
        <f t="shared" si="102"/>
        <v>1476.0865920000001</v>
      </c>
      <c r="P511" s="58">
        <f t="shared" si="103"/>
        <v>417.01288030888031</v>
      </c>
      <c r="Q511" s="58">
        <f t="shared" si="104"/>
        <v>278.00858687258687</v>
      </c>
      <c r="R511" s="66">
        <f t="shared" si="105"/>
        <v>25.831515360000004</v>
      </c>
      <c r="S511" s="64">
        <f t="shared" si="106"/>
        <v>153.75</v>
      </c>
      <c r="T511" s="66">
        <f t="shared" si="107"/>
        <v>1655.66810736</v>
      </c>
      <c r="U511" s="68">
        <f t="shared" si="108"/>
        <v>40.382148960000002</v>
      </c>
      <c r="V511" s="68">
        <f t="shared" si="109"/>
        <v>467.74689915057911</v>
      </c>
      <c r="W511" s="68">
        <f t="shared" si="110"/>
        <v>311.83126610038607</v>
      </c>
    </row>
    <row r="512" spans="1:23" x14ac:dyDescent="0.25">
      <c r="A512" s="169" t="s">
        <v>889</v>
      </c>
      <c r="B512" s="61" t="s">
        <v>396</v>
      </c>
      <c r="C512" s="61" t="s">
        <v>591</v>
      </c>
      <c r="D512" s="61" t="s">
        <v>593</v>
      </c>
      <c r="E512" s="1" t="s">
        <v>358</v>
      </c>
      <c r="F512" s="62" t="str">
        <f t="shared" si="99"/>
        <v>64506</v>
      </c>
      <c r="G512" s="1">
        <v>10620037</v>
      </c>
      <c r="H512" s="1" t="s">
        <v>387</v>
      </c>
      <c r="I512" s="61">
        <v>72</v>
      </c>
      <c r="J512" s="61">
        <v>6</v>
      </c>
      <c r="K512" s="61">
        <v>8.8000000000000007</v>
      </c>
      <c r="L512" s="69">
        <f t="shared" si="100"/>
        <v>4.32</v>
      </c>
      <c r="M512" s="69">
        <f t="shared" si="101"/>
        <v>6.3360000000000003</v>
      </c>
      <c r="N512" s="56">
        <f>INDEX(Rate_Chart!$A$1:$AK$127,MATCH(Data!J512,Rate_Chart!$A$1:$A$127,0),MATCH(Data!K512,Rate_Chart!$A$1:$AK$1,0))</f>
        <v>49.599000000000004</v>
      </c>
      <c r="O512" s="57">
        <f t="shared" si="102"/>
        <v>3571.1280000000002</v>
      </c>
      <c r="P512" s="58">
        <f t="shared" si="103"/>
        <v>417.96910112359552</v>
      </c>
      <c r="Q512" s="58">
        <f t="shared" si="104"/>
        <v>278.64606741573033</v>
      </c>
      <c r="R512" s="66">
        <f t="shared" si="105"/>
        <v>62.494740000000007</v>
      </c>
      <c r="S512" s="64">
        <f t="shared" si="106"/>
        <v>270</v>
      </c>
      <c r="T512" s="66">
        <f t="shared" si="107"/>
        <v>3903.6227400000002</v>
      </c>
      <c r="U512" s="68">
        <f t="shared" si="108"/>
        <v>54.2169825</v>
      </c>
      <c r="V512" s="68">
        <f t="shared" si="109"/>
        <v>456.88468398876404</v>
      </c>
      <c r="W512" s="68">
        <f t="shared" si="110"/>
        <v>304.58978932584267</v>
      </c>
    </row>
    <row r="513" spans="1:23" x14ac:dyDescent="0.25">
      <c r="A513" s="169" t="s">
        <v>889</v>
      </c>
      <c r="B513" s="61" t="s">
        <v>396</v>
      </c>
      <c r="C513" s="61" t="s">
        <v>591</v>
      </c>
      <c r="D513" s="61" t="s">
        <v>593</v>
      </c>
      <c r="E513" s="1" t="s">
        <v>358</v>
      </c>
      <c r="F513" s="62" t="str">
        <f t="shared" si="99"/>
        <v>64506</v>
      </c>
      <c r="G513" s="1">
        <v>10620037</v>
      </c>
      <c r="H513" s="1" t="s">
        <v>388</v>
      </c>
      <c r="I513" s="61">
        <v>48</v>
      </c>
      <c r="J513" s="61">
        <v>4</v>
      </c>
      <c r="K513" s="61">
        <v>8.1999999999999993</v>
      </c>
      <c r="L513" s="69">
        <f t="shared" si="100"/>
        <v>1.92</v>
      </c>
      <c r="M513" s="69">
        <f t="shared" si="101"/>
        <v>3.9359999999999995</v>
      </c>
      <c r="N513" s="56">
        <f>INDEX(Rate_Chart!$A$1:$AK$127,MATCH(Data!J513,Rate_Chart!$A$1:$A$127,0),MATCH(Data!K513,Rate_Chart!$A$1:$AK$1,0))</f>
        <v>39.477139800000003</v>
      </c>
      <c r="O513" s="57">
        <f t="shared" si="102"/>
        <v>1894.9027104000002</v>
      </c>
      <c r="P513" s="58">
        <f t="shared" si="103"/>
        <v>417.0120401408451</v>
      </c>
      <c r="Q513" s="58">
        <f t="shared" si="104"/>
        <v>278.00802676056338</v>
      </c>
      <c r="R513" s="66">
        <f t="shared" si="105"/>
        <v>33.160797432000003</v>
      </c>
      <c r="S513" s="64">
        <f t="shared" si="106"/>
        <v>180</v>
      </c>
      <c r="T513" s="66">
        <f t="shared" si="107"/>
        <v>2108.0635078320001</v>
      </c>
      <c r="U513" s="68">
        <f t="shared" si="108"/>
        <v>43.917989746500005</v>
      </c>
      <c r="V513" s="68">
        <f t="shared" si="109"/>
        <v>463.92242689964797</v>
      </c>
      <c r="W513" s="68">
        <f t="shared" si="110"/>
        <v>309.28161793309863</v>
      </c>
    </row>
    <row r="514" spans="1:23" x14ac:dyDescent="0.25">
      <c r="A514" s="169" t="s">
        <v>889</v>
      </c>
      <c r="B514" s="61" t="s">
        <v>397</v>
      </c>
      <c r="C514" s="61" t="s">
        <v>591</v>
      </c>
      <c r="D514" s="61" t="s">
        <v>593</v>
      </c>
      <c r="E514" s="1" t="s">
        <v>358</v>
      </c>
      <c r="F514" s="62" t="str">
        <f t="shared" si="99"/>
        <v>64506</v>
      </c>
      <c r="G514" s="1">
        <v>10620037</v>
      </c>
      <c r="H514" s="1" t="s">
        <v>387</v>
      </c>
      <c r="I514" s="61">
        <v>65</v>
      </c>
      <c r="J514" s="61">
        <v>6.1</v>
      </c>
      <c r="K514" s="61">
        <v>9</v>
      </c>
      <c r="L514" s="69">
        <f t="shared" si="100"/>
        <v>3.9649999999999999</v>
      </c>
      <c r="M514" s="69">
        <f t="shared" si="101"/>
        <v>5.85</v>
      </c>
      <c r="N514" s="56">
        <f>INDEX(Rate_Chart!$A$1:$AK$127,MATCH(Data!J514,Rate_Chart!$A$1:$A$127,0),MATCH(Data!K514,Rate_Chart!$A$1:$AK$1,0))</f>
        <v>50.935000000000002</v>
      </c>
      <c r="O514" s="57">
        <f t="shared" si="102"/>
        <v>3310.7750000000001</v>
      </c>
      <c r="P514" s="58">
        <f t="shared" si="103"/>
        <v>420.95041322314052</v>
      </c>
      <c r="Q514" s="58">
        <f t="shared" si="104"/>
        <v>280.63360881542701</v>
      </c>
      <c r="R514" s="66">
        <f t="shared" si="105"/>
        <v>57.93856250000001</v>
      </c>
      <c r="S514" s="64">
        <f t="shared" si="106"/>
        <v>243.75</v>
      </c>
      <c r="T514" s="66">
        <f t="shared" si="107"/>
        <v>3612.4635625000001</v>
      </c>
      <c r="U514" s="68">
        <f t="shared" si="108"/>
        <v>55.576362500000002</v>
      </c>
      <c r="V514" s="68">
        <f t="shared" si="109"/>
        <v>459.30878099173555</v>
      </c>
      <c r="W514" s="68">
        <f t="shared" si="110"/>
        <v>306.20585399449038</v>
      </c>
    </row>
    <row r="515" spans="1:23" x14ac:dyDescent="0.25">
      <c r="A515" s="169" t="s">
        <v>889</v>
      </c>
      <c r="B515" s="61" t="s">
        <v>397</v>
      </c>
      <c r="C515" s="61" t="s">
        <v>591</v>
      </c>
      <c r="D515" s="61" t="s">
        <v>593</v>
      </c>
      <c r="E515" s="1" t="s">
        <v>358</v>
      </c>
      <c r="F515" s="62" t="str">
        <f t="shared" si="99"/>
        <v>64506</v>
      </c>
      <c r="G515" s="1">
        <v>10620037</v>
      </c>
      <c r="H515" s="1" t="s">
        <v>388</v>
      </c>
      <c r="I515" s="61">
        <v>41</v>
      </c>
      <c r="J515" s="61">
        <v>3.2</v>
      </c>
      <c r="K515" s="61">
        <v>8.1</v>
      </c>
      <c r="L515" s="69">
        <f t="shared" si="100"/>
        <v>1.3120000000000003</v>
      </c>
      <c r="M515" s="69">
        <f t="shared" si="101"/>
        <v>3.3209999999999997</v>
      </c>
      <c r="N515" s="56">
        <f>INDEX(Rate_Chart!$A$1:$AK$127,MATCH(Data!J515,Rate_Chart!$A$1:$A$127,0),MATCH(Data!K515,Rate_Chart!$A$1:$AK$1,0))</f>
        <v>35.8631259</v>
      </c>
      <c r="O515" s="57">
        <f t="shared" si="102"/>
        <v>1470.3881618999999</v>
      </c>
      <c r="P515" s="58">
        <f t="shared" si="103"/>
        <v>417.01309186046512</v>
      </c>
      <c r="Q515" s="58">
        <f t="shared" si="104"/>
        <v>278.00872790697673</v>
      </c>
      <c r="R515" s="66">
        <f t="shared" si="105"/>
        <v>25.731792833250001</v>
      </c>
      <c r="S515" s="64">
        <f t="shared" si="106"/>
        <v>153.75</v>
      </c>
      <c r="T515" s="66">
        <f t="shared" si="107"/>
        <v>1649.8699547332499</v>
      </c>
      <c r="U515" s="68">
        <f t="shared" si="108"/>
        <v>40.24073060325</v>
      </c>
      <c r="V515" s="68">
        <f t="shared" si="109"/>
        <v>467.91547213081401</v>
      </c>
      <c r="W515" s="68">
        <f t="shared" si="110"/>
        <v>311.94364808720934</v>
      </c>
    </row>
    <row r="516" spans="1:23" x14ac:dyDescent="0.25">
      <c r="A516" s="169" t="s">
        <v>890</v>
      </c>
      <c r="B516" s="61" t="s">
        <v>396</v>
      </c>
      <c r="C516" s="61" t="s">
        <v>591</v>
      </c>
      <c r="D516" s="61" t="s">
        <v>593</v>
      </c>
      <c r="E516" s="1" t="s">
        <v>358</v>
      </c>
      <c r="F516" s="62" t="str">
        <f t="shared" si="99"/>
        <v>64506</v>
      </c>
      <c r="G516" s="1">
        <v>10620037</v>
      </c>
      <c r="H516" s="1" t="s">
        <v>387</v>
      </c>
      <c r="I516" s="61">
        <v>78</v>
      </c>
      <c r="J516" s="61">
        <v>5.7</v>
      </c>
      <c r="K516" s="61">
        <v>8.8000000000000007</v>
      </c>
      <c r="L516" s="69">
        <f t="shared" si="100"/>
        <v>4.4460000000000006</v>
      </c>
      <c r="M516" s="69">
        <f t="shared" si="101"/>
        <v>6.8640000000000008</v>
      </c>
      <c r="N516" s="56">
        <f>INDEX(Rate_Chart!$A$1:$AK$127,MATCH(Data!J516,Rate_Chart!$A$1:$A$127,0),MATCH(Data!K516,Rate_Chart!$A$1:$AK$1,0))</f>
        <v>47.119050000000001</v>
      </c>
      <c r="O516" s="57">
        <f t="shared" si="102"/>
        <v>3675.2859000000003</v>
      </c>
      <c r="P516" s="58">
        <f t="shared" si="103"/>
        <v>407.3693083573487</v>
      </c>
      <c r="Q516" s="58">
        <f t="shared" si="104"/>
        <v>271.57953890489915</v>
      </c>
      <c r="R516" s="66">
        <f t="shared" si="105"/>
        <v>64.317503250000016</v>
      </c>
      <c r="S516" s="64">
        <f t="shared" si="106"/>
        <v>292.5</v>
      </c>
      <c r="T516" s="66">
        <f t="shared" si="107"/>
        <v>4032.1034032500002</v>
      </c>
      <c r="U516" s="68">
        <f t="shared" si="108"/>
        <v>51.693633375000005</v>
      </c>
      <c r="V516" s="68">
        <f t="shared" si="109"/>
        <v>446.91902053314124</v>
      </c>
      <c r="W516" s="68">
        <f t="shared" si="110"/>
        <v>297.94601368876084</v>
      </c>
    </row>
    <row r="517" spans="1:23" x14ac:dyDescent="0.25">
      <c r="A517" s="169" t="s">
        <v>890</v>
      </c>
      <c r="B517" s="61" t="s">
        <v>396</v>
      </c>
      <c r="C517" s="61" t="s">
        <v>591</v>
      </c>
      <c r="D517" s="61" t="s">
        <v>593</v>
      </c>
      <c r="E517" s="1" t="s">
        <v>358</v>
      </c>
      <c r="F517" s="62" t="str">
        <f t="shared" ref="F517:F580" si="111">MID(E517,2,5)</f>
        <v>64506</v>
      </c>
      <c r="G517" s="1">
        <v>10620037</v>
      </c>
      <c r="H517" s="1" t="s">
        <v>388</v>
      </c>
      <c r="I517" s="61">
        <v>49</v>
      </c>
      <c r="J517" s="61">
        <v>3.4</v>
      </c>
      <c r="K517" s="61">
        <v>8.1</v>
      </c>
      <c r="L517" s="69">
        <f t="shared" si="100"/>
        <v>1.6659999999999999</v>
      </c>
      <c r="M517" s="69">
        <f t="shared" si="101"/>
        <v>3.9689999999999999</v>
      </c>
      <c r="N517" s="56">
        <f>INDEX(Rate_Chart!$A$1:$AK$127,MATCH(Data!J517,Rate_Chart!$A$1:$A$127,0),MATCH(Data!K517,Rate_Chart!$A$1:$AK$1,0))</f>
        <v>36.697125900000003</v>
      </c>
      <c r="O517" s="57">
        <f t="shared" si="102"/>
        <v>1798.1591691000001</v>
      </c>
      <c r="P517" s="58">
        <f t="shared" si="103"/>
        <v>417.01279431818188</v>
      </c>
      <c r="Q517" s="58">
        <f t="shared" si="104"/>
        <v>278.00852954545456</v>
      </c>
      <c r="R517" s="66">
        <f t="shared" si="105"/>
        <v>31.467785459250006</v>
      </c>
      <c r="S517" s="64">
        <f t="shared" si="106"/>
        <v>183.75</v>
      </c>
      <c r="T517" s="66">
        <f t="shared" si="107"/>
        <v>2013.3769545592502</v>
      </c>
      <c r="U517" s="68">
        <f t="shared" si="108"/>
        <v>41.089325603250003</v>
      </c>
      <c r="V517" s="68">
        <f t="shared" si="109"/>
        <v>466.92415458238645</v>
      </c>
      <c r="W517" s="68">
        <f t="shared" si="110"/>
        <v>311.28276972159097</v>
      </c>
    </row>
    <row r="518" spans="1:23" x14ac:dyDescent="0.25">
      <c r="A518" s="169" t="s">
        <v>890</v>
      </c>
      <c r="B518" s="61" t="s">
        <v>397</v>
      </c>
      <c r="C518" s="61" t="s">
        <v>591</v>
      </c>
      <c r="D518" s="61" t="s">
        <v>593</v>
      </c>
      <c r="E518" s="1" t="s">
        <v>358</v>
      </c>
      <c r="F518" s="62" t="str">
        <f t="shared" si="111"/>
        <v>64506</v>
      </c>
      <c r="G518" s="1">
        <v>10620037</v>
      </c>
      <c r="H518" s="1" t="s">
        <v>387</v>
      </c>
      <c r="I518" s="61">
        <v>75</v>
      </c>
      <c r="J518" s="61">
        <v>5.6</v>
      </c>
      <c r="K518" s="61">
        <v>8.4</v>
      </c>
      <c r="L518" s="69">
        <f t="shared" si="100"/>
        <v>4.2</v>
      </c>
      <c r="M518" s="69">
        <f t="shared" si="101"/>
        <v>6.3</v>
      </c>
      <c r="N518" s="56">
        <f>INDEX(Rate_Chart!$A$1:$AK$127,MATCH(Data!J518,Rate_Chart!$A$1:$A$127,0),MATCH(Data!K518,Rate_Chart!$A$1:$AK$1,0))</f>
        <v>45.357199999999999</v>
      </c>
      <c r="O518" s="57">
        <f t="shared" si="102"/>
        <v>3401.79</v>
      </c>
      <c r="P518" s="58">
        <f t="shared" si="103"/>
        <v>404.97500000000002</v>
      </c>
      <c r="Q518" s="58">
        <f t="shared" si="104"/>
        <v>269.98333333333335</v>
      </c>
      <c r="R518" s="66">
        <f t="shared" si="105"/>
        <v>59.531325000000002</v>
      </c>
      <c r="S518" s="64">
        <f t="shared" si="106"/>
        <v>281.25</v>
      </c>
      <c r="T518" s="66">
        <f t="shared" si="107"/>
        <v>3742.5713249999999</v>
      </c>
      <c r="U518" s="68">
        <f t="shared" si="108"/>
        <v>49.900950999999999</v>
      </c>
      <c r="V518" s="68">
        <f t="shared" si="109"/>
        <v>445.54420535714291</v>
      </c>
      <c r="W518" s="68">
        <f t="shared" si="110"/>
        <v>297.02947023809526</v>
      </c>
    </row>
    <row r="519" spans="1:23" x14ac:dyDescent="0.25">
      <c r="A519" s="169" t="s">
        <v>890</v>
      </c>
      <c r="B519" s="61" t="s">
        <v>397</v>
      </c>
      <c r="C519" s="61" t="s">
        <v>591</v>
      </c>
      <c r="D519" s="61" t="s">
        <v>593</v>
      </c>
      <c r="E519" s="1" t="s">
        <v>358</v>
      </c>
      <c r="F519" s="62" t="str">
        <f t="shared" si="111"/>
        <v>64506</v>
      </c>
      <c r="G519" s="1">
        <v>10620037</v>
      </c>
      <c r="H519" s="1" t="s">
        <v>388</v>
      </c>
      <c r="I519" s="61">
        <v>41</v>
      </c>
      <c r="J519" s="61">
        <v>3.2</v>
      </c>
      <c r="K519" s="61">
        <v>8.1</v>
      </c>
      <c r="L519" s="69">
        <f t="shared" si="100"/>
        <v>1.3120000000000003</v>
      </c>
      <c r="M519" s="69">
        <f t="shared" si="101"/>
        <v>3.3209999999999997</v>
      </c>
      <c r="N519" s="56">
        <f>INDEX(Rate_Chart!$A$1:$AK$127,MATCH(Data!J519,Rate_Chart!$A$1:$A$127,0),MATCH(Data!K519,Rate_Chart!$A$1:$AK$1,0))</f>
        <v>35.8631259</v>
      </c>
      <c r="O519" s="57">
        <f t="shared" si="102"/>
        <v>1470.3881618999999</v>
      </c>
      <c r="P519" s="58">
        <f t="shared" si="103"/>
        <v>417.01309186046512</v>
      </c>
      <c r="Q519" s="58">
        <f t="shared" si="104"/>
        <v>278.00872790697673</v>
      </c>
      <c r="R519" s="66">
        <f t="shared" si="105"/>
        <v>25.731792833250001</v>
      </c>
      <c r="S519" s="64">
        <f t="shared" si="106"/>
        <v>153.75</v>
      </c>
      <c r="T519" s="66">
        <f t="shared" si="107"/>
        <v>1649.8699547332499</v>
      </c>
      <c r="U519" s="68">
        <f t="shared" si="108"/>
        <v>40.24073060325</v>
      </c>
      <c r="V519" s="68">
        <f t="shared" si="109"/>
        <v>467.91547213081401</v>
      </c>
      <c r="W519" s="68">
        <f t="shared" si="110"/>
        <v>311.94364808720934</v>
      </c>
    </row>
    <row r="520" spans="1:23" x14ac:dyDescent="0.25">
      <c r="A520" s="169" t="s">
        <v>891</v>
      </c>
      <c r="B520" s="61" t="s">
        <v>396</v>
      </c>
      <c r="C520" s="61" t="s">
        <v>591</v>
      </c>
      <c r="D520" s="61" t="s">
        <v>593</v>
      </c>
      <c r="E520" s="1" t="s">
        <v>358</v>
      </c>
      <c r="F520" s="62" t="str">
        <f t="shared" si="111"/>
        <v>64506</v>
      </c>
      <c r="G520" s="1">
        <v>10620037</v>
      </c>
      <c r="H520" s="1" t="s">
        <v>387</v>
      </c>
      <c r="I520" s="61">
        <v>72</v>
      </c>
      <c r="J520" s="61">
        <v>5.9</v>
      </c>
      <c r="K520" s="61">
        <v>8.8000000000000007</v>
      </c>
      <c r="L520" s="69">
        <f t="shared" si="100"/>
        <v>4.2480000000000002</v>
      </c>
      <c r="M520" s="69">
        <f t="shared" si="101"/>
        <v>6.3360000000000003</v>
      </c>
      <c r="N520" s="56">
        <f>INDEX(Rate_Chart!$A$1:$AK$127,MATCH(Data!J520,Rate_Chart!$A$1:$A$127,0),MATCH(Data!K520,Rate_Chart!$A$1:$AK$1,0))</f>
        <v>48.772350000000003</v>
      </c>
      <c r="O520" s="57">
        <f t="shared" si="102"/>
        <v>3511.6092000000003</v>
      </c>
      <c r="P520" s="58">
        <f t="shared" si="103"/>
        <v>414.49589235127479</v>
      </c>
      <c r="Q520" s="58">
        <f t="shared" si="104"/>
        <v>276.33059490084986</v>
      </c>
      <c r="R520" s="66">
        <f t="shared" si="105"/>
        <v>61.453161000000009</v>
      </c>
      <c r="S520" s="64">
        <f t="shared" si="106"/>
        <v>270</v>
      </c>
      <c r="T520" s="66">
        <f t="shared" si="107"/>
        <v>3843.0623610000002</v>
      </c>
      <c r="U520" s="68">
        <f t="shared" si="108"/>
        <v>53.375866125000002</v>
      </c>
      <c r="V520" s="68">
        <f t="shared" si="109"/>
        <v>453.61925885269125</v>
      </c>
      <c r="W520" s="68">
        <f t="shared" si="110"/>
        <v>302.41283923512748</v>
      </c>
    </row>
    <row r="521" spans="1:23" x14ac:dyDescent="0.25">
      <c r="A521" s="169" t="s">
        <v>891</v>
      </c>
      <c r="B521" s="61" t="s">
        <v>396</v>
      </c>
      <c r="C521" s="61" t="s">
        <v>591</v>
      </c>
      <c r="D521" s="61" t="s">
        <v>593</v>
      </c>
      <c r="E521" s="1" t="s">
        <v>358</v>
      </c>
      <c r="F521" s="62" t="str">
        <f t="shared" si="111"/>
        <v>64506</v>
      </c>
      <c r="G521" s="1">
        <v>10620037</v>
      </c>
      <c r="H521" s="1" t="s">
        <v>388</v>
      </c>
      <c r="I521" s="61">
        <v>51</v>
      </c>
      <c r="J521" s="61">
        <v>3.4</v>
      </c>
      <c r="K521" s="61">
        <v>8.1</v>
      </c>
      <c r="L521" s="69">
        <f t="shared" si="100"/>
        <v>1.734</v>
      </c>
      <c r="M521" s="69">
        <f t="shared" si="101"/>
        <v>4.1309999999999993</v>
      </c>
      <c r="N521" s="56">
        <f>INDEX(Rate_Chart!$A$1:$AK$127,MATCH(Data!J521,Rate_Chart!$A$1:$A$127,0),MATCH(Data!K521,Rate_Chart!$A$1:$AK$1,0))</f>
        <v>36.697125900000003</v>
      </c>
      <c r="O521" s="57">
        <f t="shared" si="102"/>
        <v>1871.5534209000002</v>
      </c>
      <c r="P521" s="58">
        <f t="shared" si="103"/>
        <v>417.01279431818188</v>
      </c>
      <c r="Q521" s="58">
        <f t="shared" si="104"/>
        <v>278.00852954545456</v>
      </c>
      <c r="R521" s="66">
        <f t="shared" si="105"/>
        <v>32.75218486575001</v>
      </c>
      <c r="S521" s="64">
        <f t="shared" si="106"/>
        <v>191.25</v>
      </c>
      <c r="T521" s="66">
        <f t="shared" si="107"/>
        <v>2095.5556057657504</v>
      </c>
      <c r="U521" s="68">
        <f t="shared" si="108"/>
        <v>41.08932560325001</v>
      </c>
      <c r="V521" s="68">
        <f t="shared" si="109"/>
        <v>466.92415458238651</v>
      </c>
      <c r="W521" s="68">
        <f t="shared" si="110"/>
        <v>311.28276972159102</v>
      </c>
    </row>
    <row r="522" spans="1:23" x14ac:dyDescent="0.25">
      <c r="A522" s="169" t="s">
        <v>891</v>
      </c>
      <c r="B522" s="61" t="s">
        <v>397</v>
      </c>
      <c r="C522" s="61" t="s">
        <v>591</v>
      </c>
      <c r="D522" s="61" t="s">
        <v>593</v>
      </c>
      <c r="E522" s="1" t="s">
        <v>358</v>
      </c>
      <c r="F522" s="62" t="str">
        <f t="shared" si="111"/>
        <v>64506</v>
      </c>
      <c r="G522" s="1">
        <v>10620037</v>
      </c>
      <c r="H522" s="1" t="s">
        <v>387</v>
      </c>
      <c r="I522" s="61">
        <v>71</v>
      </c>
      <c r="J522" s="61">
        <v>6</v>
      </c>
      <c r="K522" s="61">
        <v>9</v>
      </c>
      <c r="L522" s="69">
        <f t="shared" si="100"/>
        <v>4.26</v>
      </c>
      <c r="M522" s="69">
        <f t="shared" si="101"/>
        <v>6.39</v>
      </c>
      <c r="N522" s="56">
        <f>INDEX(Rate_Chart!$A$1:$AK$127,MATCH(Data!J522,Rate_Chart!$A$1:$A$127,0),MATCH(Data!K522,Rate_Chart!$A$1:$AK$1,0))</f>
        <v>50.1</v>
      </c>
      <c r="O522" s="57">
        <f t="shared" si="102"/>
        <v>3557.1</v>
      </c>
      <c r="P522" s="58">
        <f t="shared" si="103"/>
        <v>417.5</v>
      </c>
      <c r="Q522" s="58">
        <f t="shared" si="104"/>
        <v>278.33333333333331</v>
      </c>
      <c r="R522" s="66">
        <f t="shared" si="105"/>
        <v>62.249250000000004</v>
      </c>
      <c r="S522" s="64">
        <f t="shared" si="106"/>
        <v>266.25</v>
      </c>
      <c r="T522" s="66">
        <f t="shared" si="107"/>
        <v>3885.5992499999998</v>
      </c>
      <c r="U522" s="68">
        <f t="shared" si="108"/>
        <v>54.726749999999996</v>
      </c>
      <c r="V522" s="68">
        <f t="shared" si="109"/>
        <v>456.05624999999998</v>
      </c>
      <c r="W522" s="68">
        <f t="shared" si="110"/>
        <v>304.03749999999997</v>
      </c>
    </row>
    <row r="523" spans="1:23" x14ac:dyDescent="0.25">
      <c r="A523" s="169" t="s">
        <v>891</v>
      </c>
      <c r="B523" s="61" t="s">
        <v>397</v>
      </c>
      <c r="C523" s="61" t="s">
        <v>591</v>
      </c>
      <c r="D523" s="61" t="s">
        <v>593</v>
      </c>
      <c r="E523" s="1" t="s">
        <v>358</v>
      </c>
      <c r="F523" s="62" t="str">
        <f t="shared" si="111"/>
        <v>64506</v>
      </c>
      <c r="G523" s="1">
        <v>10620037</v>
      </c>
      <c r="H523" s="1" t="s">
        <v>388</v>
      </c>
      <c r="I523" s="61">
        <v>41</v>
      </c>
      <c r="J523" s="61">
        <v>3</v>
      </c>
      <c r="K523" s="61">
        <v>8.1</v>
      </c>
      <c r="L523" s="69">
        <f t="shared" si="100"/>
        <v>1.23</v>
      </c>
      <c r="M523" s="69">
        <f t="shared" si="101"/>
        <v>3.3209999999999997</v>
      </c>
      <c r="N523" s="56">
        <f>INDEX(Rate_Chart!$A$1:$AK$127,MATCH(Data!J523,Rate_Chart!$A$1:$A$127,0),MATCH(Data!K523,Rate_Chart!$A$1:$AK$1,0))</f>
        <v>35.029125900000004</v>
      </c>
      <c r="O523" s="57">
        <f t="shared" si="102"/>
        <v>1436.1941619000002</v>
      </c>
      <c r="P523" s="58">
        <f t="shared" si="103"/>
        <v>417.01340357142868</v>
      </c>
      <c r="Q523" s="58">
        <f t="shared" si="104"/>
        <v>278.00893571428577</v>
      </c>
      <c r="R523" s="66">
        <f t="shared" si="105"/>
        <v>25.133397833250005</v>
      </c>
      <c r="S523" s="64">
        <f t="shared" si="106"/>
        <v>153.75</v>
      </c>
      <c r="T523" s="66">
        <f t="shared" si="107"/>
        <v>1615.0775597332502</v>
      </c>
      <c r="U523" s="68">
        <f t="shared" si="108"/>
        <v>39.392135603250004</v>
      </c>
      <c r="V523" s="68">
        <f t="shared" si="109"/>
        <v>468.9539952767858</v>
      </c>
      <c r="W523" s="68">
        <f t="shared" si="110"/>
        <v>312.63599685119055</v>
      </c>
    </row>
    <row r="524" spans="1:23" x14ac:dyDescent="0.25">
      <c r="A524" s="169" t="s">
        <v>892</v>
      </c>
      <c r="B524" s="61" t="s">
        <v>396</v>
      </c>
      <c r="C524" s="61" t="s">
        <v>591</v>
      </c>
      <c r="D524" s="61" t="s">
        <v>593</v>
      </c>
      <c r="E524" s="1" t="s">
        <v>358</v>
      </c>
      <c r="F524" s="62" t="str">
        <f t="shared" si="111"/>
        <v>64506</v>
      </c>
      <c r="G524" s="1">
        <v>10620037</v>
      </c>
      <c r="H524" s="1" t="s">
        <v>387</v>
      </c>
      <c r="I524" s="61">
        <v>71</v>
      </c>
      <c r="J524" s="61">
        <v>5.8</v>
      </c>
      <c r="K524" s="61">
        <v>8.8000000000000007</v>
      </c>
      <c r="L524" s="69">
        <f t="shared" si="100"/>
        <v>4.1180000000000003</v>
      </c>
      <c r="M524" s="69">
        <f t="shared" si="101"/>
        <v>6.2480000000000011</v>
      </c>
      <c r="N524" s="56">
        <f>INDEX(Rate_Chart!$A$1:$AK$127,MATCH(Data!J524,Rate_Chart!$A$1:$A$127,0),MATCH(Data!K524,Rate_Chart!$A$1:$AK$1,0))</f>
        <v>47.945700000000002</v>
      </c>
      <c r="O524" s="57">
        <f t="shared" si="102"/>
        <v>3404.1447000000003</v>
      </c>
      <c r="P524" s="58">
        <f t="shared" si="103"/>
        <v>410.96314285714288</v>
      </c>
      <c r="Q524" s="58">
        <f t="shared" si="104"/>
        <v>273.97542857142861</v>
      </c>
      <c r="R524" s="66">
        <f t="shared" si="105"/>
        <v>59.572532250000009</v>
      </c>
      <c r="S524" s="64">
        <f t="shared" si="106"/>
        <v>266.25</v>
      </c>
      <c r="T524" s="66">
        <f t="shared" si="107"/>
        <v>3729.9672322500001</v>
      </c>
      <c r="U524" s="68">
        <f t="shared" si="108"/>
        <v>52.534749750000003</v>
      </c>
      <c r="V524" s="68">
        <f t="shared" si="109"/>
        <v>450.29785500000003</v>
      </c>
      <c r="W524" s="68">
        <f t="shared" si="110"/>
        <v>300.19857000000002</v>
      </c>
    </row>
    <row r="525" spans="1:23" x14ac:dyDescent="0.25">
      <c r="A525" s="169" t="s">
        <v>892</v>
      </c>
      <c r="B525" s="61" t="s">
        <v>396</v>
      </c>
      <c r="C525" s="61" t="s">
        <v>591</v>
      </c>
      <c r="D525" s="61" t="s">
        <v>593</v>
      </c>
      <c r="E525" s="1" t="s">
        <v>358</v>
      </c>
      <c r="F525" s="62" t="str">
        <f t="shared" si="111"/>
        <v>64506</v>
      </c>
      <c r="G525" s="1">
        <v>10620037</v>
      </c>
      <c r="H525" s="1" t="s">
        <v>388</v>
      </c>
      <c r="I525" s="61">
        <v>46</v>
      </c>
      <c r="J525" s="61">
        <v>3.4</v>
      </c>
      <c r="K525" s="61">
        <v>8</v>
      </c>
      <c r="L525" s="69">
        <f t="shared" si="100"/>
        <v>1.5640000000000001</v>
      </c>
      <c r="M525" s="69">
        <f t="shared" si="101"/>
        <v>3.68</v>
      </c>
      <c r="N525" s="56">
        <f>INDEX(Rate_Chart!$A$1:$AK$127,MATCH(Data!J525,Rate_Chart!$A$1:$A$127,0),MATCH(Data!K525,Rate_Chart!$A$1:$AK$1,0))</f>
        <v>36.419112000000005</v>
      </c>
      <c r="O525" s="57">
        <f t="shared" si="102"/>
        <v>1675.2791520000003</v>
      </c>
      <c r="P525" s="58">
        <f t="shared" si="103"/>
        <v>417.01273282442747</v>
      </c>
      <c r="Q525" s="58">
        <f t="shared" si="104"/>
        <v>278.00848854961833</v>
      </c>
      <c r="R525" s="66">
        <f t="shared" si="105"/>
        <v>29.317385160000008</v>
      </c>
      <c r="S525" s="64">
        <f t="shared" si="106"/>
        <v>172.5</v>
      </c>
      <c r="T525" s="66">
        <f t="shared" si="107"/>
        <v>1877.0965371600003</v>
      </c>
      <c r="U525" s="68">
        <f t="shared" si="108"/>
        <v>40.806446460000004</v>
      </c>
      <c r="V525" s="68">
        <f t="shared" si="109"/>
        <v>467.24938694656487</v>
      </c>
      <c r="W525" s="68">
        <f t="shared" si="110"/>
        <v>311.49959129770991</v>
      </c>
    </row>
    <row r="526" spans="1:23" x14ac:dyDescent="0.25">
      <c r="A526" s="169" t="s">
        <v>892</v>
      </c>
      <c r="B526" s="61" t="s">
        <v>397</v>
      </c>
      <c r="C526" s="61" t="s">
        <v>591</v>
      </c>
      <c r="D526" s="61" t="s">
        <v>593</v>
      </c>
      <c r="E526" s="1" t="s">
        <v>358</v>
      </c>
      <c r="F526" s="62" t="str">
        <f t="shared" si="111"/>
        <v>64506</v>
      </c>
      <c r="G526" s="1">
        <v>10620037</v>
      </c>
      <c r="H526" s="1" t="s">
        <v>387</v>
      </c>
      <c r="I526" s="61">
        <v>80</v>
      </c>
      <c r="J526" s="61">
        <v>5.6</v>
      </c>
      <c r="K526" s="61">
        <v>8.4</v>
      </c>
      <c r="L526" s="69">
        <f t="shared" si="100"/>
        <v>4.4800000000000004</v>
      </c>
      <c r="M526" s="69">
        <f t="shared" si="101"/>
        <v>6.72</v>
      </c>
      <c r="N526" s="56">
        <f>INDEX(Rate_Chart!$A$1:$AK$127,MATCH(Data!J526,Rate_Chart!$A$1:$A$127,0),MATCH(Data!K526,Rate_Chart!$A$1:$AK$1,0))</f>
        <v>45.357199999999999</v>
      </c>
      <c r="O526" s="57">
        <f t="shared" si="102"/>
        <v>3628.576</v>
      </c>
      <c r="P526" s="58">
        <f t="shared" si="103"/>
        <v>404.97500000000002</v>
      </c>
      <c r="Q526" s="58">
        <f t="shared" si="104"/>
        <v>269.98333333333335</v>
      </c>
      <c r="R526" s="66">
        <f t="shared" si="105"/>
        <v>63.500080000000004</v>
      </c>
      <c r="S526" s="64">
        <f t="shared" si="106"/>
        <v>300</v>
      </c>
      <c r="T526" s="66">
        <f t="shared" si="107"/>
        <v>3992.0760799999998</v>
      </c>
      <c r="U526" s="68">
        <f t="shared" si="108"/>
        <v>49.900950999999999</v>
      </c>
      <c r="V526" s="68">
        <f t="shared" si="109"/>
        <v>445.54420535714291</v>
      </c>
      <c r="W526" s="68">
        <f t="shared" si="110"/>
        <v>297.02947023809526</v>
      </c>
    </row>
    <row r="527" spans="1:23" x14ac:dyDescent="0.25">
      <c r="A527" s="169" t="s">
        <v>892</v>
      </c>
      <c r="B527" s="61" t="s">
        <v>397</v>
      </c>
      <c r="C527" s="61" t="s">
        <v>591</v>
      </c>
      <c r="D527" s="61" t="s">
        <v>593</v>
      </c>
      <c r="E527" s="1" t="s">
        <v>358</v>
      </c>
      <c r="F527" s="62" t="str">
        <f t="shared" si="111"/>
        <v>64506</v>
      </c>
      <c r="G527" s="1">
        <v>10620037</v>
      </c>
      <c r="H527" s="1" t="s">
        <v>388</v>
      </c>
      <c r="I527" s="61">
        <v>41</v>
      </c>
      <c r="J527" s="61">
        <v>3</v>
      </c>
      <c r="K527" s="61">
        <v>8.1</v>
      </c>
      <c r="L527" s="69">
        <f t="shared" si="100"/>
        <v>1.23</v>
      </c>
      <c r="M527" s="69">
        <f t="shared" si="101"/>
        <v>3.3209999999999997</v>
      </c>
      <c r="N527" s="56">
        <f>INDEX(Rate_Chart!$A$1:$AK$127,MATCH(Data!J527,Rate_Chart!$A$1:$A$127,0),MATCH(Data!K527,Rate_Chart!$A$1:$AK$1,0))</f>
        <v>35.029125900000004</v>
      </c>
      <c r="O527" s="57">
        <f t="shared" si="102"/>
        <v>1436.1941619000002</v>
      </c>
      <c r="P527" s="58">
        <f t="shared" si="103"/>
        <v>417.01340357142868</v>
      </c>
      <c r="Q527" s="58">
        <f t="shared" si="104"/>
        <v>278.00893571428577</v>
      </c>
      <c r="R527" s="66">
        <f t="shared" si="105"/>
        <v>25.133397833250005</v>
      </c>
      <c r="S527" s="64">
        <f t="shared" si="106"/>
        <v>153.75</v>
      </c>
      <c r="T527" s="66">
        <f t="shared" si="107"/>
        <v>1615.0775597332502</v>
      </c>
      <c r="U527" s="68">
        <f t="shared" si="108"/>
        <v>39.392135603250004</v>
      </c>
      <c r="V527" s="68">
        <f t="shared" si="109"/>
        <v>468.9539952767858</v>
      </c>
      <c r="W527" s="68">
        <f t="shared" si="110"/>
        <v>312.63599685119055</v>
      </c>
    </row>
    <row r="528" spans="1:23" x14ac:dyDescent="0.25">
      <c r="A528" s="169" t="s">
        <v>893</v>
      </c>
      <c r="B528" s="61" t="s">
        <v>396</v>
      </c>
      <c r="C528" s="61" t="s">
        <v>591</v>
      </c>
      <c r="D528" s="61" t="s">
        <v>593</v>
      </c>
      <c r="E528" s="1" t="s">
        <v>358</v>
      </c>
      <c r="F528" s="62" t="str">
        <f t="shared" si="111"/>
        <v>64506</v>
      </c>
      <c r="G528" s="1">
        <v>10620037</v>
      </c>
      <c r="H528" s="1" t="s">
        <v>387</v>
      </c>
      <c r="I528" s="61">
        <v>72</v>
      </c>
      <c r="J528" s="61">
        <v>6.1</v>
      </c>
      <c r="K528" s="61">
        <v>9</v>
      </c>
      <c r="L528" s="69">
        <f t="shared" si="100"/>
        <v>4.3919999999999995</v>
      </c>
      <c r="M528" s="69">
        <f t="shared" si="101"/>
        <v>6.48</v>
      </c>
      <c r="N528" s="56">
        <f>INDEX(Rate_Chart!$A$1:$AK$127,MATCH(Data!J528,Rate_Chart!$A$1:$A$127,0),MATCH(Data!K528,Rate_Chart!$A$1:$AK$1,0))</f>
        <v>50.935000000000002</v>
      </c>
      <c r="O528" s="57">
        <f t="shared" si="102"/>
        <v>3667.32</v>
      </c>
      <c r="P528" s="58">
        <f t="shared" si="103"/>
        <v>420.95041322314052</v>
      </c>
      <c r="Q528" s="58">
        <f t="shared" si="104"/>
        <v>280.63360881542701</v>
      </c>
      <c r="R528" s="66">
        <f t="shared" si="105"/>
        <v>64.178100000000015</v>
      </c>
      <c r="S528" s="64">
        <f t="shared" si="106"/>
        <v>270</v>
      </c>
      <c r="T528" s="66">
        <f t="shared" si="107"/>
        <v>4001.4981000000002</v>
      </c>
      <c r="U528" s="68">
        <f t="shared" si="108"/>
        <v>55.576362500000002</v>
      </c>
      <c r="V528" s="68">
        <f t="shared" si="109"/>
        <v>459.30878099173555</v>
      </c>
      <c r="W528" s="68">
        <f t="shared" si="110"/>
        <v>306.20585399449038</v>
      </c>
    </row>
    <row r="529" spans="1:23" x14ac:dyDescent="0.25">
      <c r="A529" s="169" t="s">
        <v>893</v>
      </c>
      <c r="B529" s="61" t="s">
        <v>396</v>
      </c>
      <c r="C529" s="61" t="s">
        <v>591</v>
      </c>
      <c r="D529" s="61" t="s">
        <v>593</v>
      </c>
      <c r="E529" s="1" t="s">
        <v>358</v>
      </c>
      <c r="F529" s="62" t="str">
        <f t="shared" si="111"/>
        <v>64506</v>
      </c>
      <c r="G529" s="1">
        <v>10620037</v>
      </c>
      <c r="H529" s="1" t="s">
        <v>388</v>
      </c>
      <c r="I529" s="61">
        <v>51</v>
      </c>
      <c r="J529" s="61">
        <v>3.2</v>
      </c>
      <c r="K529" s="61">
        <v>8.1</v>
      </c>
      <c r="L529" s="69">
        <f t="shared" si="100"/>
        <v>1.6320000000000001</v>
      </c>
      <c r="M529" s="69">
        <f t="shared" si="101"/>
        <v>4.1309999999999993</v>
      </c>
      <c r="N529" s="56">
        <f>INDEX(Rate_Chart!$A$1:$AK$127,MATCH(Data!J529,Rate_Chart!$A$1:$A$127,0),MATCH(Data!K529,Rate_Chart!$A$1:$AK$1,0))</f>
        <v>35.8631259</v>
      </c>
      <c r="O529" s="57">
        <f t="shared" si="102"/>
        <v>1829.0194209000001</v>
      </c>
      <c r="P529" s="58">
        <f t="shared" si="103"/>
        <v>417.01309186046512</v>
      </c>
      <c r="Q529" s="58">
        <f t="shared" si="104"/>
        <v>278.00872790697673</v>
      </c>
      <c r="R529" s="66">
        <f t="shared" si="105"/>
        <v>32.007839865750007</v>
      </c>
      <c r="S529" s="64">
        <f t="shared" si="106"/>
        <v>191.25</v>
      </c>
      <c r="T529" s="66">
        <f t="shared" si="107"/>
        <v>2052.2772607657503</v>
      </c>
      <c r="U529" s="68">
        <f t="shared" si="108"/>
        <v>40.240730603250007</v>
      </c>
      <c r="V529" s="68">
        <f t="shared" si="109"/>
        <v>467.91547213081407</v>
      </c>
      <c r="W529" s="68">
        <f t="shared" si="110"/>
        <v>311.9436480872094</v>
      </c>
    </row>
    <row r="530" spans="1:23" x14ac:dyDescent="0.25">
      <c r="A530" s="169" t="s">
        <v>893</v>
      </c>
      <c r="B530" s="61" t="s">
        <v>397</v>
      </c>
      <c r="C530" s="61" t="s">
        <v>591</v>
      </c>
      <c r="D530" s="61" t="s">
        <v>593</v>
      </c>
      <c r="E530" s="1" t="s">
        <v>358</v>
      </c>
      <c r="F530" s="62" t="str">
        <f t="shared" si="111"/>
        <v>64506</v>
      </c>
      <c r="G530" s="1">
        <v>10620037</v>
      </c>
      <c r="H530" s="1" t="s">
        <v>387</v>
      </c>
      <c r="I530" s="61">
        <v>78</v>
      </c>
      <c r="J530" s="61">
        <v>5.8</v>
      </c>
      <c r="K530" s="61">
        <v>9</v>
      </c>
      <c r="L530" s="69">
        <f t="shared" si="100"/>
        <v>4.524</v>
      </c>
      <c r="M530" s="69">
        <f t="shared" si="101"/>
        <v>7.02</v>
      </c>
      <c r="N530" s="56">
        <f>INDEX(Rate_Chart!$A$1:$AK$127,MATCH(Data!J530,Rate_Chart!$A$1:$A$127,0),MATCH(Data!K530,Rate_Chart!$A$1:$AK$1,0))</f>
        <v>48.43</v>
      </c>
      <c r="O530" s="57">
        <f t="shared" si="102"/>
        <v>3777.54</v>
      </c>
      <c r="P530" s="58">
        <f t="shared" si="103"/>
        <v>410.42372881355936</v>
      </c>
      <c r="Q530" s="58">
        <f t="shared" si="104"/>
        <v>273.61581920903956</v>
      </c>
      <c r="R530" s="66">
        <f t="shared" si="105"/>
        <v>66.106950000000012</v>
      </c>
      <c r="S530" s="64">
        <f t="shared" si="106"/>
        <v>292.5</v>
      </c>
      <c r="T530" s="66">
        <f t="shared" si="107"/>
        <v>4136.1469500000003</v>
      </c>
      <c r="U530" s="68">
        <f t="shared" si="108"/>
        <v>53.027525000000004</v>
      </c>
      <c r="V530" s="68">
        <f t="shared" si="109"/>
        <v>449.38580508474581</v>
      </c>
      <c r="W530" s="68">
        <f t="shared" si="110"/>
        <v>299.59053672316389</v>
      </c>
    </row>
    <row r="531" spans="1:23" x14ac:dyDescent="0.25">
      <c r="A531" s="169" t="s">
        <v>893</v>
      </c>
      <c r="B531" s="61" t="s">
        <v>397</v>
      </c>
      <c r="C531" s="61" t="s">
        <v>591</v>
      </c>
      <c r="D531" s="61" t="s">
        <v>593</v>
      </c>
      <c r="E531" s="1" t="s">
        <v>358</v>
      </c>
      <c r="F531" s="62" t="str">
        <f t="shared" si="111"/>
        <v>64506</v>
      </c>
      <c r="G531" s="1">
        <v>10620037</v>
      </c>
      <c r="H531" s="1" t="s">
        <v>388</v>
      </c>
      <c r="I531" s="61">
        <v>41</v>
      </c>
      <c r="J531" s="61">
        <v>3.2</v>
      </c>
      <c r="K531" s="61">
        <v>8</v>
      </c>
      <c r="L531" s="69">
        <f t="shared" si="100"/>
        <v>1.3120000000000003</v>
      </c>
      <c r="M531" s="69">
        <f t="shared" si="101"/>
        <v>3.28</v>
      </c>
      <c r="N531" s="56">
        <f>INDEX(Rate_Chart!$A$1:$AK$127,MATCH(Data!J531,Rate_Chart!$A$1:$A$127,0),MATCH(Data!K531,Rate_Chart!$A$1:$AK$1,0))</f>
        <v>35.585112000000002</v>
      </c>
      <c r="O531" s="57">
        <f t="shared" si="102"/>
        <v>1458.9895920000001</v>
      </c>
      <c r="P531" s="58">
        <f t="shared" si="103"/>
        <v>417.01303124999998</v>
      </c>
      <c r="Q531" s="58">
        <f t="shared" si="104"/>
        <v>278.00868750000001</v>
      </c>
      <c r="R531" s="66">
        <f t="shared" si="105"/>
        <v>25.532317860000006</v>
      </c>
      <c r="S531" s="64">
        <f t="shared" si="106"/>
        <v>153.75</v>
      </c>
      <c r="T531" s="66">
        <f t="shared" si="107"/>
        <v>1638.2719098600001</v>
      </c>
      <c r="U531" s="68">
        <f t="shared" si="108"/>
        <v>39.957851460000001</v>
      </c>
      <c r="V531" s="68">
        <f t="shared" si="109"/>
        <v>468.25607179687495</v>
      </c>
      <c r="W531" s="68">
        <f t="shared" si="110"/>
        <v>312.17071453124998</v>
      </c>
    </row>
    <row r="532" spans="1:23" x14ac:dyDescent="0.25">
      <c r="A532" s="169" t="s">
        <v>894</v>
      </c>
      <c r="B532" s="61" t="s">
        <v>396</v>
      </c>
      <c r="C532" s="61" t="s">
        <v>591</v>
      </c>
      <c r="D532" s="61" t="s">
        <v>593</v>
      </c>
      <c r="E532" s="1" t="s">
        <v>358</v>
      </c>
      <c r="F532" s="62" t="str">
        <f t="shared" si="111"/>
        <v>64506</v>
      </c>
      <c r="G532" s="1">
        <v>10620037</v>
      </c>
      <c r="H532" s="1" t="s">
        <v>387</v>
      </c>
      <c r="I532" s="61">
        <v>68</v>
      </c>
      <c r="J532" s="61">
        <v>5.9</v>
      </c>
      <c r="K532" s="61">
        <v>8.8000000000000007</v>
      </c>
      <c r="L532" s="69">
        <f t="shared" si="100"/>
        <v>4.0120000000000005</v>
      </c>
      <c r="M532" s="69">
        <f t="shared" si="101"/>
        <v>5.9840000000000009</v>
      </c>
      <c r="N532" s="56">
        <f>INDEX(Rate_Chart!$A$1:$AK$127,MATCH(Data!J532,Rate_Chart!$A$1:$A$127,0),MATCH(Data!K532,Rate_Chart!$A$1:$AK$1,0))</f>
        <v>48.772350000000003</v>
      </c>
      <c r="O532" s="57">
        <f t="shared" si="102"/>
        <v>3316.5198</v>
      </c>
      <c r="P532" s="58">
        <f t="shared" si="103"/>
        <v>414.49589235127479</v>
      </c>
      <c r="Q532" s="58">
        <f t="shared" si="104"/>
        <v>276.33059490084986</v>
      </c>
      <c r="R532" s="66">
        <f t="shared" si="105"/>
        <v>58.039096500000007</v>
      </c>
      <c r="S532" s="64">
        <f t="shared" si="106"/>
        <v>255</v>
      </c>
      <c r="T532" s="66">
        <f t="shared" si="107"/>
        <v>3629.5588965000002</v>
      </c>
      <c r="U532" s="68">
        <f t="shared" si="108"/>
        <v>53.375866125000002</v>
      </c>
      <c r="V532" s="68">
        <f t="shared" si="109"/>
        <v>453.61925885269125</v>
      </c>
      <c r="W532" s="68">
        <f t="shared" si="110"/>
        <v>302.41283923512748</v>
      </c>
    </row>
    <row r="533" spans="1:23" x14ac:dyDescent="0.25">
      <c r="A533" s="169" t="s">
        <v>894</v>
      </c>
      <c r="B533" s="61" t="s">
        <v>396</v>
      </c>
      <c r="C533" s="61" t="s">
        <v>591</v>
      </c>
      <c r="D533" s="61" t="s">
        <v>593</v>
      </c>
      <c r="E533" s="1" t="s">
        <v>358</v>
      </c>
      <c r="F533" s="62" t="str">
        <f t="shared" si="111"/>
        <v>64506</v>
      </c>
      <c r="G533" s="1">
        <v>10620037</v>
      </c>
      <c r="H533" s="1" t="s">
        <v>388</v>
      </c>
      <c r="I533" s="61">
        <v>51</v>
      </c>
      <c r="J533" s="61">
        <v>3.4</v>
      </c>
      <c r="K533" s="61">
        <v>8.1999999999999993</v>
      </c>
      <c r="L533" s="69">
        <f t="shared" si="100"/>
        <v>1.734</v>
      </c>
      <c r="M533" s="69">
        <f t="shared" si="101"/>
        <v>4.1819999999999995</v>
      </c>
      <c r="N533" s="56">
        <f>INDEX(Rate_Chart!$A$1:$AK$127,MATCH(Data!J533,Rate_Chart!$A$1:$A$127,0),MATCH(Data!K533,Rate_Chart!$A$1:$AK$1,0))</f>
        <v>36.975139800000001</v>
      </c>
      <c r="O533" s="57">
        <f t="shared" si="102"/>
        <v>1885.7321297999999</v>
      </c>
      <c r="P533" s="58">
        <f t="shared" si="103"/>
        <v>417.01285488721805</v>
      </c>
      <c r="Q533" s="58">
        <f t="shared" si="104"/>
        <v>278.00856992481204</v>
      </c>
      <c r="R533" s="66">
        <f t="shared" si="105"/>
        <v>33.0003122715</v>
      </c>
      <c r="S533" s="64">
        <f t="shared" si="106"/>
        <v>191.25</v>
      </c>
      <c r="T533" s="66">
        <f t="shared" si="107"/>
        <v>2109.9824420714999</v>
      </c>
      <c r="U533" s="68">
        <f t="shared" si="108"/>
        <v>41.372204746499996</v>
      </c>
      <c r="V533" s="68">
        <f t="shared" si="109"/>
        <v>466.60381293045106</v>
      </c>
      <c r="W533" s="68">
        <f t="shared" si="110"/>
        <v>311.06920862030069</v>
      </c>
    </row>
    <row r="534" spans="1:23" x14ac:dyDescent="0.25">
      <c r="A534" s="169" t="s">
        <v>894</v>
      </c>
      <c r="B534" s="61" t="s">
        <v>397</v>
      </c>
      <c r="C534" s="61" t="s">
        <v>591</v>
      </c>
      <c r="D534" s="61" t="s">
        <v>593</v>
      </c>
      <c r="E534" s="1" t="s">
        <v>358</v>
      </c>
      <c r="F534" s="62" t="str">
        <f t="shared" si="111"/>
        <v>64506</v>
      </c>
      <c r="G534" s="1">
        <v>10620037</v>
      </c>
      <c r="H534" s="1" t="s">
        <v>387</v>
      </c>
      <c r="I534" s="61">
        <v>57</v>
      </c>
      <c r="J534" s="61">
        <v>5.7</v>
      </c>
      <c r="K534" s="61">
        <v>8.8000000000000007</v>
      </c>
      <c r="L534" s="69">
        <f t="shared" si="100"/>
        <v>3.2490000000000006</v>
      </c>
      <c r="M534" s="69">
        <f t="shared" si="101"/>
        <v>5.016</v>
      </c>
      <c r="N534" s="56">
        <f>INDEX(Rate_Chart!$A$1:$AK$127,MATCH(Data!J534,Rate_Chart!$A$1:$A$127,0),MATCH(Data!K534,Rate_Chart!$A$1:$AK$1,0))</f>
        <v>47.119050000000001</v>
      </c>
      <c r="O534" s="57">
        <f t="shared" si="102"/>
        <v>2685.7858500000002</v>
      </c>
      <c r="P534" s="58">
        <f t="shared" si="103"/>
        <v>407.3693083573487</v>
      </c>
      <c r="Q534" s="58">
        <f t="shared" si="104"/>
        <v>271.57953890489915</v>
      </c>
      <c r="R534" s="66">
        <f t="shared" si="105"/>
        <v>47.001252375000007</v>
      </c>
      <c r="S534" s="64">
        <f t="shared" si="106"/>
        <v>213.75</v>
      </c>
      <c r="T534" s="66">
        <f t="shared" si="107"/>
        <v>2946.5371023750004</v>
      </c>
      <c r="U534" s="68">
        <f t="shared" si="108"/>
        <v>51.693633375000005</v>
      </c>
      <c r="V534" s="68">
        <f t="shared" si="109"/>
        <v>446.91902053314124</v>
      </c>
      <c r="W534" s="68">
        <f t="shared" si="110"/>
        <v>297.94601368876084</v>
      </c>
    </row>
    <row r="535" spans="1:23" x14ac:dyDescent="0.25">
      <c r="A535" s="169" t="s">
        <v>894</v>
      </c>
      <c r="B535" s="61" t="s">
        <v>397</v>
      </c>
      <c r="C535" s="61" t="s">
        <v>591</v>
      </c>
      <c r="D535" s="61" t="s">
        <v>593</v>
      </c>
      <c r="E535" s="1" t="s">
        <v>358</v>
      </c>
      <c r="F535" s="62" t="str">
        <f t="shared" si="111"/>
        <v>64506</v>
      </c>
      <c r="G535" s="1">
        <v>10620037</v>
      </c>
      <c r="H535" s="1" t="s">
        <v>388</v>
      </c>
      <c r="I535" s="61">
        <v>41</v>
      </c>
      <c r="J535" s="61">
        <v>3.2</v>
      </c>
      <c r="K535" s="61">
        <v>8</v>
      </c>
      <c r="L535" s="69">
        <f t="shared" si="100"/>
        <v>1.3120000000000003</v>
      </c>
      <c r="M535" s="69">
        <f t="shared" si="101"/>
        <v>3.28</v>
      </c>
      <c r="N535" s="56">
        <f>INDEX(Rate_Chart!$A$1:$AK$127,MATCH(Data!J535,Rate_Chart!$A$1:$A$127,0),MATCH(Data!K535,Rate_Chart!$A$1:$AK$1,0))</f>
        <v>35.585112000000002</v>
      </c>
      <c r="O535" s="57">
        <f t="shared" si="102"/>
        <v>1458.9895920000001</v>
      </c>
      <c r="P535" s="58">
        <f t="shared" si="103"/>
        <v>417.01303124999998</v>
      </c>
      <c r="Q535" s="58">
        <f t="shared" si="104"/>
        <v>278.00868750000001</v>
      </c>
      <c r="R535" s="66">
        <f t="shared" si="105"/>
        <v>25.532317860000006</v>
      </c>
      <c r="S535" s="64">
        <f t="shared" si="106"/>
        <v>153.75</v>
      </c>
      <c r="T535" s="66">
        <f t="shared" si="107"/>
        <v>1638.2719098600001</v>
      </c>
      <c r="U535" s="68">
        <f t="shared" si="108"/>
        <v>39.957851460000001</v>
      </c>
      <c r="V535" s="68">
        <f t="shared" si="109"/>
        <v>468.25607179687495</v>
      </c>
      <c r="W535" s="68">
        <f t="shared" si="110"/>
        <v>312.17071453124998</v>
      </c>
    </row>
    <row r="536" spans="1:23" x14ac:dyDescent="0.25">
      <c r="A536" s="169" t="s">
        <v>888</v>
      </c>
      <c r="B536" s="61" t="s">
        <v>396</v>
      </c>
      <c r="C536" s="61" t="s">
        <v>591</v>
      </c>
      <c r="D536" s="61" t="s">
        <v>595</v>
      </c>
      <c r="E536" s="1" t="s">
        <v>872</v>
      </c>
      <c r="F536" s="62" t="str">
        <f t="shared" si="111"/>
        <v>64508</v>
      </c>
      <c r="G536" s="1">
        <v>10620010</v>
      </c>
      <c r="H536" s="1" t="s">
        <v>387</v>
      </c>
      <c r="I536" s="61">
        <v>28</v>
      </c>
      <c r="J536" s="61">
        <v>7.7</v>
      </c>
      <c r="K536" s="61">
        <v>9</v>
      </c>
      <c r="L536" s="69">
        <f t="shared" si="100"/>
        <v>2.1560000000000001</v>
      </c>
      <c r="M536" s="69">
        <f t="shared" si="101"/>
        <v>2.52</v>
      </c>
      <c r="N536" s="56">
        <f>INDEX(Rate_Chart!$A$1:$AK$127,MATCH(Data!J536,Rate_Chart!$A$1:$A$127,0),MATCH(Data!K536,Rate_Chart!$A$1:$AK$1,0))</f>
        <v>64.295000000000002</v>
      </c>
      <c r="O536" s="57">
        <f t="shared" si="102"/>
        <v>1800.26</v>
      </c>
      <c r="P536" s="58">
        <f t="shared" si="103"/>
        <v>469.30656934306569</v>
      </c>
      <c r="Q536" s="58">
        <f t="shared" si="104"/>
        <v>312.87104622871044</v>
      </c>
      <c r="R536" s="66">
        <f t="shared" si="105"/>
        <v>31.504550000000002</v>
      </c>
      <c r="S536" s="64">
        <f t="shared" si="106"/>
        <v>105</v>
      </c>
      <c r="T536" s="66">
        <f t="shared" si="107"/>
        <v>1936.7645499999999</v>
      </c>
      <c r="U536" s="68">
        <f t="shared" si="108"/>
        <v>69.170162499999989</v>
      </c>
      <c r="V536" s="68">
        <f t="shared" si="109"/>
        <v>504.89169708029186</v>
      </c>
      <c r="W536" s="68">
        <f t="shared" si="110"/>
        <v>336.59446472019459</v>
      </c>
    </row>
    <row r="537" spans="1:23" x14ac:dyDescent="0.25">
      <c r="A537" s="169" t="s">
        <v>888</v>
      </c>
      <c r="B537" s="61" t="s">
        <v>396</v>
      </c>
      <c r="C537" s="61" t="s">
        <v>591</v>
      </c>
      <c r="D537" s="61" t="s">
        <v>595</v>
      </c>
      <c r="E537" s="1" t="s">
        <v>872</v>
      </c>
      <c r="F537" s="62" t="str">
        <f t="shared" si="111"/>
        <v>64508</v>
      </c>
      <c r="G537" s="1">
        <v>10620010</v>
      </c>
      <c r="H537" s="1" t="s">
        <v>388</v>
      </c>
      <c r="I537" s="61">
        <v>29</v>
      </c>
      <c r="J537" s="61">
        <v>4.0999999999999996</v>
      </c>
      <c r="K537" s="61">
        <v>8.3000000000000007</v>
      </c>
      <c r="L537" s="69">
        <f t="shared" si="100"/>
        <v>1.1889999999999998</v>
      </c>
      <c r="M537" s="69">
        <f t="shared" si="101"/>
        <v>2.407</v>
      </c>
      <c r="N537" s="56">
        <f>INDEX(Rate_Chart!$A$1:$AK$127,MATCH(Data!J537,Rate_Chart!$A$1:$A$127,0),MATCH(Data!K537,Rate_Chart!$A$1:$AK$1,0))</f>
        <v>40.172153700000003</v>
      </c>
      <c r="O537" s="57">
        <f t="shared" si="102"/>
        <v>1164.9924573000001</v>
      </c>
      <c r="P537" s="58">
        <f t="shared" si="103"/>
        <v>417.01197612456752</v>
      </c>
      <c r="Q537" s="58">
        <f t="shared" si="104"/>
        <v>278.00798408304502</v>
      </c>
      <c r="R537" s="66">
        <f t="shared" si="105"/>
        <v>20.387368002750001</v>
      </c>
      <c r="S537" s="64">
        <f t="shared" si="106"/>
        <v>108.75</v>
      </c>
      <c r="T537" s="66">
        <f t="shared" si="107"/>
        <v>1294.1298253027501</v>
      </c>
      <c r="U537" s="68">
        <f t="shared" si="108"/>
        <v>44.625166389749999</v>
      </c>
      <c r="V537" s="68">
        <f t="shared" si="109"/>
        <v>463.23702134688585</v>
      </c>
      <c r="W537" s="68">
        <f t="shared" si="110"/>
        <v>308.82468089792388</v>
      </c>
    </row>
    <row r="538" spans="1:23" x14ac:dyDescent="0.25">
      <c r="A538" s="169" t="s">
        <v>888</v>
      </c>
      <c r="B538" s="61" t="s">
        <v>397</v>
      </c>
      <c r="C538" s="61" t="s">
        <v>591</v>
      </c>
      <c r="D538" s="61" t="s">
        <v>595</v>
      </c>
      <c r="E538" s="1" t="s">
        <v>872</v>
      </c>
      <c r="F538" s="62" t="str">
        <f t="shared" si="111"/>
        <v>64508</v>
      </c>
      <c r="G538" s="1">
        <v>10620010</v>
      </c>
      <c r="H538" s="1" t="s">
        <v>387</v>
      </c>
      <c r="I538" s="61">
        <v>22</v>
      </c>
      <c r="J538" s="61">
        <v>7.4</v>
      </c>
      <c r="K538" s="61">
        <v>9</v>
      </c>
      <c r="L538" s="69">
        <f t="shared" si="100"/>
        <v>1.6280000000000001</v>
      </c>
      <c r="M538" s="69">
        <f t="shared" si="101"/>
        <v>1.98</v>
      </c>
      <c r="N538" s="56">
        <f>INDEX(Rate_Chart!$A$1:$AK$127,MATCH(Data!J538,Rate_Chart!$A$1:$A$127,0),MATCH(Data!K538,Rate_Chart!$A$1:$AK$1,0))</f>
        <v>61.790000000000006</v>
      </c>
      <c r="O538" s="57">
        <f t="shared" si="102"/>
        <v>1359.38</v>
      </c>
      <c r="P538" s="58">
        <f t="shared" si="103"/>
        <v>461.11940298507466</v>
      </c>
      <c r="Q538" s="58">
        <f t="shared" si="104"/>
        <v>307.41293532338312</v>
      </c>
      <c r="R538" s="66">
        <f t="shared" si="105"/>
        <v>23.789150000000003</v>
      </c>
      <c r="S538" s="64">
        <f t="shared" si="106"/>
        <v>82.5</v>
      </c>
      <c r="T538" s="66">
        <f t="shared" si="107"/>
        <v>1465.6691500000002</v>
      </c>
      <c r="U538" s="68">
        <f t="shared" si="108"/>
        <v>66.621325000000013</v>
      </c>
      <c r="V538" s="68">
        <f t="shared" si="109"/>
        <v>497.17406716417918</v>
      </c>
      <c r="W538" s="68">
        <f t="shared" si="110"/>
        <v>331.44937810945277</v>
      </c>
    </row>
    <row r="539" spans="1:23" x14ac:dyDescent="0.25">
      <c r="A539" s="169" t="s">
        <v>889</v>
      </c>
      <c r="B539" s="61" t="s">
        <v>396</v>
      </c>
      <c r="C539" s="61" t="s">
        <v>591</v>
      </c>
      <c r="D539" s="61" t="s">
        <v>595</v>
      </c>
      <c r="E539" s="1" t="s">
        <v>872</v>
      </c>
      <c r="F539" s="62" t="str">
        <f t="shared" si="111"/>
        <v>64508</v>
      </c>
      <c r="G539" s="1">
        <v>10620010</v>
      </c>
      <c r="H539" s="1" t="s">
        <v>387</v>
      </c>
      <c r="I539" s="61">
        <v>13</v>
      </c>
      <c r="J539" s="61">
        <v>7.4</v>
      </c>
      <c r="K539" s="61">
        <v>9</v>
      </c>
      <c r="L539" s="69">
        <f t="shared" si="100"/>
        <v>0.96200000000000008</v>
      </c>
      <c r="M539" s="69">
        <f t="shared" si="101"/>
        <v>1.17</v>
      </c>
      <c r="N539" s="56">
        <f>INDEX(Rate_Chart!$A$1:$AK$127,MATCH(Data!J539,Rate_Chart!$A$1:$A$127,0),MATCH(Data!K539,Rate_Chart!$A$1:$AK$1,0))</f>
        <v>61.790000000000006</v>
      </c>
      <c r="O539" s="57">
        <f t="shared" si="102"/>
        <v>803.2700000000001</v>
      </c>
      <c r="P539" s="58">
        <f t="shared" si="103"/>
        <v>461.11940298507466</v>
      </c>
      <c r="Q539" s="58">
        <f t="shared" si="104"/>
        <v>307.41293532338312</v>
      </c>
      <c r="R539" s="66">
        <f t="shared" si="105"/>
        <v>14.057225000000003</v>
      </c>
      <c r="S539" s="64">
        <f t="shared" si="106"/>
        <v>48.75</v>
      </c>
      <c r="T539" s="66">
        <f t="shared" si="107"/>
        <v>866.07722500000011</v>
      </c>
      <c r="U539" s="68">
        <f t="shared" si="108"/>
        <v>66.621325000000013</v>
      </c>
      <c r="V539" s="68">
        <f t="shared" si="109"/>
        <v>497.17406716417918</v>
      </c>
      <c r="W539" s="68">
        <f t="shared" si="110"/>
        <v>331.44937810945277</v>
      </c>
    </row>
    <row r="540" spans="1:23" x14ac:dyDescent="0.25">
      <c r="A540" s="169" t="s">
        <v>889</v>
      </c>
      <c r="B540" s="61" t="s">
        <v>397</v>
      </c>
      <c r="C540" s="61" t="s">
        <v>591</v>
      </c>
      <c r="D540" s="61" t="s">
        <v>595</v>
      </c>
      <c r="E540" s="1" t="s">
        <v>872</v>
      </c>
      <c r="F540" s="62" t="str">
        <f t="shared" si="111"/>
        <v>64508</v>
      </c>
      <c r="G540" s="1">
        <v>10620010</v>
      </c>
      <c r="H540" s="1" t="s">
        <v>387</v>
      </c>
      <c r="I540" s="61">
        <v>24</v>
      </c>
      <c r="J540" s="61">
        <v>7</v>
      </c>
      <c r="K540" s="61">
        <v>9</v>
      </c>
      <c r="L540" s="69">
        <f t="shared" si="100"/>
        <v>1.68</v>
      </c>
      <c r="M540" s="69">
        <f t="shared" si="101"/>
        <v>2.16</v>
      </c>
      <c r="N540" s="56">
        <f>INDEX(Rate_Chart!$A$1:$AK$127,MATCH(Data!J540,Rate_Chart!$A$1:$A$127,0),MATCH(Data!K540,Rate_Chart!$A$1:$AK$1,0))</f>
        <v>58.45</v>
      </c>
      <c r="O540" s="57">
        <f t="shared" si="102"/>
        <v>1402.8000000000002</v>
      </c>
      <c r="P540" s="58">
        <f t="shared" si="103"/>
        <v>449.61538461538464</v>
      </c>
      <c r="Q540" s="58">
        <f t="shared" si="104"/>
        <v>299.74358974358978</v>
      </c>
      <c r="R540" s="66">
        <f t="shared" si="105"/>
        <v>24.549000000000007</v>
      </c>
      <c r="S540" s="64">
        <f t="shared" si="106"/>
        <v>90</v>
      </c>
      <c r="T540" s="66">
        <f t="shared" si="107"/>
        <v>1517.3490000000002</v>
      </c>
      <c r="U540" s="68">
        <f t="shared" si="108"/>
        <v>63.222875000000009</v>
      </c>
      <c r="V540" s="68">
        <f t="shared" si="109"/>
        <v>486.32980769230772</v>
      </c>
      <c r="W540" s="68">
        <f t="shared" si="110"/>
        <v>324.21987179487184</v>
      </c>
    </row>
    <row r="541" spans="1:23" x14ac:dyDescent="0.25">
      <c r="A541" s="169" t="s">
        <v>889</v>
      </c>
      <c r="B541" s="61" t="s">
        <v>397</v>
      </c>
      <c r="C541" s="61" t="s">
        <v>591</v>
      </c>
      <c r="D541" s="61" t="s">
        <v>595</v>
      </c>
      <c r="E541" s="1" t="s">
        <v>872</v>
      </c>
      <c r="F541" s="62" t="str">
        <f t="shared" si="111"/>
        <v>64508</v>
      </c>
      <c r="G541" s="1">
        <v>10620010</v>
      </c>
      <c r="H541" s="1" t="s">
        <v>388</v>
      </c>
      <c r="I541" s="61">
        <v>12</v>
      </c>
      <c r="J541" s="61">
        <v>3.8</v>
      </c>
      <c r="K541" s="61">
        <v>8.5</v>
      </c>
      <c r="L541" s="69">
        <f t="shared" ref="L541:L559" si="112">J541*I541/100</f>
        <v>0.45599999999999996</v>
      </c>
      <c r="M541" s="69">
        <f t="shared" ref="M541:M559" si="113">K541*I541/100</f>
        <v>1.02</v>
      </c>
      <c r="N541" s="56">
        <f>INDEX(Rate_Chart!$A$1:$AK$127,MATCH(Data!J541,Rate_Chart!$A$1:$A$127,0),MATCH(Data!K541,Rate_Chart!$A$1:$AK$1,0))</f>
        <v>39.4771815</v>
      </c>
      <c r="O541" s="57">
        <f t="shared" ref="O541:O559" si="114">N541*I541</f>
        <v>473.726178</v>
      </c>
      <c r="P541" s="58">
        <f t="shared" ref="P541:P559" si="115">N541/(J541%+K541%*2/3)</f>
        <v>417.0124806338028</v>
      </c>
      <c r="Q541" s="58">
        <f t="shared" ref="Q541:Q559" si="116">P541*2/3</f>
        <v>278.00832042253518</v>
      </c>
      <c r="R541" s="66">
        <f t="shared" ref="R541:R559" si="117">O541*1.75%</f>
        <v>8.2902081150000004</v>
      </c>
      <c r="S541" s="64">
        <f t="shared" ref="S541:S559" si="118">I541*3.75</f>
        <v>45</v>
      </c>
      <c r="T541" s="66">
        <f t="shared" ref="T541:T559" si="119">R541+S541+O541</f>
        <v>527.01638611500005</v>
      </c>
      <c r="U541" s="68">
        <f t="shared" ref="U541:U559" si="120">T541/I541</f>
        <v>43.918032176250001</v>
      </c>
      <c r="V541" s="68">
        <f t="shared" ref="V541:V559" si="121">U541/(J541%+K541%*2/3)</f>
        <v>463.92287510123236</v>
      </c>
      <c r="W541" s="68">
        <f t="shared" ref="W541:W559" si="122">V541*2/3</f>
        <v>309.28191673415489</v>
      </c>
    </row>
    <row r="542" spans="1:23" x14ac:dyDescent="0.25">
      <c r="A542" s="169" t="s">
        <v>890</v>
      </c>
      <c r="B542" s="61" t="s">
        <v>396</v>
      </c>
      <c r="C542" s="61" t="s">
        <v>591</v>
      </c>
      <c r="D542" s="61" t="s">
        <v>595</v>
      </c>
      <c r="E542" s="1" t="s">
        <v>872</v>
      </c>
      <c r="F542" s="62" t="str">
        <f t="shared" si="111"/>
        <v>64508</v>
      </c>
      <c r="G542" s="1">
        <v>10620010</v>
      </c>
      <c r="H542" s="1" t="s">
        <v>387</v>
      </c>
      <c r="I542" s="61">
        <v>30</v>
      </c>
      <c r="J542" s="61">
        <v>7.2</v>
      </c>
      <c r="K542" s="61">
        <v>9</v>
      </c>
      <c r="L542" s="69">
        <f t="shared" si="112"/>
        <v>2.16</v>
      </c>
      <c r="M542" s="69">
        <f t="shared" si="113"/>
        <v>2.7</v>
      </c>
      <c r="N542" s="56">
        <f>INDEX(Rate_Chart!$A$1:$AK$127,MATCH(Data!J542,Rate_Chart!$A$1:$A$127,0),MATCH(Data!K542,Rate_Chart!$A$1:$AK$1,0))</f>
        <v>60.120000000000005</v>
      </c>
      <c r="O542" s="57">
        <f t="shared" si="114"/>
        <v>1803.6000000000001</v>
      </c>
      <c r="P542" s="58">
        <f t="shared" si="115"/>
        <v>455.4545454545455</v>
      </c>
      <c r="Q542" s="58">
        <f t="shared" si="116"/>
        <v>303.63636363636368</v>
      </c>
      <c r="R542" s="66">
        <f t="shared" si="117"/>
        <v>31.563000000000006</v>
      </c>
      <c r="S542" s="64">
        <f t="shared" si="118"/>
        <v>112.5</v>
      </c>
      <c r="T542" s="66">
        <f t="shared" si="119"/>
        <v>1947.6630000000002</v>
      </c>
      <c r="U542" s="68">
        <f t="shared" si="120"/>
        <v>64.922100000000015</v>
      </c>
      <c r="V542" s="68">
        <f t="shared" si="121"/>
        <v>491.834090909091</v>
      </c>
      <c r="W542" s="68">
        <f t="shared" si="122"/>
        <v>327.88939393939398</v>
      </c>
    </row>
    <row r="543" spans="1:23" x14ac:dyDescent="0.25">
      <c r="A543" s="169" t="s">
        <v>890</v>
      </c>
      <c r="B543" s="61" t="s">
        <v>396</v>
      </c>
      <c r="C543" s="61" t="s">
        <v>591</v>
      </c>
      <c r="D543" s="61" t="s">
        <v>595</v>
      </c>
      <c r="E543" s="1" t="s">
        <v>872</v>
      </c>
      <c r="F543" s="62" t="str">
        <f t="shared" si="111"/>
        <v>64508</v>
      </c>
      <c r="G543" s="1">
        <v>10620010</v>
      </c>
      <c r="H543" s="1" t="s">
        <v>388</v>
      </c>
      <c r="I543" s="61">
        <v>32</v>
      </c>
      <c r="J543" s="61">
        <v>3.9</v>
      </c>
      <c r="K543" s="61">
        <v>8.4</v>
      </c>
      <c r="L543" s="69">
        <f t="shared" si="112"/>
        <v>1.248</v>
      </c>
      <c r="M543" s="69">
        <f t="shared" si="113"/>
        <v>2.6880000000000002</v>
      </c>
      <c r="N543" s="56">
        <f>INDEX(Rate_Chart!$A$1:$AK$127,MATCH(Data!J543,Rate_Chart!$A$1:$A$127,0),MATCH(Data!K543,Rate_Chart!$A$1:$AK$1,0))</f>
        <v>39.616167600000011</v>
      </c>
      <c r="O543" s="57">
        <f t="shared" si="114"/>
        <v>1267.7173632000004</v>
      </c>
      <c r="P543" s="58">
        <f t="shared" si="115"/>
        <v>417.01229052631589</v>
      </c>
      <c r="Q543" s="58">
        <f t="shared" si="116"/>
        <v>278.0081936842106</v>
      </c>
      <c r="R543" s="66">
        <f t="shared" si="117"/>
        <v>22.185053856000007</v>
      </c>
      <c r="S543" s="64">
        <f t="shared" si="118"/>
        <v>120</v>
      </c>
      <c r="T543" s="66">
        <f t="shared" si="119"/>
        <v>1409.9024170560003</v>
      </c>
      <c r="U543" s="68">
        <f t="shared" si="120"/>
        <v>44.05945053300001</v>
      </c>
      <c r="V543" s="68">
        <f t="shared" si="121"/>
        <v>463.78368982105275</v>
      </c>
      <c r="W543" s="68">
        <f t="shared" si="122"/>
        <v>309.18912654736852</v>
      </c>
    </row>
    <row r="544" spans="1:23" x14ac:dyDescent="0.25">
      <c r="A544" s="169" t="s">
        <v>890</v>
      </c>
      <c r="B544" s="61" t="s">
        <v>397</v>
      </c>
      <c r="C544" s="61" t="s">
        <v>591</v>
      </c>
      <c r="D544" s="61" t="s">
        <v>595</v>
      </c>
      <c r="E544" s="1" t="s">
        <v>872</v>
      </c>
      <c r="F544" s="62" t="str">
        <f t="shared" si="111"/>
        <v>64508</v>
      </c>
      <c r="G544" s="1">
        <v>10620010</v>
      </c>
      <c r="H544" s="1" t="s">
        <v>387</v>
      </c>
      <c r="I544" s="61">
        <v>26</v>
      </c>
      <c r="J544" s="61">
        <v>7.2</v>
      </c>
      <c r="K544" s="61">
        <v>9</v>
      </c>
      <c r="L544" s="69">
        <f t="shared" si="112"/>
        <v>1.8720000000000001</v>
      </c>
      <c r="M544" s="69">
        <f t="shared" si="113"/>
        <v>2.34</v>
      </c>
      <c r="N544" s="56">
        <f>INDEX(Rate_Chart!$A$1:$AK$127,MATCH(Data!J544,Rate_Chart!$A$1:$A$127,0),MATCH(Data!K544,Rate_Chart!$A$1:$AK$1,0))</f>
        <v>60.120000000000005</v>
      </c>
      <c r="O544" s="57">
        <f t="shared" si="114"/>
        <v>1563.1200000000001</v>
      </c>
      <c r="P544" s="58">
        <f t="shared" si="115"/>
        <v>455.4545454545455</v>
      </c>
      <c r="Q544" s="58">
        <f t="shared" si="116"/>
        <v>303.63636363636368</v>
      </c>
      <c r="R544" s="66">
        <f t="shared" si="117"/>
        <v>27.354600000000005</v>
      </c>
      <c r="S544" s="64">
        <f t="shared" si="118"/>
        <v>97.5</v>
      </c>
      <c r="T544" s="66">
        <f t="shared" si="119"/>
        <v>1687.9746</v>
      </c>
      <c r="U544" s="68">
        <f t="shared" si="120"/>
        <v>64.9221</v>
      </c>
      <c r="V544" s="68">
        <f t="shared" si="121"/>
        <v>491.83409090909089</v>
      </c>
      <c r="W544" s="68">
        <f t="shared" si="122"/>
        <v>327.88939393939393</v>
      </c>
    </row>
    <row r="545" spans="1:23" x14ac:dyDescent="0.25">
      <c r="A545" s="169" t="s">
        <v>890</v>
      </c>
      <c r="B545" s="61" t="s">
        <v>397</v>
      </c>
      <c r="C545" s="61" t="s">
        <v>591</v>
      </c>
      <c r="D545" s="61" t="s">
        <v>595</v>
      </c>
      <c r="E545" s="1" t="s">
        <v>872</v>
      </c>
      <c r="F545" s="62" t="str">
        <f t="shared" si="111"/>
        <v>64508</v>
      </c>
      <c r="G545" s="1">
        <v>10620010</v>
      </c>
      <c r="H545" s="1" t="s">
        <v>388</v>
      </c>
      <c r="I545" s="61">
        <v>11</v>
      </c>
      <c r="J545" s="61">
        <v>3.8</v>
      </c>
      <c r="K545" s="61">
        <v>8.4</v>
      </c>
      <c r="L545" s="69">
        <f t="shared" si="112"/>
        <v>0.41799999999999998</v>
      </c>
      <c r="M545" s="69">
        <f t="shared" si="113"/>
        <v>0.92400000000000004</v>
      </c>
      <c r="N545" s="56">
        <f>INDEX(Rate_Chart!$A$1:$AK$127,MATCH(Data!J545,Rate_Chart!$A$1:$A$127,0),MATCH(Data!K545,Rate_Chart!$A$1:$AK$1,0))</f>
        <v>39.19916760000001</v>
      </c>
      <c r="O545" s="57">
        <f t="shared" si="114"/>
        <v>431.19084360000011</v>
      </c>
      <c r="P545" s="58">
        <f t="shared" si="115"/>
        <v>417.01242127659583</v>
      </c>
      <c r="Q545" s="58">
        <f t="shared" si="116"/>
        <v>278.00828085106389</v>
      </c>
      <c r="R545" s="66">
        <f t="shared" si="117"/>
        <v>7.5458397630000027</v>
      </c>
      <c r="S545" s="64">
        <f t="shared" si="118"/>
        <v>41.25</v>
      </c>
      <c r="T545" s="66">
        <f t="shared" si="119"/>
        <v>479.98668336300011</v>
      </c>
      <c r="U545" s="68">
        <f t="shared" si="120"/>
        <v>43.635153033000009</v>
      </c>
      <c r="V545" s="68">
        <f t="shared" si="121"/>
        <v>464.20375567021284</v>
      </c>
      <c r="W545" s="68">
        <f t="shared" si="122"/>
        <v>309.46917044680856</v>
      </c>
    </row>
    <row r="546" spans="1:23" x14ac:dyDescent="0.25">
      <c r="A546" s="169" t="s">
        <v>891</v>
      </c>
      <c r="B546" s="61" t="s">
        <v>396</v>
      </c>
      <c r="C546" s="61" t="s">
        <v>591</v>
      </c>
      <c r="D546" s="61" t="s">
        <v>595</v>
      </c>
      <c r="E546" s="1" t="s">
        <v>872</v>
      </c>
      <c r="F546" s="62" t="str">
        <f t="shared" si="111"/>
        <v>64508</v>
      </c>
      <c r="G546" s="1">
        <v>10620010</v>
      </c>
      <c r="H546" s="1" t="s">
        <v>387</v>
      </c>
      <c r="I546" s="61">
        <v>30</v>
      </c>
      <c r="J546" s="61">
        <v>7.4</v>
      </c>
      <c r="K546" s="61">
        <v>9</v>
      </c>
      <c r="L546" s="69">
        <f t="shared" si="112"/>
        <v>2.2200000000000002</v>
      </c>
      <c r="M546" s="69">
        <f t="shared" si="113"/>
        <v>2.7</v>
      </c>
      <c r="N546" s="56">
        <f>INDEX(Rate_Chart!$A$1:$AK$127,MATCH(Data!J546,Rate_Chart!$A$1:$A$127,0),MATCH(Data!K546,Rate_Chart!$A$1:$AK$1,0))</f>
        <v>61.790000000000006</v>
      </c>
      <c r="O546" s="57">
        <f t="shared" si="114"/>
        <v>1853.7000000000003</v>
      </c>
      <c r="P546" s="58">
        <f t="shared" si="115"/>
        <v>461.11940298507466</v>
      </c>
      <c r="Q546" s="58">
        <f t="shared" si="116"/>
        <v>307.41293532338312</v>
      </c>
      <c r="R546" s="66">
        <f t="shared" si="117"/>
        <v>32.439750000000011</v>
      </c>
      <c r="S546" s="64">
        <f t="shared" si="118"/>
        <v>112.5</v>
      </c>
      <c r="T546" s="66">
        <f t="shared" si="119"/>
        <v>1998.6397500000003</v>
      </c>
      <c r="U546" s="68">
        <f t="shared" si="120"/>
        <v>66.621325000000013</v>
      </c>
      <c r="V546" s="68">
        <f t="shared" si="121"/>
        <v>497.17406716417918</v>
      </c>
      <c r="W546" s="68">
        <f t="shared" si="122"/>
        <v>331.44937810945277</v>
      </c>
    </row>
    <row r="547" spans="1:23" x14ac:dyDescent="0.25">
      <c r="A547" s="169" t="s">
        <v>891</v>
      </c>
      <c r="B547" s="61" t="s">
        <v>396</v>
      </c>
      <c r="C547" s="61" t="s">
        <v>591</v>
      </c>
      <c r="D547" s="61" t="s">
        <v>595</v>
      </c>
      <c r="E547" s="1" t="s">
        <v>872</v>
      </c>
      <c r="F547" s="62" t="str">
        <f t="shared" si="111"/>
        <v>64508</v>
      </c>
      <c r="G547" s="1">
        <v>10620010</v>
      </c>
      <c r="H547" s="1" t="s">
        <v>388</v>
      </c>
      <c r="I547" s="61">
        <v>28</v>
      </c>
      <c r="J547" s="61">
        <v>3.8</v>
      </c>
      <c r="K547" s="61">
        <v>8.4</v>
      </c>
      <c r="L547" s="69">
        <f t="shared" si="112"/>
        <v>1.0639999999999998</v>
      </c>
      <c r="M547" s="69">
        <f t="shared" si="113"/>
        <v>2.3520000000000003</v>
      </c>
      <c r="N547" s="56">
        <f>INDEX(Rate_Chart!$A$1:$AK$127,MATCH(Data!J547,Rate_Chart!$A$1:$A$127,0),MATCH(Data!K547,Rate_Chart!$A$1:$AK$1,0))</f>
        <v>39.19916760000001</v>
      </c>
      <c r="O547" s="57">
        <f t="shared" si="114"/>
        <v>1097.5766928000003</v>
      </c>
      <c r="P547" s="58">
        <f t="shared" si="115"/>
        <v>417.01242127659583</v>
      </c>
      <c r="Q547" s="58">
        <f t="shared" si="116"/>
        <v>278.00828085106389</v>
      </c>
      <c r="R547" s="66">
        <f t="shared" si="117"/>
        <v>19.207592124000005</v>
      </c>
      <c r="S547" s="64">
        <f t="shared" si="118"/>
        <v>105</v>
      </c>
      <c r="T547" s="66">
        <f t="shared" si="119"/>
        <v>1221.7842849240003</v>
      </c>
      <c r="U547" s="68">
        <f t="shared" si="120"/>
        <v>43.635153033000009</v>
      </c>
      <c r="V547" s="68">
        <f t="shared" si="121"/>
        <v>464.20375567021284</v>
      </c>
      <c r="W547" s="68">
        <f t="shared" si="122"/>
        <v>309.46917044680856</v>
      </c>
    </row>
    <row r="548" spans="1:23" x14ac:dyDescent="0.25">
      <c r="A548" s="169" t="s">
        <v>891</v>
      </c>
      <c r="B548" s="61" t="s">
        <v>397</v>
      </c>
      <c r="C548" s="61" t="s">
        <v>591</v>
      </c>
      <c r="D548" s="61" t="s">
        <v>595</v>
      </c>
      <c r="E548" s="1" t="s">
        <v>872</v>
      </c>
      <c r="F548" s="62" t="str">
        <f t="shared" si="111"/>
        <v>64508</v>
      </c>
      <c r="G548" s="1">
        <v>10620010</v>
      </c>
      <c r="H548" s="1" t="s">
        <v>387</v>
      </c>
      <c r="I548" s="61">
        <v>20</v>
      </c>
      <c r="J548" s="61">
        <v>7.6</v>
      </c>
      <c r="K548" s="61">
        <v>9</v>
      </c>
      <c r="L548" s="69">
        <f t="shared" si="112"/>
        <v>1.52</v>
      </c>
      <c r="M548" s="69">
        <f t="shared" si="113"/>
        <v>1.8</v>
      </c>
      <c r="N548" s="56">
        <f>INDEX(Rate_Chart!$A$1:$AK$127,MATCH(Data!J548,Rate_Chart!$A$1:$A$127,0),MATCH(Data!K548,Rate_Chart!$A$1:$AK$1,0))</f>
        <v>63.46</v>
      </c>
      <c r="O548" s="57">
        <f t="shared" si="114"/>
        <v>1269.2</v>
      </c>
      <c r="P548" s="58">
        <f t="shared" si="115"/>
        <v>466.61764705882348</v>
      </c>
      <c r="Q548" s="58">
        <f t="shared" si="116"/>
        <v>311.07843137254901</v>
      </c>
      <c r="R548" s="66">
        <f t="shared" si="117"/>
        <v>22.211000000000002</v>
      </c>
      <c r="S548" s="64">
        <f t="shared" si="118"/>
        <v>75</v>
      </c>
      <c r="T548" s="66">
        <f t="shared" si="119"/>
        <v>1366.4110000000001</v>
      </c>
      <c r="U548" s="68">
        <f t="shared" si="120"/>
        <v>68.320549999999997</v>
      </c>
      <c r="V548" s="68">
        <f t="shared" si="121"/>
        <v>502.35698529411758</v>
      </c>
      <c r="W548" s="68">
        <f t="shared" si="122"/>
        <v>334.90465686274507</v>
      </c>
    </row>
    <row r="549" spans="1:23" x14ac:dyDescent="0.25">
      <c r="A549" s="169" t="s">
        <v>892</v>
      </c>
      <c r="B549" s="61" t="s">
        <v>396</v>
      </c>
      <c r="C549" s="61" t="s">
        <v>591</v>
      </c>
      <c r="D549" s="61" t="s">
        <v>595</v>
      </c>
      <c r="E549" s="1" t="s">
        <v>872</v>
      </c>
      <c r="F549" s="62" t="str">
        <f t="shared" si="111"/>
        <v>64508</v>
      </c>
      <c r="G549" s="1">
        <v>10620010</v>
      </c>
      <c r="H549" s="1" t="s">
        <v>387</v>
      </c>
      <c r="I549" s="61">
        <v>34</v>
      </c>
      <c r="J549" s="61">
        <v>7.3</v>
      </c>
      <c r="K549" s="61">
        <v>9</v>
      </c>
      <c r="L549" s="69">
        <f t="shared" si="112"/>
        <v>2.4819999999999998</v>
      </c>
      <c r="M549" s="69">
        <f t="shared" si="113"/>
        <v>3.06</v>
      </c>
      <c r="N549" s="56">
        <f>INDEX(Rate_Chart!$A$1:$AK$127,MATCH(Data!J549,Rate_Chart!$A$1:$A$127,0),MATCH(Data!K549,Rate_Chart!$A$1:$AK$1,0))</f>
        <v>60.954999999999998</v>
      </c>
      <c r="O549" s="57">
        <f t="shared" si="114"/>
        <v>2072.4699999999998</v>
      </c>
      <c r="P549" s="58">
        <f t="shared" si="115"/>
        <v>458.30827067669168</v>
      </c>
      <c r="Q549" s="58">
        <f t="shared" si="116"/>
        <v>305.53884711779443</v>
      </c>
      <c r="R549" s="66">
        <f t="shared" si="117"/>
        <v>36.268225000000001</v>
      </c>
      <c r="S549" s="64">
        <f t="shared" si="118"/>
        <v>127.5</v>
      </c>
      <c r="T549" s="66">
        <f t="shared" si="119"/>
        <v>2236.2382249999996</v>
      </c>
      <c r="U549" s="68">
        <f t="shared" si="120"/>
        <v>65.771712499999992</v>
      </c>
      <c r="V549" s="68">
        <f t="shared" si="121"/>
        <v>494.52415413533828</v>
      </c>
      <c r="W549" s="68">
        <f t="shared" si="122"/>
        <v>329.68276942355885</v>
      </c>
    </row>
    <row r="550" spans="1:23" x14ac:dyDescent="0.25">
      <c r="A550" s="169" t="s">
        <v>892</v>
      </c>
      <c r="B550" s="61" t="s">
        <v>397</v>
      </c>
      <c r="C550" s="61" t="s">
        <v>591</v>
      </c>
      <c r="D550" s="61" t="s">
        <v>595</v>
      </c>
      <c r="E550" s="1" t="s">
        <v>872</v>
      </c>
      <c r="F550" s="62" t="str">
        <f t="shared" si="111"/>
        <v>64508</v>
      </c>
      <c r="G550" s="1">
        <v>10620010</v>
      </c>
      <c r="H550" s="1" t="s">
        <v>387</v>
      </c>
      <c r="I550" s="61">
        <v>22</v>
      </c>
      <c r="J550" s="61">
        <v>7.4</v>
      </c>
      <c r="K550" s="61">
        <v>9</v>
      </c>
      <c r="L550" s="69">
        <f t="shared" si="112"/>
        <v>1.6280000000000001</v>
      </c>
      <c r="M550" s="69">
        <f t="shared" si="113"/>
        <v>1.98</v>
      </c>
      <c r="N550" s="56">
        <f>INDEX(Rate_Chart!$A$1:$AK$127,MATCH(Data!J550,Rate_Chart!$A$1:$A$127,0),MATCH(Data!K550,Rate_Chart!$A$1:$AK$1,0))</f>
        <v>61.790000000000006</v>
      </c>
      <c r="O550" s="57">
        <f t="shared" si="114"/>
        <v>1359.38</v>
      </c>
      <c r="P550" s="58">
        <f t="shared" si="115"/>
        <v>461.11940298507466</v>
      </c>
      <c r="Q550" s="58">
        <f t="shared" si="116"/>
        <v>307.41293532338312</v>
      </c>
      <c r="R550" s="66">
        <f t="shared" si="117"/>
        <v>23.789150000000003</v>
      </c>
      <c r="S550" s="64">
        <f t="shared" si="118"/>
        <v>82.5</v>
      </c>
      <c r="T550" s="66">
        <f t="shared" si="119"/>
        <v>1465.6691500000002</v>
      </c>
      <c r="U550" s="68">
        <f t="shared" si="120"/>
        <v>66.621325000000013</v>
      </c>
      <c r="V550" s="68">
        <f t="shared" si="121"/>
        <v>497.17406716417918</v>
      </c>
      <c r="W550" s="68">
        <f t="shared" si="122"/>
        <v>331.44937810945277</v>
      </c>
    </row>
    <row r="551" spans="1:23" x14ac:dyDescent="0.25">
      <c r="A551" s="169" t="s">
        <v>893</v>
      </c>
      <c r="B551" s="61" t="s">
        <v>396</v>
      </c>
      <c r="C551" s="61" t="s">
        <v>591</v>
      </c>
      <c r="D551" s="61" t="s">
        <v>595</v>
      </c>
      <c r="E551" s="1" t="s">
        <v>872</v>
      </c>
      <c r="F551" s="62" t="str">
        <f t="shared" si="111"/>
        <v>64508</v>
      </c>
      <c r="G551" s="1">
        <v>10620010</v>
      </c>
      <c r="H551" s="1" t="s">
        <v>387</v>
      </c>
      <c r="I551" s="61">
        <v>31</v>
      </c>
      <c r="J551" s="61">
        <v>7.4</v>
      </c>
      <c r="K551" s="61">
        <v>9</v>
      </c>
      <c r="L551" s="69">
        <f t="shared" si="112"/>
        <v>2.294</v>
      </c>
      <c r="M551" s="69">
        <f t="shared" si="113"/>
        <v>2.79</v>
      </c>
      <c r="N551" s="56">
        <f>INDEX(Rate_Chart!$A$1:$AK$127,MATCH(Data!J551,Rate_Chart!$A$1:$A$127,0),MATCH(Data!K551,Rate_Chart!$A$1:$AK$1,0))</f>
        <v>61.790000000000006</v>
      </c>
      <c r="O551" s="57">
        <f t="shared" si="114"/>
        <v>1915.4900000000002</v>
      </c>
      <c r="P551" s="58">
        <f t="shared" si="115"/>
        <v>461.11940298507466</v>
      </c>
      <c r="Q551" s="58">
        <f t="shared" si="116"/>
        <v>307.41293532338312</v>
      </c>
      <c r="R551" s="66">
        <f t="shared" si="117"/>
        <v>33.52107500000001</v>
      </c>
      <c r="S551" s="64">
        <f t="shared" si="118"/>
        <v>116.25</v>
      </c>
      <c r="T551" s="66">
        <f t="shared" si="119"/>
        <v>2065.2610750000003</v>
      </c>
      <c r="U551" s="68">
        <f t="shared" si="120"/>
        <v>66.621325000000013</v>
      </c>
      <c r="V551" s="68">
        <f t="shared" si="121"/>
        <v>497.17406716417918</v>
      </c>
      <c r="W551" s="68">
        <f t="shared" si="122"/>
        <v>331.44937810945277</v>
      </c>
    </row>
    <row r="552" spans="1:23" x14ac:dyDescent="0.25">
      <c r="A552" s="169" t="s">
        <v>893</v>
      </c>
      <c r="B552" s="61" t="s">
        <v>396</v>
      </c>
      <c r="C552" s="61" t="s">
        <v>591</v>
      </c>
      <c r="D552" s="61" t="s">
        <v>595</v>
      </c>
      <c r="E552" s="1" t="s">
        <v>872</v>
      </c>
      <c r="F552" s="62" t="str">
        <f t="shared" si="111"/>
        <v>64508</v>
      </c>
      <c r="G552" s="1">
        <v>10620010</v>
      </c>
      <c r="H552" s="1" t="s">
        <v>388</v>
      </c>
      <c r="I552" s="61">
        <v>21</v>
      </c>
      <c r="J552" s="61">
        <v>3.9</v>
      </c>
      <c r="K552" s="61">
        <v>8.4</v>
      </c>
      <c r="L552" s="69">
        <f t="shared" si="112"/>
        <v>0.81899999999999995</v>
      </c>
      <c r="M552" s="69">
        <f t="shared" si="113"/>
        <v>1.764</v>
      </c>
      <c r="N552" s="56">
        <f>INDEX(Rate_Chart!$A$1:$AK$127,MATCH(Data!J552,Rate_Chart!$A$1:$A$127,0),MATCH(Data!K552,Rate_Chart!$A$1:$AK$1,0))</f>
        <v>39.616167600000011</v>
      </c>
      <c r="O552" s="57">
        <f t="shared" si="114"/>
        <v>831.93951960000027</v>
      </c>
      <c r="P552" s="58">
        <f t="shared" si="115"/>
        <v>417.01229052631589</v>
      </c>
      <c r="Q552" s="58">
        <f t="shared" si="116"/>
        <v>278.0081936842106</v>
      </c>
      <c r="R552" s="66">
        <f t="shared" si="117"/>
        <v>14.558941593000005</v>
      </c>
      <c r="S552" s="64">
        <f t="shared" si="118"/>
        <v>78.75</v>
      </c>
      <c r="T552" s="66">
        <f t="shared" si="119"/>
        <v>925.24846119300025</v>
      </c>
      <c r="U552" s="68">
        <f t="shared" si="120"/>
        <v>44.05945053300001</v>
      </c>
      <c r="V552" s="68">
        <f t="shared" si="121"/>
        <v>463.78368982105275</v>
      </c>
      <c r="W552" s="68">
        <f t="shared" si="122"/>
        <v>309.18912654736852</v>
      </c>
    </row>
    <row r="553" spans="1:23" x14ac:dyDescent="0.25">
      <c r="A553" s="169" t="s">
        <v>893</v>
      </c>
      <c r="B553" s="61" t="s">
        <v>397</v>
      </c>
      <c r="C553" s="61" t="s">
        <v>591</v>
      </c>
      <c r="D553" s="61" t="s">
        <v>595</v>
      </c>
      <c r="E553" s="1" t="s">
        <v>872</v>
      </c>
      <c r="F553" s="62" t="str">
        <f t="shared" si="111"/>
        <v>64508</v>
      </c>
      <c r="G553" s="1">
        <v>10620010</v>
      </c>
      <c r="H553" s="1" t="s">
        <v>387</v>
      </c>
      <c r="I553" s="61">
        <v>20</v>
      </c>
      <c r="J553" s="61">
        <v>7.2</v>
      </c>
      <c r="K553" s="61">
        <v>9</v>
      </c>
      <c r="L553" s="69">
        <f t="shared" si="112"/>
        <v>1.44</v>
      </c>
      <c r="M553" s="69">
        <f t="shared" si="113"/>
        <v>1.8</v>
      </c>
      <c r="N553" s="56">
        <f>INDEX(Rate_Chart!$A$1:$AK$127,MATCH(Data!J553,Rate_Chart!$A$1:$A$127,0),MATCH(Data!K553,Rate_Chart!$A$1:$AK$1,0))</f>
        <v>60.120000000000005</v>
      </c>
      <c r="O553" s="57">
        <f t="shared" si="114"/>
        <v>1202.4000000000001</v>
      </c>
      <c r="P553" s="58">
        <f t="shared" si="115"/>
        <v>455.4545454545455</v>
      </c>
      <c r="Q553" s="58">
        <f t="shared" si="116"/>
        <v>303.63636363636368</v>
      </c>
      <c r="R553" s="66">
        <f t="shared" si="117"/>
        <v>21.042000000000005</v>
      </c>
      <c r="S553" s="64">
        <f t="shared" si="118"/>
        <v>75</v>
      </c>
      <c r="T553" s="66">
        <f t="shared" si="119"/>
        <v>1298.442</v>
      </c>
      <c r="U553" s="68">
        <f t="shared" si="120"/>
        <v>64.9221</v>
      </c>
      <c r="V553" s="68">
        <f t="shared" si="121"/>
        <v>491.83409090909089</v>
      </c>
      <c r="W553" s="68">
        <f t="shared" si="122"/>
        <v>327.88939393939393</v>
      </c>
    </row>
    <row r="554" spans="1:23" x14ac:dyDescent="0.25">
      <c r="A554" s="169" t="s">
        <v>893</v>
      </c>
      <c r="B554" s="61" t="s">
        <v>397</v>
      </c>
      <c r="C554" s="61" t="s">
        <v>591</v>
      </c>
      <c r="D554" s="61" t="s">
        <v>595</v>
      </c>
      <c r="E554" s="1" t="s">
        <v>872</v>
      </c>
      <c r="F554" s="62" t="str">
        <f t="shared" si="111"/>
        <v>64508</v>
      </c>
      <c r="G554" s="1">
        <v>10620010</v>
      </c>
      <c r="H554" s="1" t="s">
        <v>388</v>
      </c>
      <c r="I554" s="61">
        <v>8</v>
      </c>
      <c r="J554" s="61">
        <v>3.4</v>
      </c>
      <c r="K554" s="61">
        <v>8.4</v>
      </c>
      <c r="L554" s="69">
        <f t="shared" si="112"/>
        <v>0.27200000000000002</v>
      </c>
      <c r="M554" s="69">
        <f t="shared" si="113"/>
        <v>0.67200000000000004</v>
      </c>
      <c r="N554" s="56">
        <f>INDEX(Rate_Chart!$A$1:$AK$127,MATCH(Data!J554,Rate_Chart!$A$1:$A$127,0),MATCH(Data!K554,Rate_Chart!$A$1:$AK$1,0))</f>
        <v>37.531167600000003</v>
      </c>
      <c r="O554" s="57">
        <f t="shared" si="114"/>
        <v>300.24934080000003</v>
      </c>
      <c r="P554" s="58">
        <f t="shared" si="115"/>
        <v>417.01297333333338</v>
      </c>
      <c r="Q554" s="58">
        <f t="shared" si="116"/>
        <v>278.0086488888889</v>
      </c>
      <c r="R554" s="66">
        <f t="shared" si="117"/>
        <v>5.2543634640000008</v>
      </c>
      <c r="S554" s="64">
        <f t="shared" si="118"/>
        <v>30</v>
      </c>
      <c r="T554" s="66">
        <f t="shared" si="119"/>
        <v>335.50370426400002</v>
      </c>
      <c r="U554" s="68">
        <f t="shared" si="120"/>
        <v>41.937963033000003</v>
      </c>
      <c r="V554" s="68">
        <f t="shared" si="121"/>
        <v>465.97736703333339</v>
      </c>
      <c r="W554" s="68">
        <f t="shared" si="122"/>
        <v>310.65157802222228</v>
      </c>
    </row>
    <row r="555" spans="1:23" x14ac:dyDescent="0.25">
      <c r="A555" s="169" t="s">
        <v>894</v>
      </c>
      <c r="B555" s="61" t="s">
        <v>396</v>
      </c>
      <c r="C555" s="61" t="s">
        <v>591</v>
      </c>
      <c r="D555" s="61" t="s">
        <v>595</v>
      </c>
      <c r="E555" s="1" t="s">
        <v>872</v>
      </c>
      <c r="F555" s="62" t="str">
        <f t="shared" si="111"/>
        <v>64508</v>
      </c>
      <c r="G555" s="1">
        <v>10620010</v>
      </c>
      <c r="H555" s="1" t="s">
        <v>387</v>
      </c>
      <c r="I555" s="61">
        <v>30</v>
      </c>
      <c r="J555" s="61">
        <v>7.1</v>
      </c>
      <c r="K555" s="61">
        <v>9</v>
      </c>
      <c r="L555" s="69">
        <f t="shared" si="112"/>
        <v>2.13</v>
      </c>
      <c r="M555" s="69">
        <f t="shared" si="113"/>
        <v>2.7</v>
      </c>
      <c r="N555" s="56">
        <f>INDEX(Rate_Chart!$A$1:$AK$127,MATCH(Data!J555,Rate_Chart!$A$1:$A$127,0),MATCH(Data!K555,Rate_Chart!$A$1:$AK$1,0))</f>
        <v>59.284999999999997</v>
      </c>
      <c r="O555" s="57">
        <f t="shared" si="114"/>
        <v>1778.55</v>
      </c>
      <c r="P555" s="58">
        <f t="shared" si="115"/>
        <v>452.55725190839689</v>
      </c>
      <c r="Q555" s="58">
        <f t="shared" si="116"/>
        <v>301.70483460559791</v>
      </c>
      <c r="R555" s="66">
        <f t="shared" si="117"/>
        <v>31.124625000000002</v>
      </c>
      <c r="S555" s="64">
        <f t="shared" si="118"/>
        <v>112.5</v>
      </c>
      <c r="T555" s="66">
        <f t="shared" si="119"/>
        <v>1922.1746249999999</v>
      </c>
      <c r="U555" s="68">
        <f t="shared" si="120"/>
        <v>64.072487499999994</v>
      </c>
      <c r="V555" s="68">
        <f t="shared" si="121"/>
        <v>489.10295801526712</v>
      </c>
      <c r="W555" s="68">
        <f t="shared" si="122"/>
        <v>326.06863867684473</v>
      </c>
    </row>
    <row r="556" spans="1:23" x14ac:dyDescent="0.25">
      <c r="A556" s="169" t="s">
        <v>894</v>
      </c>
      <c r="B556" s="61" t="s">
        <v>396</v>
      </c>
      <c r="C556" s="61" t="s">
        <v>591</v>
      </c>
      <c r="D556" s="61" t="s">
        <v>595</v>
      </c>
      <c r="E556" s="1" t="s">
        <v>872</v>
      </c>
      <c r="F556" s="62" t="str">
        <f t="shared" si="111"/>
        <v>64508</v>
      </c>
      <c r="G556" s="1">
        <v>10620010</v>
      </c>
      <c r="H556" s="1" t="s">
        <v>388</v>
      </c>
      <c r="I556" s="61">
        <v>30</v>
      </c>
      <c r="J556" s="61">
        <v>4</v>
      </c>
      <c r="K556" s="61">
        <v>8.3000000000000007</v>
      </c>
      <c r="L556" s="69">
        <f t="shared" si="112"/>
        <v>1.2</v>
      </c>
      <c r="M556" s="69">
        <f t="shared" si="113"/>
        <v>2.4900000000000002</v>
      </c>
      <c r="N556" s="56">
        <f>INDEX(Rate_Chart!$A$1:$AK$127,MATCH(Data!J556,Rate_Chart!$A$1:$A$127,0),MATCH(Data!K556,Rate_Chart!$A$1:$AK$1,0))</f>
        <v>39.755153700000008</v>
      </c>
      <c r="O556" s="57">
        <f t="shared" si="114"/>
        <v>1192.6546110000002</v>
      </c>
      <c r="P556" s="58">
        <f t="shared" si="115"/>
        <v>417.01210174825178</v>
      </c>
      <c r="Q556" s="58">
        <f t="shared" si="116"/>
        <v>278.00806783216785</v>
      </c>
      <c r="R556" s="66">
        <f t="shared" si="117"/>
        <v>20.871455692500003</v>
      </c>
      <c r="S556" s="64">
        <f t="shared" si="118"/>
        <v>112.5</v>
      </c>
      <c r="T556" s="66">
        <f t="shared" si="119"/>
        <v>1326.0260666925001</v>
      </c>
      <c r="U556" s="68">
        <f t="shared" si="120"/>
        <v>44.200868889750005</v>
      </c>
      <c r="V556" s="68">
        <f t="shared" si="121"/>
        <v>463.6454778645105</v>
      </c>
      <c r="W556" s="68">
        <f t="shared" si="122"/>
        <v>309.096985243007</v>
      </c>
    </row>
    <row r="557" spans="1:23" x14ac:dyDescent="0.25">
      <c r="A557" s="169" t="s">
        <v>894</v>
      </c>
      <c r="B557" s="61" t="s">
        <v>397</v>
      </c>
      <c r="C557" s="61" t="s">
        <v>591</v>
      </c>
      <c r="D557" s="61" t="s">
        <v>595</v>
      </c>
      <c r="E557" s="1" t="s">
        <v>872</v>
      </c>
      <c r="F557" s="62" t="str">
        <f t="shared" si="111"/>
        <v>64508</v>
      </c>
      <c r="G557" s="1">
        <v>10620010</v>
      </c>
      <c r="H557" s="1" t="s">
        <v>387</v>
      </c>
      <c r="I557" s="61">
        <v>26</v>
      </c>
      <c r="J557" s="61">
        <v>7.5</v>
      </c>
      <c r="K557" s="61">
        <v>9</v>
      </c>
      <c r="L557" s="69">
        <f t="shared" si="112"/>
        <v>1.95</v>
      </c>
      <c r="M557" s="69">
        <f t="shared" si="113"/>
        <v>2.34</v>
      </c>
      <c r="N557" s="56">
        <f>INDEX(Rate_Chart!$A$1:$AK$127,MATCH(Data!J557,Rate_Chart!$A$1:$A$127,0),MATCH(Data!K557,Rate_Chart!$A$1:$AK$1,0))</f>
        <v>62.625</v>
      </c>
      <c r="O557" s="57">
        <f t="shared" si="114"/>
        <v>1628.25</v>
      </c>
      <c r="P557" s="58">
        <f t="shared" si="115"/>
        <v>463.88888888888886</v>
      </c>
      <c r="Q557" s="58">
        <f t="shared" si="116"/>
        <v>309.25925925925924</v>
      </c>
      <c r="R557" s="66">
        <f t="shared" si="117"/>
        <v>28.494375000000002</v>
      </c>
      <c r="S557" s="64">
        <f t="shared" si="118"/>
        <v>97.5</v>
      </c>
      <c r="T557" s="66">
        <f t="shared" si="119"/>
        <v>1754.244375</v>
      </c>
      <c r="U557" s="68">
        <f t="shared" si="120"/>
        <v>67.470937500000005</v>
      </c>
      <c r="V557" s="68">
        <f t="shared" si="121"/>
        <v>499.78472222222223</v>
      </c>
      <c r="W557" s="68">
        <f t="shared" si="122"/>
        <v>333.18981481481484</v>
      </c>
    </row>
    <row r="558" spans="1:23" x14ac:dyDescent="0.25">
      <c r="A558" s="169" t="s">
        <v>894</v>
      </c>
      <c r="B558" s="61" t="s">
        <v>397</v>
      </c>
      <c r="C558" s="61" t="s">
        <v>591</v>
      </c>
      <c r="D558" s="61" t="s">
        <v>595</v>
      </c>
      <c r="E558" s="1" t="s">
        <v>872</v>
      </c>
      <c r="F558" s="62" t="str">
        <f t="shared" si="111"/>
        <v>64508</v>
      </c>
      <c r="G558" s="1">
        <v>10620010</v>
      </c>
      <c r="H558" s="1" t="s">
        <v>388</v>
      </c>
      <c r="I558" s="61">
        <v>11</v>
      </c>
      <c r="J558" s="61">
        <v>3.4</v>
      </c>
      <c r="K558" s="61">
        <v>8.1999999999999993</v>
      </c>
      <c r="L558" s="69">
        <f t="shared" si="112"/>
        <v>0.374</v>
      </c>
      <c r="M558" s="69">
        <f t="shared" si="113"/>
        <v>0.90199999999999991</v>
      </c>
      <c r="N558" s="56">
        <f>INDEX(Rate_Chart!$A$1:$AK$127,MATCH(Data!J558,Rate_Chart!$A$1:$A$127,0),MATCH(Data!K558,Rate_Chart!$A$1:$AK$1,0))</f>
        <v>36.975139800000001</v>
      </c>
      <c r="O558" s="57">
        <f t="shared" si="114"/>
        <v>406.72653780000002</v>
      </c>
      <c r="P558" s="58">
        <f t="shared" si="115"/>
        <v>417.01285488721805</v>
      </c>
      <c r="Q558" s="58">
        <f t="shared" si="116"/>
        <v>278.00856992481204</v>
      </c>
      <c r="R558" s="66">
        <f t="shared" si="117"/>
        <v>7.1177144115000006</v>
      </c>
      <c r="S558" s="64">
        <f t="shared" si="118"/>
        <v>41.25</v>
      </c>
      <c r="T558" s="66">
        <f t="shared" si="119"/>
        <v>455.09425221150002</v>
      </c>
      <c r="U558" s="68">
        <f t="shared" si="120"/>
        <v>41.372204746500003</v>
      </c>
      <c r="V558" s="68">
        <f t="shared" si="121"/>
        <v>466.60381293045111</v>
      </c>
      <c r="W558" s="68">
        <f t="shared" si="122"/>
        <v>311.06920862030074</v>
      </c>
    </row>
    <row r="559" spans="1:23" x14ac:dyDescent="0.25">
      <c r="A559" s="169" t="s">
        <v>888</v>
      </c>
      <c r="B559" s="61" t="s">
        <v>396</v>
      </c>
      <c r="C559" s="61" t="s">
        <v>591</v>
      </c>
      <c r="D559" s="61" t="s">
        <v>593</v>
      </c>
      <c r="E559" s="1" t="s">
        <v>359</v>
      </c>
      <c r="F559" s="62" t="str">
        <f t="shared" si="111"/>
        <v>64509</v>
      </c>
      <c r="G559" s="1">
        <v>10620034</v>
      </c>
      <c r="H559" s="1" t="s">
        <v>388</v>
      </c>
      <c r="I559" s="61">
        <v>37</v>
      </c>
      <c r="J559" s="61">
        <v>3</v>
      </c>
      <c r="K559" s="61">
        <v>8</v>
      </c>
      <c r="L559" s="69">
        <f t="shared" si="112"/>
        <v>1.1100000000000001</v>
      </c>
      <c r="M559" s="69">
        <f t="shared" si="113"/>
        <v>2.96</v>
      </c>
      <c r="N559" s="56">
        <f>INDEX(Rate_Chart!$A$1:$AK$127,MATCH(Data!J559,Rate_Chart!$A$1:$A$127,0),MATCH(Data!K559,Rate_Chart!$A$1:$AK$1,0))</f>
        <v>34.751112000000006</v>
      </c>
      <c r="O559" s="57">
        <f t="shared" si="114"/>
        <v>1285.7911440000003</v>
      </c>
      <c r="P559" s="58">
        <f t="shared" si="115"/>
        <v>417.01334400000002</v>
      </c>
      <c r="Q559" s="58">
        <f t="shared" si="116"/>
        <v>278.00889599999999</v>
      </c>
      <c r="R559" s="66">
        <f t="shared" si="117"/>
        <v>22.501345020000006</v>
      </c>
      <c r="S559" s="64">
        <f t="shared" si="118"/>
        <v>138.75</v>
      </c>
      <c r="T559" s="66">
        <f t="shared" si="119"/>
        <v>1447.0424890200002</v>
      </c>
      <c r="U559" s="68">
        <f t="shared" si="120"/>
        <v>39.109256460000005</v>
      </c>
      <c r="V559" s="68">
        <f t="shared" si="121"/>
        <v>469.31107752000003</v>
      </c>
      <c r="W559" s="68">
        <f t="shared" si="122"/>
        <v>312.87405168000004</v>
      </c>
    </row>
    <row r="560" spans="1:23" x14ac:dyDescent="0.25">
      <c r="A560" s="169" t="s">
        <v>888</v>
      </c>
      <c r="B560" s="61" t="s">
        <v>397</v>
      </c>
      <c r="C560" s="61" t="s">
        <v>591</v>
      </c>
      <c r="D560" s="61" t="s">
        <v>593</v>
      </c>
      <c r="E560" s="1" t="s">
        <v>359</v>
      </c>
      <c r="F560" s="62" t="str">
        <f t="shared" si="111"/>
        <v>64509</v>
      </c>
      <c r="G560" s="1">
        <v>10620034</v>
      </c>
      <c r="H560" s="1" t="s">
        <v>388</v>
      </c>
      <c r="I560" s="61">
        <v>44</v>
      </c>
      <c r="J560" s="61">
        <v>3.3</v>
      </c>
      <c r="K560" s="61">
        <v>8</v>
      </c>
      <c r="L560" s="69">
        <f t="shared" ref="L560:L623" si="123">J560*I560/100</f>
        <v>1.452</v>
      </c>
      <c r="M560" s="69">
        <f t="shared" ref="M560:M623" si="124">K560*I560/100</f>
        <v>3.52</v>
      </c>
      <c r="N560" s="56">
        <f>INDEX(Rate_Chart!$A$1:$AK$127,MATCH(Data!J560,Rate_Chart!$A$1:$A$127,0),MATCH(Data!K560,Rate_Chart!$A$1:$AK$1,0))</f>
        <v>36.002112000000004</v>
      </c>
      <c r="O560" s="57">
        <f t="shared" ref="O560:O623" si="125">N560*I560</f>
        <v>1584.0929280000003</v>
      </c>
      <c r="P560" s="58">
        <f t="shared" ref="P560:P623" si="126">N560/(J560%+K560%*2/3)</f>
        <v>417.01288030888031</v>
      </c>
      <c r="Q560" s="58">
        <f t="shared" ref="Q560:Q623" si="127">P560*2/3</f>
        <v>278.00858687258687</v>
      </c>
      <c r="R560" s="66">
        <f t="shared" ref="R560:R623" si="128">O560*1.75%</f>
        <v>27.721626240000006</v>
      </c>
      <c r="S560" s="64">
        <f t="shared" ref="S560:S623" si="129">I560*3.75</f>
        <v>165</v>
      </c>
      <c r="T560" s="66">
        <f t="shared" ref="T560:T623" si="130">R560+S560+O560</f>
        <v>1776.8145542400002</v>
      </c>
      <c r="U560" s="68">
        <f t="shared" ref="U560:U623" si="131">T560/I560</f>
        <v>40.382148960000002</v>
      </c>
      <c r="V560" s="68">
        <f t="shared" ref="V560:V623" si="132">U560/(J560%+K560%*2/3)</f>
        <v>467.74689915057911</v>
      </c>
      <c r="W560" s="68">
        <f t="shared" ref="W560:W623" si="133">V560*2/3</f>
        <v>311.83126610038607</v>
      </c>
    </row>
    <row r="561" spans="1:23" x14ac:dyDescent="0.25">
      <c r="A561" s="169" t="s">
        <v>889</v>
      </c>
      <c r="B561" s="61" t="s">
        <v>396</v>
      </c>
      <c r="C561" s="61" t="s">
        <v>591</v>
      </c>
      <c r="D561" s="61" t="s">
        <v>593</v>
      </c>
      <c r="E561" s="1" t="s">
        <v>359</v>
      </c>
      <c r="F561" s="62" t="str">
        <f t="shared" si="111"/>
        <v>64509</v>
      </c>
      <c r="G561" s="1">
        <v>10620034</v>
      </c>
      <c r="H561" s="1" t="s">
        <v>387</v>
      </c>
      <c r="I561" s="61">
        <v>19</v>
      </c>
      <c r="J561" s="61">
        <v>5.9</v>
      </c>
      <c r="K561" s="61">
        <v>8.6</v>
      </c>
      <c r="L561" s="69">
        <f t="shared" si="123"/>
        <v>1.121</v>
      </c>
      <c r="M561" s="69">
        <f t="shared" si="124"/>
        <v>1.6340000000000001</v>
      </c>
      <c r="N561" s="56">
        <f>INDEX(Rate_Chart!$A$1:$AK$127,MATCH(Data!J561,Rate_Chart!$A$1:$A$127,0),MATCH(Data!K561,Rate_Chart!$A$1:$AK$1,0))</f>
        <v>48.279699999999998</v>
      </c>
      <c r="O561" s="57">
        <f t="shared" si="125"/>
        <v>917.3143</v>
      </c>
      <c r="P561" s="58">
        <f t="shared" si="126"/>
        <v>415.01174785100284</v>
      </c>
      <c r="Q561" s="58">
        <f t="shared" si="127"/>
        <v>276.67449856733521</v>
      </c>
      <c r="R561" s="66">
        <f t="shared" si="128"/>
        <v>16.05300025</v>
      </c>
      <c r="S561" s="64">
        <f t="shared" si="129"/>
        <v>71.25</v>
      </c>
      <c r="T561" s="66">
        <f t="shared" si="130"/>
        <v>1004.61730025</v>
      </c>
      <c r="U561" s="68">
        <f t="shared" si="131"/>
        <v>52.87459475</v>
      </c>
      <c r="V561" s="68">
        <f t="shared" si="132"/>
        <v>454.50941045845275</v>
      </c>
      <c r="W561" s="68">
        <f t="shared" si="133"/>
        <v>303.00627363896848</v>
      </c>
    </row>
    <row r="562" spans="1:23" x14ac:dyDescent="0.25">
      <c r="A562" s="169" t="s">
        <v>889</v>
      </c>
      <c r="B562" s="61" t="s">
        <v>396</v>
      </c>
      <c r="C562" s="61" t="s">
        <v>591</v>
      </c>
      <c r="D562" s="61" t="s">
        <v>593</v>
      </c>
      <c r="E562" s="1" t="s">
        <v>359</v>
      </c>
      <c r="F562" s="62" t="str">
        <f t="shared" si="111"/>
        <v>64509</v>
      </c>
      <c r="G562" s="1">
        <v>10620034</v>
      </c>
      <c r="H562" s="1" t="s">
        <v>388</v>
      </c>
      <c r="I562" s="61">
        <v>50</v>
      </c>
      <c r="J562" s="61">
        <v>3</v>
      </c>
      <c r="K562" s="61">
        <v>8</v>
      </c>
      <c r="L562" s="69">
        <f t="shared" si="123"/>
        <v>1.5</v>
      </c>
      <c r="M562" s="69">
        <f t="shared" si="124"/>
        <v>4</v>
      </c>
      <c r="N562" s="56">
        <f>INDEX(Rate_Chart!$A$1:$AK$127,MATCH(Data!J562,Rate_Chart!$A$1:$A$127,0),MATCH(Data!K562,Rate_Chart!$A$1:$AK$1,0))</f>
        <v>34.751112000000006</v>
      </c>
      <c r="O562" s="57">
        <f t="shared" si="125"/>
        <v>1737.5556000000004</v>
      </c>
      <c r="P562" s="58">
        <f t="shared" si="126"/>
        <v>417.01334400000002</v>
      </c>
      <c r="Q562" s="58">
        <f t="shared" si="127"/>
        <v>278.00889599999999</v>
      </c>
      <c r="R562" s="66">
        <f t="shared" si="128"/>
        <v>30.407223000000009</v>
      </c>
      <c r="S562" s="64">
        <f t="shared" si="129"/>
        <v>187.5</v>
      </c>
      <c r="T562" s="66">
        <f t="shared" si="130"/>
        <v>1955.4628230000003</v>
      </c>
      <c r="U562" s="68">
        <f t="shared" si="131"/>
        <v>39.109256460000005</v>
      </c>
      <c r="V562" s="68">
        <f t="shared" si="132"/>
        <v>469.31107752000003</v>
      </c>
      <c r="W562" s="68">
        <f t="shared" si="133"/>
        <v>312.87405168000004</v>
      </c>
    </row>
    <row r="563" spans="1:23" x14ac:dyDescent="0.25">
      <c r="A563" s="169" t="s">
        <v>889</v>
      </c>
      <c r="B563" s="61" t="s">
        <v>397</v>
      </c>
      <c r="C563" s="61" t="s">
        <v>591</v>
      </c>
      <c r="D563" s="61" t="s">
        <v>593</v>
      </c>
      <c r="E563" s="1" t="s">
        <v>359</v>
      </c>
      <c r="F563" s="62" t="str">
        <f t="shared" si="111"/>
        <v>64509</v>
      </c>
      <c r="G563" s="1">
        <v>10620034</v>
      </c>
      <c r="H563" s="1" t="s">
        <v>388</v>
      </c>
      <c r="I563" s="61">
        <v>45</v>
      </c>
      <c r="J563" s="61">
        <v>3</v>
      </c>
      <c r="K563" s="61">
        <v>8</v>
      </c>
      <c r="L563" s="69">
        <f t="shared" si="123"/>
        <v>1.35</v>
      </c>
      <c r="M563" s="69">
        <f t="shared" si="124"/>
        <v>3.6</v>
      </c>
      <c r="N563" s="56">
        <f>INDEX(Rate_Chart!$A$1:$AK$127,MATCH(Data!J563,Rate_Chart!$A$1:$A$127,0),MATCH(Data!K563,Rate_Chart!$A$1:$AK$1,0))</f>
        <v>34.751112000000006</v>
      </c>
      <c r="O563" s="57">
        <f t="shared" si="125"/>
        <v>1563.8000400000003</v>
      </c>
      <c r="P563" s="58">
        <f t="shared" si="126"/>
        <v>417.01334400000002</v>
      </c>
      <c r="Q563" s="58">
        <f t="shared" si="127"/>
        <v>278.00889599999999</v>
      </c>
      <c r="R563" s="66">
        <f t="shared" si="128"/>
        <v>27.366500700000007</v>
      </c>
      <c r="S563" s="64">
        <f t="shared" si="129"/>
        <v>168.75</v>
      </c>
      <c r="T563" s="66">
        <f t="shared" si="130"/>
        <v>1759.9165407000003</v>
      </c>
      <c r="U563" s="68">
        <f t="shared" si="131"/>
        <v>39.109256460000005</v>
      </c>
      <c r="V563" s="68">
        <f t="shared" si="132"/>
        <v>469.31107752000003</v>
      </c>
      <c r="W563" s="68">
        <f t="shared" si="133"/>
        <v>312.87405168000004</v>
      </c>
    </row>
    <row r="564" spans="1:23" x14ac:dyDescent="0.25">
      <c r="A564" s="169" t="s">
        <v>890</v>
      </c>
      <c r="B564" s="61" t="s">
        <v>396</v>
      </c>
      <c r="C564" s="61" t="s">
        <v>591</v>
      </c>
      <c r="D564" s="61" t="s">
        <v>593</v>
      </c>
      <c r="E564" s="1" t="s">
        <v>359</v>
      </c>
      <c r="F564" s="62" t="str">
        <f t="shared" si="111"/>
        <v>64509</v>
      </c>
      <c r="G564" s="1">
        <v>10620034</v>
      </c>
      <c r="H564" s="1" t="s">
        <v>387</v>
      </c>
      <c r="I564" s="61">
        <v>20</v>
      </c>
      <c r="J564" s="61">
        <v>6</v>
      </c>
      <c r="K564" s="61">
        <v>8.6</v>
      </c>
      <c r="L564" s="69">
        <f t="shared" si="123"/>
        <v>1.2</v>
      </c>
      <c r="M564" s="69">
        <f t="shared" si="124"/>
        <v>1.72</v>
      </c>
      <c r="N564" s="56">
        <f>INDEX(Rate_Chart!$A$1:$AK$127,MATCH(Data!J564,Rate_Chart!$A$1:$A$127,0),MATCH(Data!K564,Rate_Chart!$A$1:$AK$1,0))</f>
        <v>49.097999999999999</v>
      </c>
      <c r="O564" s="57">
        <f t="shared" si="125"/>
        <v>981.96</v>
      </c>
      <c r="P564" s="58">
        <f t="shared" si="126"/>
        <v>418.44886363636368</v>
      </c>
      <c r="Q564" s="58">
        <f t="shared" si="127"/>
        <v>278.96590909090912</v>
      </c>
      <c r="R564" s="66">
        <f t="shared" si="128"/>
        <v>17.184300000000004</v>
      </c>
      <c r="S564" s="64">
        <f t="shared" si="129"/>
        <v>75</v>
      </c>
      <c r="T564" s="66">
        <f t="shared" si="130"/>
        <v>1074.1442999999999</v>
      </c>
      <c r="U564" s="68">
        <f t="shared" si="131"/>
        <v>53.707214999999998</v>
      </c>
      <c r="V564" s="68">
        <f t="shared" si="132"/>
        <v>457.7319460227273</v>
      </c>
      <c r="W564" s="68">
        <f t="shared" si="133"/>
        <v>305.15463068181822</v>
      </c>
    </row>
    <row r="565" spans="1:23" x14ac:dyDescent="0.25">
      <c r="A565" s="169" t="s">
        <v>890</v>
      </c>
      <c r="B565" s="61" t="s">
        <v>396</v>
      </c>
      <c r="C565" s="61" t="s">
        <v>591</v>
      </c>
      <c r="D565" s="61" t="s">
        <v>593</v>
      </c>
      <c r="E565" s="1" t="s">
        <v>359</v>
      </c>
      <c r="F565" s="62" t="str">
        <f t="shared" si="111"/>
        <v>64509</v>
      </c>
      <c r="G565" s="1">
        <v>10620034</v>
      </c>
      <c r="H565" s="1" t="s">
        <v>388</v>
      </c>
      <c r="I565" s="61">
        <v>41</v>
      </c>
      <c r="J565" s="61">
        <v>3</v>
      </c>
      <c r="K565" s="61">
        <v>8</v>
      </c>
      <c r="L565" s="69">
        <f t="shared" si="123"/>
        <v>1.23</v>
      </c>
      <c r="M565" s="69">
        <f t="shared" si="124"/>
        <v>3.28</v>
      </c>
      <c r="N565" s="56">
        <f>INDEX(Rate_Chart!$A$1:$AK$127,MATCH(Data!J565,Rate_Chart!$A$1:$A$127,0),MATCH(Data!K565,Rate_Chart!$A$1:$AK$1,0))</f>
        <v>34.751112000000006</v>
      </c>
      <c r="O565" s="57">
        <f t="shared" si="125"/>
        <v>1424.7955920000002</v>
      </c>
      <c r="P565" s="58">
        <f t="shared" si="126"/>
        <v>417.01334400000002</v>
      </c>
      <c r="Q565" s="58">
        <f t="shared" si="127"/>
        <v>278.00889599999999</v>
      </c>
      <c r="R565" s="66">
        <f t="shared" si="128"/>
        <v>24.933922860000006</v>
      </c>
      <c r="S565" s="64">
        <f t="shared" si="129"/>
        <v>153.75</v>
      </c>
      <c r="T565" s="66">
        <f t="shared" si="130"/>
        <v>1603.4795148600001</v>
      </c>
      <c r="U565" s="68">
        <f t="shared" si="131"/>
        <v>39.109256460000005</v>
      </c>
      <c r="V565" s="68">
        <f t="shared" si="132"/>
        <v>469.31107752000003</v>
      </c>
      <c r="W565" s="68">
        <f t="shared" si="133"/>
        <v>312.87405168000004</v>
      </c>
    </row>
    <row r="566" spans="1:23" x14ac:dyDescent="0.25">
      <c r="A566" s="169" t="s">
        <v>890</v>
      </c>
      <c r="B566" s="61" t="s">
        <v>397</v>
      </c>
      <c r="C566" s="61" t="s">
        <v>591</v>
      </c>
      <c r="D566" s="61" t="s">
        <v>593</v>
      </c>
      <c r="E566" s="1" t="s">
        <v>359</v>
      </c>
      <c r="F566" s="62" t="str">
        <f t="shared" si="111"/>
        <v>64509</v>
      </c>
      <c r="G566" s="1">
        <v>10620034</v>
      </c>
      <c r="H566" s="1" t="s">
        <v>387</v>
      </c>
      <c r="I566" s="61">
        <v>5</v>
      </c>
      <c r="J566" s="61">
        <v>5.6</v>
      </c>
      <c r="K566" s="61">
        <v>8.4</v>
      </c>
      <c r="L566" s="69">
        <f t="shared" si="123"/>
        <v>0.28000000000000003</v>
      </c>
      <c r="M566" s="69">
        <f t="shared" si="124"/>
        <v>0.42</v>
      </c>
      <c r="N566" s="56">
        <f>INDEX(Rate_Chart!$A$1:$AK$127,MATCH(Data!J566,Rate_Chart!$A$1:$A$127,0),MATCH(Data!K566,Rate_Chart!$A$1:$AK$1,0))</f>
        <v>45.357199999999999</v>
      </c>
      <c r="O566" s="57">
        <f t="shared" si="125"/>
        <v>226.786</v>
      </c>
      <c r="P566" s="58">
        <f t="shared" si="126"/>
        <v>404.97500000000002</v>
      </c>
      <c r="Q566" s="58">
        <f t="shared" si="127"/>
        <v>269.98333333333335</v>
      </c>
      <c r="R566" s="66">
        <f t="shared" si="128"/>
        <v>3.9687550000000003</v>
      </c>
      <c r="S566" s="64">
        <f t="shared" si="129"/>
        <v>18.75</v>
      </c>
      <c r="T566" s="66">
        <f t="shared" si="130"/>
        <v>249.50475499999999</v>
      </c>
      <c r="U566" s="68">
        <f t="shared" si="131"/>
        <v>49.900950999999999</v>
      </c>
      <c r="V566" s="68">
        <f t="shared" si="132"/>
        <v>445.54420535714291</v>
      </c>
      <c r="W566" s="68">
        <f t="shared" si="133"/>
        <v>297.02947023809526</v>
      </c>
    </row>
    <row r="567" spans="1:23" x14ac:dyDescent="0.25">
      <c r="A567" s="169" t="s">
        <v>890</v>
      </c>
      <c r="B567" s="61" t="s">
        <v>397</v>
      </c>
      <c r="C567" s="61" t="s">
        <v>591</v>
      </c>
      <c r="D567" s="61" t="s">
        <v>593</v>
      </c>
      <c r="E567" s="1" t="s">
        <v>359</v>
      </c>
      <c r="F567" s="62" t="str">
        <f t="shared" si="111"/>
        <v>64509</v>
      </c>
      <c r="G567" s="1">
        <v>10620034</v>
      </c>
      <c r="H567" s="1" t="s">
        <v>388</v>
      </c>
      <c r="I567" s="61">
        <v>32</v>
      </c>
      <c r="J567" s="61">
        <v>3</v>
      </c>
      <c r="K567" s="61">
        <v>8</v>
      </c>
      <c r="L567" s="69">
        <f t="shared" si="123"/>
        <v>0.96</v>
      </c>
      <c r="M567" s="69">
        <f t="shared" si="124"/>
        <v>2.56</v>
      </c>
      <c r="N567" s="56">
        <f>INDEX(Rate_Chart!$A$1:$AK$127,MATCH(Data!J567,Rate_Chart!$A$1:$A$127,0),MATCH(Data!K567,Rate_Chart!$A$1:$AK$1,0))</f>
        <v>34.751112000000006</v>
      </c>
      <c r="O567" s="57">
        <f t="shared" si="125"/>
        <v>1112.0355840000002</v>
      </c>
      <c r="P567" s="58">
        <f t="shared" si="126"/>
        <v>417.01334400000002</v>
      </c>
      <c r="Q567" s="58">
        <f t="shared" si="127"/>
        <v>278.00889599999999</v>
      </c>
      <c r="R567" s="66">
        <f t="shared" si="128"/>
        <v>19.460622720000007</v>
      </c>
      <c r="S567" s="64">
        <f t="shared" si="129"/>
        <v>120</v>
      </c>
      <c r="T567" s="66">
        <f t="shared" si="130"/>
        <v>1251.4962067200001</v>
      </c>
      <c r="U567" s="68">
        <f t="shared" si="131"/>
        <v>39.109256460000005</v>
      </c>
      <c r="V567" s="68">
        <f t="shared" si="132"/>
        <v>469.31107752000003</v>
      </c>
      <c r="W567" s="68">
        <f t="shared" si="133"/>
        <v>312.87405168000004</v>
      </c>
    </row>
    <row r="568" spans="1:23" x14ac:dyDescent="0.25">
      <c r="A568" s="169" t="s">
        <v>891</v>
      </c>
      <c r="B568" s="61" t="s">
        <v>396</v>
      </c>
      <c r="C568" s="61" t="s">
        <v>591</v>
      </c>
      <c r="D568" s="61" t="s">
        <v>593</v>
      </c>
      <c r="E568" s="1" t="s">
        <v>359</v>
      </c>
      <c r="F568" s="62" t="str">
        <f t="shared" si="111"/>
        <v>64509</v>
      </c>
      <c r="G568" s="1">
        <v>10620034</v>
      </c>
      <c r="H568" s="1" t="s">
        <v>387</v>
      </c>
      <c r="I568" s="61">
        <v>25</v>
      </c>
      <c r="J568" s="61">
        <v>5.6</v>
      </c>
      <c r="K568" s="61">
        <v>8.4</v>
      </c>
      <c r="L568" s="69">
        <f t="shared" si="123"/>
        <v>1.4</v>
      </c>
      <c r="M568" s="69">
        <f t="shared" si="124"/>
        <v>2.1</v>
      </c>
      <c r="N568" s="56">
        <f>INDEX(Rate_Chart!$A$1:$AK$127,MATCH(Data!J568,Rate_Chart!$A$1:$A$127,0),MATCH(Data!K568,Rate_Chart!$A$1:$AK$1,0))</f>
        <v>45.357199999999999</v>
      </c>
      <c r="O568" s="57">
        <f t="shared" si="125"/>
        <v>1133.93</v>
      </c>
      <c r="P568" s="58">
        <f t="shared" si="126"/>
        <v>404.97500000000002</v>
      </c>
      <c r="Q568" s="58">
        <f t="shared" si="127"/>
        <v>269.98333333333335</v>
      </c>
      <c r="R568" s="66">
        <f t="shared" si="128"/>
        <v>19.843775000000004</v>
      </c>
      <c r="S568" s="64">
        <f t="shared" si="129"/>
        <v>93.75</v>
      </c>
      <c r="T568" s="66">
        <f t="shared" si="130"/>
        <v>1247.5237750000001</v>
      </c>
      <c r="U568" s="68">
        <f t="shared" si="131"/>
        <v>49.900951000000006</v>
      </c>
      <c r="V568" s="68">
        <f t="shared" si="132"/>
        <v>445.54420535714297</v>
      </c>
      <c r="W568" s="68">
        <f t="shared" si="133"/>
        <v>297.02947023809531</v>
      </c>
    </row>
    <row r="569" spans="1:23" x14ac:dyDescent="0.25">
      <c r="A569" s="169" t="s">
        <v>891</v>
      </c>
      <c r="B569" s="61" t="s">
        <v>396</v>
      </c>
      <c r="C569" s="61" t="s">
        <v>591</v>
      </c>
      <c r="D569" s="61" t="s">
        <v>593</v>
      </c>
      <c r="E569" s="1" t="s">
        <v>359</v>
      </c>
      <c r="F569" s="62" t="str">
        <f t="shared" si="111"/>
        <v>64509</v>
      </c>
      <c r="G569" s="1">
        <v>10620034</v>
      </c>
      <c r="H569" s="1" t="s">
        <v>388</v>
      </c>
      <c r="I569" s="61">
        <v>40</v>
      </c>
      <c r="J569" s="61">
        <v>3</v>
      </c>
      <c r="K569" s="61">
        <v>8</v>
      </c>
      <c r="L569" s="69">
        <f t="shared" si="123"/>
        <v>1.2</v>
      </c>
      <c r="M569" s="69">
        <f t="shared" si="124"/>
        <v>3.2</v>
      </c>
      <c r="N569" s="56">
        <f>INDEX(Rate_Chart!$A$1:$AK$127,MATCH(Data!J569,Rate_Chart!$A$1:$A$127,0),MATCH(Data!K569,Rate_Chart!$A$1:$AK$1,0))</f>
        <v>34.751112000000006</v>
      </c>
      <c r="O569" s="57">
        <f t="shared" si="125"/>
        <v>1390.0444800000002</v>
      </c>
      <c r="P569" s="58">
        <f t="shared" si="126"/>
        <v>417.01334400000002</v>
      </c>
      <c r="Q569" s="58">
        <f t="shared" si="127"/>
        <v>278.00889599999999</v>
      </c>
      <c r="R569" s="66">
        <f t="shared" si="128"/>
        <v>24.325778400000008</v>
      </c>
      <c r="S569" s="64">
        <f t="shared" si="129"/>
        <v>150</v>
      </c>
      <c r="T569" s="66">
        <f t="shared" si="130"/>
        <v>1564.3702584000002</v>
      </c>
      <c r="U569" s="68">
        <f t="shared" si="131"/>
        <v>39.109256460000005</v>
      </c>
      <c r="V569" s="68">
        <f t="shared" si="132"/>
        <v>469.31107752000003</v>
      </c>
      <c r="W569" s="68">
        <f t="shared" si="133"/>
        <v>312.87405168000004</v>
      </c>
    </row>
    <row r="570" spans="1:23" x14ac:dyDescent="0.25">
      <c r="A570" s="169" t="s">
        <v>891</v>
      </c>
      <c r="B570" s="61" t="s">
        <v>397</v>
      </c>
      <c r="C570" s="61" t="s">
        <v>591</v>
      </c>
      <c r="D570" s="61" t="s">
        <v>593</v>
      </c>
      <c r="E570" s="1" t="s">
        <v>359</v>
      </c>
      <c r="F570" s="62" t="str">
        <f t="shared" si="111"/>
        <v>64509</v>
      </c>
      <c r="G570" s="1">
        <v>10620034</v>
      </c>
      <c r="H570" s="1" t="s">
        <v>388</v>
      </c>
      <c r="I570" s="61">
        <v>40</v>
      </c>
      <c r="J570" s="61">
        <v>3.1</v>
      </c>
      <c r="K570" s="61">
        <v>8</v>
      </c>
      <c r="L570" s="69">
        <f t="shared" si="123"/>
        <v>1.24</v>
      </c>
      <c r="M570" s="69">
        <f t="shared" si="124"/>
        <v>3.2</v>
      </c>
      <c r="N570" s="56">
        <f>INDEX(Rate_Chart!$A$1:$AK$127,MATCH(Data!J570,Rate_Chart!$A$1:$A$127,0),MATCH(Data!K570,Rate_Chart!$A$1:$AK$1,0))</f>
        <v>35.168112000000008</v>
      </c>
      <c r="O570" s="57">
        <f t="shared" si="125"/>
        <v>1406.7244800000003</v>
      </c>
      <c r="P570" s="58">
        <f t="shared" si="126"/>
        <v>417.01318577075102</v>
      </c>
      <c r="Q570" s="58">
        <f t="shared" si="127"/>
        <v>278.00879051383401</v>
      </c>
      <c r="R570" s="66">
        <f t="shared" si="128"/>
        <v>24.617678400000006</v>
      </c>
      <c r="S570" s="64">
        <f t="shared" si="129"/>
        <v>150</v>
      </c>
      <c r="T570" s="66">
        <f t="shared" si="130"/>
        <v>1581.3421584000002</v>
      </c>
      <c r="U570" s="68">
        <f t="shared" si="131"/>
        <v>39.533553960000006</v>
      </c>
      <c r="V570" s="68">
        <f t="shared" si="132"/>
        <v>468.77731968379447</v>
      </c>
      <c r="W570" s="68">
        <f t="shared" si="133"/>
        <v>312.51821312252963</v>
      </c>
    </row>
    <row r="571" spans="1:23" x14ac:dyDescent="0.25">
      <c r="A571" s="169" t="s">
        <v>892</v>
      </c>
      <c r="B571" s="61" t="s">
        <v>396</v>
      </c>
      <c r="C571" s="61" t="s">
        <v>591</v>
      </c>
      <c r="D571" s="61" t="s">
        <v>593</v>
      </c>
      <c r="E571" s="1" t="s">
        <v>359</v>
      </c>
      <c r="F571" s="62" t="str">
        <f t="shared" si="111"/>
        <v>64509</v>
      </c>
      <c r="G571" s="1">
        <v>10620034</v>
      </c>
      <c r="H571" s="1" t="s">
        <v>387</v>
      </c>
      <c r="I571" s="61">
        <v>10</v>
      </c>
      <c r="J571" s="61">
        <v>6.2</v>
      </c>
      <c r="K571" s="61">
        <v>8.8000000000000007</v>
      </c>
      <c r="L571" s="69">
        <f t="shared" si="123"/>
        <v>0.62</v>
      </c>
      <c r="M571" s="69">
        <f t="shared" si="124"/>
        <v>0.88</v>
      </c>
      <c r="N571" s="56">
        <f>INDEX(Rate_Chart!$A$1:$AK$127,MATCH(Data!J571,Rate_Chart!$A$1:$A$127,0),MATCH(Data!K571,Rate_Chart!$A$1:$AK$1,0))</f>
        <v>51.252300000000005</v>
      </c>
      <c r="O571" s="57">
        <f t="shared" si="125"/>
        <v>512.52300000000002</v>
      </c>
      <c r="P571" s="58">
        <f t="shared" si="126"/>
        <v>424.74281767955802</v>
      </c>
      <c r="Q571" s="58">
        <f t="shared" si="127"/>
        <v>283.1618784530387</v>
      </c>
      <c r="R571" s="66">
        <f t="shared" si="128"/>
        <v>8.9691525000000016</v>
      </c>
      <c r="S571" s="64">
        <f t="shared" si="129"/>
        <v>37.5</v>
      </c>
      <c r="T571" s="66">
        <f t="shared" si="130"/>
        <v>558.99215249999997</v>
      </c>
      <c r="U571" s="68">
        <f t="shared" si="131"/>
        <v>55.899215249999997</v>
      </c>
      <c r="V571" s="68">
        <f t="shared" si="132"/>
        <v>463.25316505524859</v>
      </c>
      <c r="W571" s="68">
        <f t="shared" si="133"/>
        <v>308.83544337016571</v>
      </c>
    </row>
    <row r="572" spans="1:23" x14ac:dyDescent="0.25">
      <c r="A572" s="169" t="s">
        <v>892</v>
      </c>
      <c r="B572" s="61" t="s">
        <v>396</v>
      </c>
      <c r="C572" s="61" t="s">
        <v>591</v>
      </c>
      <c r="D572" s="61" t="s">
        <v>593</v>
      </c>
      <c r="E572" s="1" t="s">
        <v>359</v>
      </c>
      <c r="F572" s="62" t="str">
        <f t="shared" si="111"/>
        <v>64509</v>
      </c>
      <c r="G572" s="1">
        <v>10620034</v>
      </c>
      <c r="H572" s="1" t="s">
        <v>388</v>
      </c>
      <c r="I572" s="61">
        <v>38</v>
      </c>
      <c r="J572" s="61">
        <v>3</v>
      </c>
      <c r="K572" s="61">
        <v>8</v>
      </c>
      <c r="L572" s="69">
        <f t="shared" si="123"/>
        <v>1.1399999999999999</v>
      </c>
      <c r="M572" s="69">
        <f t="shared" si="124"/>
        <v>3.04</v>
      </c>
      <c r="N572" s="56">
        <f>INDEX(Rate_Chart!$A$1:$AK$127,MATCH(Data!J572,Rate_Chart!$A$1:$A$127,0),MATCH(Data!K572,Rate_Chart!$A$1:$AK$1,0))</f>
        <v>34.751112000000006</v>
      </c>
      <c r="O572" s="57">
        <f t="shared" si="125"/>
        <v>1320.5422560000002</v>
      </c>
      <c r="P572" s="58">
        <f t="shared" si="126"/>
        <v>417.01334400000002</v>
      </c>
      <c r="Q572" s="58">
        <f t="shared" si="127"/>
        <v>278.00889599999999</v>
      </c>
      <c r="R572" s="66">
        <f t="shared" si="128"/>
        <v>23.109489480000004</v>
      </c>
      <c r="S572" s="64">
        <f t="shared" si="129"/>
        <v>142.5</v>
      </c>
      <c r="T572" s="66">
        <f t="shared" si="130"/>
        <v>1486.1517454800003</v>
      </c>
      <c r="U572" s="68">
        <f t="shared" si="131"/>
        <v>39.109256460000005</v>
      </c>
      <c r="V572" s="68">
        <f t="shared" si="132"/>
        <v>469.31107752000003</v>
      </c>
      <c r="W572" s="68">
        <f t="shared" si="133"/>
        <v>312.87405168000004</v>
      </c>
    </row>
    <row r="573" spans="1:23" x14ac:dyDescent="0.25">
      <c r="A573" s="169" t="s">
        <v>892</v>
      </c>
      <c r="B573" s="61" t="s">
        <v>397</v>
      </c>
      <c r="C573" s="61" t="s">
        <v>591</v>
      </c>
      <c r="D573" s="61" t="s">
        <v>593</v>
      </c>
      <c r="E573" s="1" t="s">
        <v>359</v>
      </c>
      <c r="F573" s="62" t="str">
        <f t="shared" si="111"/>
        <v>64509</v>
      </c>
      <c r="G573" s="1">
        <v>10620034</v>
      </c>
      <c r="H573" s="1" t="s">
        <v>388</v>
      </c>
      <c r="I573" s="61">
        <v>41</v>
      </c>
      <c r="J573" s="61">
        <v>3</v>
      </c>
      <c r="K573" s="61">
        <v>8</v>
      </c>
      <c r="L573" s="69">
        <f t="shared" si="123"/>
        <v>1.23</v>
      </c>
      <c r="M573" s="69">
        <f t="shared" si="124"/>
        <v>3.28</v>
      </c>
      <c r="N573" s="56">
        <f>INDEX(Rate_Chart!$A$1:$AK$127,MATCH(Data!J573,Rate_Chart!$A$1:$A$127,0),MATCH(Data!K573,Rate_Chart!$A$1:$AK$1,0))</f>
        <v>34.751112000000006</v>
      </c>
      <c r="O573" s="57">
        <f t="shared" si="125"/>
        <v>1424.7955920000002</v>
      </c>
      <c r="P573" s="58">
        <f t="shared" si="126"/>
        <v>417.01334400000002</v>
      </c>
      <c r="Q573" s="58">
        <f t="shared" si="127"/>
        <v>278.00889599999999</v>
      </c>
      <c r="R573" s="66">
        <f t="shared" si="128"/>
        <v>24.933922860000006</v>
      </c>
      <c r="S573" s="64">
        <f t="shared" si="129"/>
        <v>153.75</v>
      </c>
      <c r="T573" s="66">
        <f t="shared" si="130"/>
        <v>1603.4795148600001</v>
      </c>
      <c r="U573" s="68">
        <f t="shared" si="131"/>
        <v>39.109256460000005</v>
      </c>
      <c r="V573" s="68">
        <f t="shared" si="132"/>
        <v>469.31107752000003</v>
      </c>
      <c r="W573" s="68">
        <f t="shared" si="133"/>
        <v>312.87405168000004</v>
      </c>
    </row>
    <row r="574" spans="1:23" x14ac:dyDescent="0.25">
      <c r="A574" s="169" t="s">
        <v>893</v>
      </c>
      <c r="B574" s="61" t="s">
        <v>396</v>
      </c>
      <c r="C574" s="61" t="s">
        <v>591</v>
      </c>
      <c r="D574" s="61" t="s">
        <v>593</v>
      </c>
      <c r="E574" s="1" t="s">
        <v>359</v>
      </c>
      <c r="F574" s="62" t="str">
        <f t="shared" si="111"/>
        <v>64509</v>
      </c>
      <c r="G574" s="1">
        <v>10620034</v>
      </c>
      <c r="H574" s="1" t="s">
        <v>387</v>
      </c>
      <c r="I574" s="61">
        <v>6</v>
      </c>
      <c r="J574" s="61">
        <v>6.3</v>
      </c>
      <c r="K574" s="61">
        <v>8.8000000000000007</v>
      </c>
      <c r="L574" s="69">
        <f t="shared" si="123"/>
        <v>0.37799999999999995</v>
      </c>
      <c r="M574" s="69">
        <f t="shared" si="124"/>
        <v>0.52800000000000002</v>
      </c>
      <c r="N574" s="56">
        <f>INDEX(Rate_Chart!$A$1:$AK$127,MATCH(Data!J574,Rate_Chart!$A$1:$A$127,0),MATCH(Data!K574,Rate_Chart!$A$1:$AK$1,0))</f>
        <v>52.078949999999999</v>
      </c>
      <c r="O574" s="57">
        <f t="shared" si="125"/>
        <v>312.47370000000001</v>
      </c>
      <c r="P574" s="58">
        <f t="shared" si="126"/>
        <v>428.04616438356163</v>
      </c>
      <c r="Q574" s="58">
        <f t="shared" si="127"/>
        <v>285.36410958904111</v>
      </c>
      <c r="R574" s="66">
        <f t="shared" si="128"/>
        <v>5.4682897500000003</v>
      </c>
      <c r="S574" s="64">
        <f t="shared" si="129"/>
        <v>22.5</v>
      </c>
      <c r="T574" s="66">
        <f t="shared" si="130"/>
        <v>340.44198975</v>
      </c>
      <c r="U574" s="68">
        <f t="shared" si="131"/>
        <v>56.740331625000003</v>
      </c>
      <c r="V574" s="68">
        <f t="shared" si="132"/>
        <v>466.35889006849317</v>
      </c>
      <c r="W574" s="68">
        <f t="shared" si="133"/>
        <v>310.90592671232878</v>
      </c>
    </row>
    <row r="575" spans="1:23" x14ac:dyDescent="0.25">
      <c r="A575" s="169" t="s">
        <v>893</v>
      </c>
      <c r="B575" s="61" t="s">
        <v>396</v>
      </c>
      <c r="C575" s="61" t="s">
        <v>591</v>
      </c>
      <c r="D575" s="61" t="s">
        <v>593</v>
      </c>
      <c r="E575" s="1" t="s">
        <v>359</v>
      </c>
      <c r="F575" s="62" t="str">
        <f t="shared" si="111"/>
        <v>64509</v>
      </c>
      <c r="G575" s="1">
        <v>10620034</v>
      </c>
      <c r="H575" s="1" t="s">
        <v>388</v>
      </c>
      <c r="I575" s="61">
        <v>39</v>
      </c>
      <c r="J575" s="61">
        <v>3</v>
      </c>
      <c r="K575" s="61">
        <v>8</v>
      </c>
      <c r="L575" s="69">
        <f t="shared" si="123"/>
        <v>1.17</v>
      </c>
      <c r="M575" s="69">
        <f t="shared" si="124"/>
        <v>3.12</v>
      </c>
      <c r="N575" s="56">
        <f>INDEX(Rate_Chart!$A$1:$AK$127,MATCH(Data!J575,Rate_Chart!$A$1:$A$127,0),MATCH(Data!K575,Rate_Chart!$A$1:$AK$1,0))</f>
        <v>34.751112000000006</v>
      </c>
      <c r="O575" s="57">
        <f t="shared" si="125"/>
        <v>1355.2933680000003</v>
      </c>
      <c r="P575" s="58">
        <f t="shared" si="126"/>
        <v>417.01334400000002</v>
      </c>
      <c r="Q575" s="58">
        <f t="shared" si="127"/>
        <v>278.00889599999999</v>
      </c>
      <c r="R575" s="66">
        <f t="shared" si="128"/>
        <v>23.71763394000001</v>
      </c>
      <c r="S575" s="64">
        <f t="shared" si="129"/>
        <v>146.25</v>
      </c>
      <c r="T575" s="66">
        <f t="shared" si="130"/>
        <v>1525.2610019400004</v>
      </c>
      <c r="U575" s="68">
        <f t="shared" si="131"/>
        <v>39.109256460000012</v>
      </c>
      <c r="V575" s="68">
        <f t="shared" si="132"/>
        <v>469.31107752000008</v>
      </c>
      <c r="W575" s="68">
        <f t="shared" si="133"/>
        <v>312.87405168000004</v>
      </c>
    </row>
    <row r="576" spans="1:23" x14ac:dyDescent="0.25">
      <c r="A576" s="169" t="s">
        <v>893</v>
      </c>
      <c r="B576" s="61" t="s">
        <v>397</v>
      </c>
      <c r="C576" s="61" t="s">
        <v>591</v>
      </c>
      <c r="D576" s="61" t="s">
        <v>593</v>
      </c>
      <c r="E576" s="1" t="s">
        <v>359</v>
      </c>
      <c r="F576" s="62" t="str">
        <f t="shared" si="111"/>
        <v>64509</v>
      </c>
      <c r="G576" s="1">
        <v>10620034</v>
      </c>
      <c r="H576" s="1" t="s">
        <v>388</v>
      </c>
      <c r="I576" s="61">
        <v>35</v>
      </c>
      <c r="J576" s="61">
        <v>3</v>
      </c>
      <c r="K576" s="61">
        <v>8</v>
      </c>
      <c r="L576" s="69">
        <f t="shared" si="123"/>
        <v>1.05</v>
      </c>
      <c r="M576" s="69">
        <f t="shared" si="124"/>
        <v>2.8</v>
      </c>
      <c r="N576" s="56">
        <f>INDEX(Rate_Chart!$A$1:$AK$127,MATCH(Data!J576,Rate_Chart!$A$1:$A$127,0),MATCH(Data!K576,Rate_Chart!$A$1:$AK$1,0))</f>
        <v>34.751112000000006</v>
      </c>
      <c r="O576" s="57">
        <f t="shared" si="125"/>
        <v>1216.2889200000002</v>
      </c>
      <c r="P576" s="58">
        <f t="shared" si="126"/>
        <v>417.01334400000002</v>
      </c>
      <c r="Q576" s="58">
        <f t="shared" si="127"/>
        <v>278.00889599999999</v>
      </c>
      <c r="R576" s="66">
        <f t="shared" si="128"/>
        <v>21.285056100000006</v>
      </c>
      <c r="S576" s="64">
        <f t="shared" si="129"/>
        <v>131.25</v>
      </c>
      <c r="T576" s="66">
        <f t="shared" si="130"/>
        <v>1368.8239761000002</v>
      </c>
      <c r="U576" s="68">
        <f t="shared" si="131"/>
        <v>39.109256460000005</v>
      </c>
      <c r="V576" s="68">
        <f t="shared" si="132"/>
        <v>469.31107752000003</v>
      </c>
      <c r="W576" s="68">
        <f t="shared" si="133"/>
        <v>312.87405168000004</v>
      </c>
    </row>
    <row r="577" spans="1:23" x14ac:dyDescent="0.25">
      <c r="A577" s="169" t="s">
        <v>894</v>
      </c>
      <c r="B577" s="61" t="s">
        <v>396</v>
      </c>
      <c r="C577" s="61" t="s">
        <v>591</v>
      </c>
      <c r="D577" s="61" t="s">
        <v>593</v>
      </c>
      <c r="E577" s="1" t="s">
        <v>359</v>
      </c>
      <c r="F577" s="62" t="str">
        <f t="shared" si="111"/>
        <v>64509</v>
      </c>
      <c r="G577" s="1">
        <v>10620034</v>
      </c>
      <c r="H577" s="1" t="s">
        <v>387</v>
      </c>
      <c r="I577" s="61">
        <v>7</v>
      </c>
      <c r="J577" s="61">
        <v>5.8</v>
      </c>
      <c r="K577" s="61">
        <v>8.6</v>
      </c>
      <c r="L577" s="69">
        <f t="shared" si="123"/>
        <v>0.40600000000000003</v>
      </c>
      <c r="M577" s="69">
        <f t="shared" si="124"/>
        <v>0.60199999999999998</v>
      </c>
      <c r="N577" s="56">
        <f>INDEX(Rate_Chart!$A$1:$AK$127,MATCH(Data!J577,Rate_Chart!$A$1:$A$127,0),MATCH(Data!K577,Rate_Chart!$A$1:$AK$1,0))</f>
        <v>47.461399999999998</v>
      </c>
      <c r="O577" s="57">
        <f t="shared" si="125"/>
        <v>332.22979999999995</v>
      </c>
      <c r="P577" s="58">
        <f t="shared" si="126"/>
        <v>411.51502890173413</v>
      </c>
      <c r="Q577" s="58">
        <f t="shared" si="127"/>
        <v>274.34335260115608</v>
      </c>
      <c r="R577" s="66">
        <f t="shared" si="128"/>
        <v>5.8140215</v>
      </c>
      <c r="S577" s="64">
        <f t="shared" si="129"/>
        <v>26.25</v>
      </c>
      <c r="T577" s="66">
        <f t="shared" si="130"/>
        <v>364.29382149999998</v>
      </c>
      <c r="U577" s="68">
        <f t="shared" si="131"/>
        <v>52.041974499999995</v>
      </c>
      <c r="V577" s="68">
        <f t="shared" si="132"/>
        <v>451.23099277456652</v>
      </c>
      <c r="W577" s="68">
        <f t="shared" si="133"/>
        <v>300.82066184971103</v>
      </c>
    </row>
    <row r="578" spans="1:23" x14ac:dyDescent="0.25">
      <c r="A578" s="169" t="s">
        <v>894</v>
      </c>
      <c r="B578" s="61" t="s">
        <v>396</v>
      </c>
      <c r="C578" s="61" t="s">
        <v>591</v>
      </c>
      <c r="D578" s="61" t="s">
        <v>593</v>
      </c>
      <c r="E578" s="1" t="s">
        <v>359</v>
      </c>
      <c r="F578" s="62" t="str">
        <f t="shared" si="111"/>
        <v>64509</v>
      </c>
      <c r="G578" s="1">
        <v>10620034</v>
      </c>
      <c r="H578" s="1" t="s">
        <v>388</v>
      </c>
      <c r="I578" s="61">
        <v>37</v>
      </c>
      <c r="J578" s="61">
        <v>3</v>
      </c>
      <c r="K578" s="61">
        <v>8</v>
      </c>
      <c r="L578" s="69">
        <f t="shared" si="123"/>
        <v>1.1100000000000001</v>
      </c>
      <c r="M578" s="69">
        <f t="shared" si="124"/>
        <v>2.96</v>
      </c>
      <c r="N578" s="56">
        <f>INDEX(Rate_Chart!$A$1:$AK$127,MATCH(Data!J578,Rate_Chart!$A$1:$A$127,0),MATCH(Data!K578,Rate_Chart!$A$1:$AK$1,0))</f>
        <v>34.751112000000006</v>
      </c>
      <c r="O578" s="57">
        <f t="shared" si="125"/>
        <v>1285.7911440000003</v>
      </c>
      <c r="P578" s="58">
        <f t="shared" si="126"/>
        <v>417.01334400000002</v>
      </c>
      <c r="Q578" s="58">
        <f t="shared" si="127"/>
        <v>278.00889599999999</v>
      </c>
      <c r="R578" s="66">
        <f t="shared" si="128"/>
        <v>22.501345020000006</v>
      </c>
      <c r="S578" s="64">
        <f t="shared" si="129"/>
        <v>138.75</v>
      </c>
      <c r="T578" s="66">
        <f t="shared" si="130"/>
        <v>1447.0424890200002</v>
      </c>
      <c r="U578" s="68">
        <f t="shared" si="131"/>
        <v>39.109256460000005</v>
      </c>
      <c r="V578" s="68">
        <f t="shared" si="132"/>
        <v>469.31107752000003</v>
      </c>
      <c r="W578" s="68">
        <f t="shared" si="133"/>
        <v>312.87405168000004</v>
      </c>
    </row>
    <row r="579" spans="1:23" x14ac:dyDescent="0.25">
      <c r="A579" s="169" t="s">
        <v>894</v>
      </c>
      <c r="B579" s="61" t="s">
        <v>397</v>
      </c>
      <c r="C579" s="61" t="s">
        <v>591</v>
      </c>
      <c r="D579" s="61" t="s">
        <v>593</v>
      </c>
      <c r="E579" s="1" t="s">
        <v>359</v>
      </c>
      <c r="F579" s="62" t="str">
        <f t="shared" si="111"/>
        <v>64509</v>
      </c>
      <c r="G579" s="1">
        <v>10620034</v>
      </c>
      <c r="H579" s="1" t="s">
        <v>388</v>
      </c>
      <c r="I579" s="61">
        <v>46</v>
      </c>
      <c r="J579" s="61">
        <v>3.3</v>
      </c>
      <c r="K579" s="61">
        <v>8</v>
      </c>
      <c r="L579" s="69">
        <f t="shared" si="123"/>
        <v>1.5179999999999998</v>
      </c>
      <c r="M579" s="69">
        <f t="shared" si="124"/>
        <v>3.68</v>
      </c>
      <c r="N579" s="56">
        <f>INDEX(Rate_Chart!$A$1:$AK$127,MATCH(Data!J579,Rate_Chart!$A$1:$A$127,0),MATCH(Data!K579,Rate_Chart!$A$1:$AK$1,0))</f>
        <v>36.002112000000004</v>
      </c>
      <c r="O579" s="57">
        <f t="shared" si="125"/>
        <v>1656.0971520000003</v>
      </c>
      <c r="P579" s="58">
        <f t="shared" si="126"/>
        <v>417.01288030888031</v>
      </c>
      <c r="Q579" s="58">
        <f t="shared" si="127"/>
        <v>278.00858687258687</v>
      </c>
      <c r="R579" s="66">
        <f t="shared" si="128"/>
        <v>28.981700160000006</v>
      </c>
      <c r="S579" s="64">
        <f t="shared" si="129"/>
        <v>172.5</v>
      </c>
      <c r="T579" s="66">
        <f t="shared" si="130"/>
        <v>1857.5788521600002</v>
      </c>
      <c r="U579" s="68">
        <f t="shared" si="131"/>
        <v>40.382148960000002</v>
      </c>
      <c r="V579" s="68">
        <f t="shared" si="132"/>
        <v>467.74689915057911</v>
      </c>
      <c r="W579" s="68">
        <f t="shared" si="133"/>
        <v>311.83126610038607</v>
      </c>
    </row>
    <row r="580" spans="1:23" x14ac:dyDescent="0.25">
      <c r="A580" s="169" t="s">
        <v>888</v>
      </c>
      <c r="B580" s="61" t="s">
        <v>396</v>
      </c>
      <c r="C580" s="61" t="s">
        <v>591</v>
      </c>
      <c r="D580" s="61" t="s">
        <v>593</v>
      </c>
      <c r="E580" s="1" t="s">
        <v>360</v>
      </c>
      <c r="F580" s="62" t="str">
        <f t="shared" si="111"/>
        <v>64510</v>
      </c>
      <c r="G580" s="1">
        <v>10620043</v>
      </c>
      <c r="H580" s="1" t="s">
        <v>387</v>
      </c>
      <c r="I580" s="61">
        <v>12</v>
      </c>
      <c r="J580" s="61">
        <v>6.1</v>
      </c>
      <c r="K580" s="61">
        <v>8.6</v>
      </c>
      <c r="L580" s="69">
        <f t="shared" si="123"/>
        <v>0.73199999999999987</v>
      </c>
      <c r="M580" s="69">
        <f t="shared" si="124"/>
        <v>1.0319999999999998</v>
      </c>
      <c r="N580" s="56">
        <f>INDEX(Rate_Chart!$A$1:$AK$127,MATCH(Data!J580,Rate_Chart!$A$1:$A$127,0),MATCH(Data!K580,Rate_Chart!$A$1:$AK$1,0))</f>
        <v>49.9163</v>
      </c>
      <c r="O580" s="57">
        <f t="shared" si="125"/>
        <v>598.99559999999997</v>
      </c>
      <c r="P580" s="58">
        <f t="shared" si="126"/>
        <v>421.82788732394374</v>
      </c>
      <c r="Q580" s="58">
        <f t="shared" si="127"/>
        <v>281.21859154929581</v>
      </c>
      <c r="R580" s="66">
        <f t="shared" si="128"/>
        <v>10.482423000000001</v>
      </c>
      <c r="S580" s="64">
        <f t="shared" si="129"/>
        <v>45</v>
      </c>
      <c r="T580" s="66">
        <f t="shared" si="130"/>
        <v>654.47802300000001</v>
      </c>
      <c r="U580" s="68">
        <f t="shared" si="131"/>
        <v>54.539835250000003</v>
      </c>
      <c r="V580" s="68">
        <f t="shared" si="132"/>
        <v>460.90001619718316</v>
      </c>
      <c r="W580" s="68">
        <f t="shared" si="133"/>
        <v>307.26667746478876</v>
      </c>
    </row>
    <row r="581" spans="1:23" x14ac:dyDescent="0.25">
      <c r="A581" s="169" t="s">
        <v>888</v>
      </c>
      <c r="B581" s="61" t="s">
        <v>397</v>
      </c>
      <c r="C581" s="61" t="s">
        <v>591</v>
      </c>
      <c r="D581" s="61" t="s">
        <v>593</v>
      </c>
      <c r="E581" s="1" t="s">
        <v>360</v>
      </c>
      <c r="F581" s="62" t="str">
        <f t="shared" ref="F581:F644" si="134">MID(E581,2,5)</f>
        <v>64510</v>
      </c>
      <c r="G581" s="1">
        <v>10620043</v>
      </c>
      <c r="H581" s="1" t="s">
        <v>387</v>
      </c>
      <c r="I581" s="61">
        <v>21</v>
      </c>
      <c r="J581" s="61">
        <v>5.6</v>
      </c>
      <c r="K581" s="61">
        <v>8.4</v>
      </c>
      <c r="L581" s="69">
        <f t="shared" si="123"/>
        <v>1.1759999999999999</v>
      </c>
      <c r="M581" s="69">
        <f t="shared" si="124"/>
        <v>1.764</v>
      </c>
      <c r="N581" s="56">
        <f>INDEX(Rate_Chart!$A$1:$AK$127,MATCH(Data!J581,Rate_Chart!$A$1:$A$127,0),MATCH(Data!K581,Rate_Chart!$A$1:$AK$1,0))</f>
        <v>45.357199999999999</v>
      </c>
      <c r="O581" s="57">
        <f t="shared" si="125"/>
        <v>952.50119999999993</v>
      </c>
      <c r="P581" s="58">
        <f t="shared" si="126"/>
        <v>404.97500000000002</v>
      </c>
      <c r="Q581" s="58">
        <f t="shared" si="127"/>
        <v>269.98333333333335</v>
      </c>
      <c r="R581" s="66">
        <f t="shared" si="128"/>
        <v>16.668771</v>
      </c>
      <c r="S581" s="64">
        <f t="shared" si="129"/>
        <v>78.75</v>
      </c>
      <c r="T581" s="66">
        <f t="shared" si="130"/>
        <v>1047.9199709999998</v>
      </c>
      <c r="U581" s="68">
        <f t="shared" si="131"/>
        <v>49.900950999999992</v>
      </c>
      <c r="V581" s="68">
        <f t="shared" si="132"/>
        <v>445.54420535714286</v>
      </c>
      <c r="W581" s="68">
        <f t="shared" si="133"/>
        <v>297.02947023809526</v>
      </c>
    </row>
    <row r="582" spans="1:23" x14ac:dyDescent="0.25">
      <c r="A582" s="169" t="s">
        <v>888</v>
      </c>
      <c r="B582" s="61" t="s">
        <v>397</v>
      </c>
      <c r="C582" s="61" t="s">
        <v>591</v>
      </c>
      <c r="D582" s="61" t="s">
        <v>593</v>
      </c>
      <c r="E582" s="1" t="s">
        <v>360</v>
      </c>
      <c r="F582" s="62" t="str">
        <f t="shared" si="134"/>
        <v>64510</v>
      </c>
      <c r="G582" s="1">
        <v>10620043</v>
      </c>
      <c r="H582" s="1" t="s">
        <v>388</v>
      </c>
      <c r="I582" s="61">
        <v>41</v>
      </c>
      <c r="J582" s="61">
        <v>3</v>
      </c>
      <c r="K582" s="61">
        <v>8</v>
      </c>
      <c r="L582" s="69">
        <f t="shared" si="123"/>
        <v>1.23</v>
      </c>
      <c r="M582" s="69">
        <f t="shared" si="124"/>
        <v>3.28</v>
      </c>
      <c r="N582" s="56">
        <f>INDEX(Rate_Chart!$A$1:$AK$127,MATCH(Data!J582,Rate_Chart!$A$1:$A$127,0),MATCH(Data!K582,Rate_Chart!$A$1:$AK$1,0))</f>
        <v>34.751112000000006</v>
      </c>
      <c r="O582" s="57">
        <f t="shared" si="125"/>
        <v>1424.7955920000002</v>
      </c>
      <c r="P582" s="58">
        <f t="shared" si="126"/>
        <v>417.01334400000002</v>
      </c>
      <c r="Q582" s="58">
        <f t="shared" si="127"/>
        <v>278.00889599999999</v>
      </c>
      <c r="R582" s="66">
        <f t="shared" si="128"/>
        <v>24.933922860000006</v>
      </c>
      <c r="S582" s="64">
        <f t="shared" si="129"/>
        <v>153.75</v>
      </c>
      <c r="T582" s="66">
        <f t="shared" si="130"/>
        <v>1603.4795148600001</v>
      </c>
      <c r="U582" s="68">
        <f t="shared" si="131"/>
        <v>39.109256460000005</v>
      </c>
      <c r="V582" s="68">
        <f t="shared" si="132"/>
        <v>469.31107752000003</v>
      </c>
      <c r="W582" s="68">
        <f t="shared" si="133"/>
        <v>312.87405168000004</v>
      </c>
    </row>
    <row r="583" spans="1:23" x14ac:dyDescent="0.25">
      <c r="A583" s="169" t="s">
        <v>889</v>
      </c>
      <c r="B583" s="61" t="s">
        <v>396</v>
      </c>
      <c r="C583" s="61" t="s">
        <v>591</v>
      </c>
      <c r="D583" s="61" t="s">
        <v>593</v>
      </c>
      <c r="E583" s="1" t="s">
        <v>360</v>
      </c>
      <c r="F583" s="62" t="str">
        <f t="shared" si="134"/>
        <v>64510</v>
      </c>
      <c r="G583" s="1">
        <v>10620043</v>
      </c>
      <c r="H583" s="1" t="s">
        <v>387</v>
      </c>
      <c r="I583" s="61">
        <v>16</v>
      </c>
      <c r="J583" s="61">
        <v>6.7</v>
      </c>
      <c r="K583" s="61">
        <v>8.8000000000000007</v>
      </c>
      <c r="L583" s="69">
        <f t="shared" si="123"/>
        <v>1.0720000000000001</v>
      </c>
      <c r="M583" s="69">
        <f t="shared" si="124"/>
        <v>1.4080000000000001</v>
      </c>
      <c r="N583" s="56">
        <f>INDEX(Rate_Chart!$A$1:$AK$127,MATCH(Data!J583,Rate_Chart!$A$1:$A$127,0),MATCH(Data!K583,Rate_Chart!$A$1:$AK$1,0))</f>
        <v>55.385550000000002</v>
      </c>
      <c r="O583" s="57">
        <f t="shared" si="125"/>
        <v>886.16880000000003</v>
      </c>
      <c r="P583" s="58">
        <f t="shared" si="126"/>
        <v>440.73381962864721</v>
      </c>
      <c r="Q583" s="58">
        <f t="shared" si="127"/>
        <v>293.82254641909816</v>
      </c>
      <c r="R583" s="66">
        <f t="shared" si="128"/>
        <v>15.507954000000002</v>
      </c>
      <c r="S583" s="64">
        <f t="shared" si="129"/>
        <v>60</v>
      </c>
      <c r="T583" s="66">
        <f t="shared" si="130"/>
        <v>961.67675400000007</v>
      </c>
      <c r="U583" s="68">
        <f t="shared" si="131"/>
        <v>60.104797125000005</v>
      </c>
      <c r="V583" s="68">
        <f t="shared" si="132"/>
        <v>478.28751027851456</v>
      </c>
      <c r="W583" s="68">
        <f t="shared" si="133"/>
        <v>318.85834018567635</v>
      </c>
    </row>
    <row r="584" spans="1:23" x14ac:dyDescent="0.25">
      <c r="A584" s="169" t="s">
        <v>889</v>
      </c>
      <c r="B584" s="61" t="s">
        <v>396</v>
      </c>
      <c r="C584" s="61" t="s">
        <v>591</v>
      </c>
      <c r="D584" s="61" t="s">
        <v>593</v>
      </c>
      <c r="E584" s="1" t="s">
        <v>360</v>
      </c>
      <c r="F584" s="62" t="str">
        <f t="shared" si="134"/>
        <v>64510</v>
      </c>
      <c r="G584" s="1">
        <v>10620043</v>
      </c>
      <c r="H584" s="1" t="s">
        <v>388</v>
      </c>
      <c r="I584" s="61">
        <v>34</v>
      </c>
      <c r="J584" s="61">
        <v>3.7</v>
      </c>
      <c r="K584" s="61">
        <v>8.1</v>
      </c>
      <c r="L584" s="69">
        <f t="shared" si="123"/>
        <v>1.258</v>
      </c>
      <c r="M584" s="69">
        <f t="shared" si="124"/>
        <v>2.7539999999999996</v>
      </c>
      <c r="N584" s="56">
        <f>INDEX(Rate_Chart!$A$1:$AK$127,MATCH(Data!J584,Rate_Chart!$A$1:$A$127,0),MATCH(Data!K584,Rate_Chart!$A$1:$AK$1,0))</f>
        <v>37.948125900000008</v>
      </c>
      <c r="O584" s="57">
        <f t="shared" si="125"/>
        <v>1290.2362806000003</v>
      </c>
      <c r="P584" s="58">
        <f t="shared" si="126"/>
        <v>417.01237252747262</v>
      </c>
      <c r="Q584" s="58">
        <f t="shared" si="127"/>
        <v>278.00824835164843</v>
      </c>
      <c r="R584" s="66">
        <f t="shared" si="128"/>
        <v>22.579134910500009</v>
      </c>
      <c r="S584" s="64">
        <f t="shared" si="129"/>
        <v>127.5</v>
      </c>
      <c r="T584" s="66">
        <f t="shared" si="130"/>
        <v>1440.3154155105003</v>
      </c>
      <c r="U584" s="68">
        <f t="shared" si="131"/>
        <v>42.362218103250008</v>
      </c>
      <c r="V584" s="68">
        <f t="shared" si="132"/>
        <v>465.51888025549459</v>
      </c>
      <c r="W584" s="68">
        <f t="shared" si="133"/>
        <v>310.34592017032975</v>
      </c>
    </row>
    <row r="585" spans="1:23" x14ac:dyDescent="0.25">
      <c r="A585" s="169" t="s">
        <v>889</v>
      </c>
      <c r="B585" s="61" t="s">
        <v>397</v>
      </c>
      <c r="C585" s="61" t="s">
        <v>591</v>
      </c>
      <c r="D585" s="61" t="s">
        <v>593</v>
      </c>
      <c r="E585" s="1" t="s">
        <v>360</v>
      </c>
      <c r="F585" s="62" t="str">
        <f t="shared" si="134"/>
        <v>64510</v>
      </c>
      <c r="G585" s="1">
        <v>10620043</v>
      </c>
      <c r="H585" s="1" t="s">
        <v>387</v>
      </c>
      <c r="I585" s="61">
        <v>18</v>
      </c>
      <c r="J585" s="61">
        <v>5.6</v>
      </c>
      <c r="K585" s="61">
        <v>8.4</v>
      </c>
      <c r="L585" s="69">
        <f t="shared" si="123"/>
        <v>1.008</v>
      </c>
      <c r="M585" s="69">
        <f t="shared" si="124"/>
        <v>1.5120000000000002</v>
      </c>
      <c r="N585" s="56">
        <f>INDEX(Rate_Chart!$A$1:$AK$127,MATCH(Data!J585,Rate_Chart!$A$1:$A$127,0),MATCH(Data!K585,Rate_Chart!$A$1:$AK$1,0))</f>
        <v>45.357199999999999</v>
      </c>
      <c r="O585" s="57">
        <f t="shared" si="125"/>
        <v>816.42959999999994</v>
      </c>
      <c r="P585" s="58">
        <f t="shared" si="126"/>
        <v>404.97500000000002</v>
      </c>
      <c r="Q585" s="58">
        <f t="shared" si="127"/>
        <v>269.98333333333335</v>
      </c>
      <c r="R585" s="66">
        <f t="shared" si="128"/>
        <v>14.287518</v>
      </c>
      <c r="S585" s="64">
        <f t="shared" si="129"/>
        <v>67.5</v>
      </c>
      <c r="T585" s="66">
        <f t="shared" si="130"/>
        <v>898.21711799999991</v>
      </c>
      <c r="U585" s="68">
        <f t="shared" si="131"/>
        <v>49.900950999999992</v>
      </c>
      <c r="V585" s="68">
        <f t="shared" si="132"/>
        <v>445.54420535714286</v>
      </c>
      <c r="W585" s="68">
        <f t="shared" si="133"/>
        <v>297.02947023809526</v>
      </c>
    </row>
    <row r="586" spans="1:23" x14ac:dyDescent="0.25">
      <c r="A586" s="169" t="s">
        <v>889</v>
      </c>
      <c r="B586" s="61" t="s">
        <v>397</v>
      </c>
      <c r="C586" s="61" t="s">
        <v>591</v>
      </c>
      <c r="D586" s="61" t="s">
        <v>593</v>
      </c>
      <c r="E586" s="1" t="s">
        <v>360</v>
      </c>
      <c r="F586" s="62" t="str">
        <f t="shared" si="134"/>
        <v>64510</v>
      </c>
      <c r="G586" s="1">
        <v>10620043</v>
      </c>
      <c r="H586" s="1" t="s">
        <v>388</v>
      </c>
      <c r="I586" s="61">
        <v>41</v>
      </c>
      <c r="J586" s="61">
        <v>3.1</v>
      </c>
      <c r="K586" s="61">
        <v>8.1</v>
      </c>
      <c r="L586" s="69">
        <f t="shared" si="123"/>
        <v>1.2710000000000001</v>
      </c>
      <c r="M586" s="69">
        <f t="shared" si="124"/>
        <v>3.3209999999999997</v>
      </c>
      <c r="N586" s="56">
        <f>INDEX(Rate_Chart!$A$1:$AK$127,MATCH(Data!J586,Rate_Chart!$A$1:$A$127,0),MATCH(Data!K586,Rate_Chart!$A$1:$AK$1,0))</f>
        <v>35.446125899999998</v>
      </c>
      <c r="O586" s="57">
        <f t="shared" si="125"/>
        <v>1453.2911618999999</v>
      </c>
      <c r="P586" s="58">
        <f t="shared" si="126"/>
        <v>417.01324588235298</v>
      </c>
      <c r="Q586" s="58">
        <f t="shared" si="127"/>
        <v>278.0088305882353</v>
      </c>
      <c r="R586" s="66">
        <f t="shared" si="128"/>
        <v>25.432595333249999</v>
      </c>
      <c r="S586" s="64">
        <f t="shared" si="129"/>
        <v>153.75</v>
      </c>
      <c r="T586" s="66">
        <f t="shared" si="130"/>
        <v>1632.4737572332499</v>
      </c>
      <c r="U586" s="68">
        <f t="shared" si="131"/>
        <v>39.816433103249999</v>
      </c>
      <c r="V586" s="68">
        <f t="shared" si="132"/>
        <v>468.42862474411766</v>
      </c>
      <c r="W586" s="68">
        <f t="shared" si="133"/>
        <v>312.28574982941177</v>
      </c>
    </row>
    <row r="587" spans="1:23" x14ac:dyDescent="0.25">
      <c r="A587" s="169" t="s">
        <v>890</v>
      </c>
      <c r="B587" s="61" t="s">
        <v>396</v>
      </c>
      <c r="C587" s="61" t="s">
        <v>591</v>
      </c>
      <c r="D587" s="61" t="s">
        <v>593</v>
      </c>
      <c r="E587" s="1" t="s">
        <v>360</v>
      </c>
      <c r="F587" s="62" t="str">
        <f t="shared" si="134"/>
        <v>64510</v>
      </c>
      <c r="G587" s="1">
        <v>10620043</v>
      </c>
      <c r="H587" s="1" t="s">
        <v>387</v>
      </c>
      <c r="I587" s="61">
        <v>18</v>
      </c>
      <c r="J587" s="61">
        <v>6.8</v>
      </c>
      <c r="K587" s="61">
        <v>8.8000000000000007</v>
      </c>
      <c r="L587" s="69">
        <f t="shared" si="123"/>
        <v>1.224</v>
      </c>
      <c r="M587" s="69">
        <f t="shared" si="124"/>
        <v>1.5840000000000001</v>
      </c>
      <c r="N587" s="56">
        <f>INDEX(Rate_Chart!$A$1:$AK$127,MATCH(Data!J587,Rate_Chart!$A$1:$A$127,0),MATCH(Data!K587,Rate_Chart!$A$1:$AK$1,0))</f>
        <v>56.212200000000003</v>
      </c>
      <c r="O587" s="57">
        <f t="shared" si="125"/>
        <v>1011.8196</v>
      </c>
      <c r="P587" s="58">
        <f t="shared" si="126"/>
        <v>443.78052631578947</v>
      </c>
      <c r="Q587" s="58">
        <f t="shared" si="127"/>
        <v>295.8536842105263</v>
      </c>
      <c r="R587" s="66">
        <f t="shared" si="128"/>
        <v>17.706843000000003</v>
      </c>
      <c r="S587" s="64">
        <f t="shared" si="129"/>
        <v>67.5</v>
      </c>
      <c r="T587" s="66">
        <f t="shared" si="130"/>
        <v>1097.026443</v>
      </c>
      <c r="U587" s="68">
        <f t="shared" si="131"/>
        <v>60.945913499999996</v>
      </c>
      <c r="V587" s="68">
        <f t="shared" si="132"/>
        <v>481.15194868421048</v>
      </c>
      <c r="W587" s="68">
        <f t="shared" si="133"/>
        <v>320.76796578947364</v>
      </c>
    </row>
    <row r="588" spans="1:23" x14ac:dyDescent="0.25">
      <c r="A588" s="169" t="s">
        <v>890</v>
      </c>
      <c r="B588" s="61" t="s">
        <v>396</v>
      </c>
      <c r="C588" s="61" t="s">
        <v>591</v>
      </c>
      <c r="D588" s="61" t="s">
        <v>593</v>
      </c>
      <c r="E588" s="1" t="s">
        <v>360</v>
      </c>
      <c r="F588" s="62" t="str">
        <f t="shared" si="134"/>
        <v>64510</v>
      </c>
      <c r="G588" s="1">
        <v>10620043</v>
      </c>
      <c r="H588" s="1" t="s">
        <v>388</v>
      </c>
      <c r="I588" s="61">
        <v>66</v>
      </c>
      <c r="J588" s="61">
        <v>3.3</v>
      </c>
      <c r="K588" s="61">
        <v>8.1</v>
      </c>
      <c r="L588" s="69">
        <f t="shared" si="123"/>
        <v>2.1779999999999999</v>
      </c>
      <c r="M588" s="69">
        <f t="shared" si="124"/>
        <v>5.3460000000000001</v>
      </c>
      <c r="N588" s="56">
        <f>INDEX(Rate_Chart!$A$1:$AK$127,MATCH(Data!J588,Rate_Chart!$A$1:$A$127,0),MATCH(Data!K588,Rate_Chart!$A$1:$AK$1,0))</f>
        <v>36.280125900000002</v>
      </c>
      <c r="O588" s="57">
        <f t="shared" si="125"/>
        <v>2394.4883094000002</v>
      </c>
      <c r="P588" s="58">
        <f t="shared" si="126"/>
        <v>417.0129413793104</v>
      </c>
      <c r="Q588" s="58">
        <f t="shared" si="127"/>
        <v>278.00862758620696</v>
      </c>
      <c r="R588" s="66">
        <f t="shared" si="128"/>
        <v>41.903545414500009</v>
      </c>
      <c r="S588" s="64">
        <f t="shared" si="129"/>
        <v>247.5</v>
      </c>
      <c r="T588" s="66">
        <f t="shared" si="130"/>
        <v>2683.8918548145002</v>
      </c>
      <c r="U588" s="68">
        <f t="shared" si="131"/>
        <v>40.665028103250002</v>
      </c>
      <c r="V588" s="68">
        <f t="shared" si="132"/>
        <v>467.4141161293104</v>
      </c>
      <c r="W588" s="68">
        <f t="shared" si="133"/>
        <v>311.6094107528736</v>
      </c>
    </row>
    <row r="589" spans="1:23" x14ac:dyDescent="0.25">
      <c r="A589" s="169" t="s">
        <v>890</v>
      </c>
      <c r="B589" s="61" t="s">
        <v>397</v>
      </c>
      <c r="C589" s="61" t="s">
        <v>591</v>
      </c>
      <c r="D589" s="61" t="s">
        <v>593</v>
      </c>
      <c r="E589" s="1" t="s">
        <v>360</v>
      </c>
      <c r="F589" s="62" t="str">
        <f t="shared" si="134"/>
        <v>64510</v>
      </c>
      <c r="G589" s="1">
        <v>10620043</v>
      </c>
      <c r="H589" s="1" t="s">
        <v>387</v>
      </c>
      <c r="I589" s="61">
        <v>16</v>
      </c>
      <c r="J589" s="61">
        <v>5.6</v>
      </c>
      <c r="K589" s="61">
        <v>8.4</v>
      </c>
      <c r="L589" s="69">
        <f t="shared" si="123"/>
        <v>0.89599999999999991</v>
      </c>
      <c r="M589" s="69">
        <f t="shared" si="124"/>
        <v>1.3440000000000001</v>
      </c>
      <c r="N589" s="56">
        <f>INDEX(Rate_Chart!$A$1:$AK$127,MATCH(Data!J589,Rate_Chart!$A$1:$A$127,0),MATCH(Data!K589,Rate_Chart!$A$1:$AK$1,0))</f>
        <v>45.357199999999999</v>
      </c>
      <c r="O589" s="57">
        <f t="shared" si="125"/>
        <v>725.71519999999998</v>
      </c>
      <c r="P589" s="58">
        <f t="shared" si="126"/>
        <v>404.97500000000002</v>
      </c>
      <c r="Q589" s="58">
        <f t="shared" si="127"/>
        <v>269.98333333333335</v>
      </c>
      <c r="R589" s="66">
        <f t="shared" si="128"/>
        <v>12.700016000000002</v>
      </c>
      <c r="S589" s="64">
        <f t="shared" si="129"/>
        <v>60</v>
      </c>
      <c r="T589" s="66">
        <f t="shared" si="130"/>
        <v>798.41521599999999</v>
      </c>
      <c r="U589" s="68">
        <f t="shared" si="131"/>
        <v>49.900950999999999</v>
      </c>
      <c r="V589" s="68">
        <f t="shared" si="132"/>
        <v>445.54420535714291</v>
      </c>
      <c r="W589" s="68">
        <f t="shared" si="133"/>
        <v>297.02947023809526</v>
      </c>
    </row>
    <row r="590" spans="1:23" x14ac:dyDescent="0.25">
      <c r="A590" s="169" t="s">
        <v>890</v>
      </c>
      <c r="B590" s="61" t="s">
        <v>397</v>
      </c>
      <c r="C590" s="61" t="s">
        <v>591</v>
      </c>
      <c r="D590" s="61" t="s">
        <v>593</v>
      </c>
      <c r="E590" s="1" t="s">
        <v>360</v>
      </c>
      <c r="F590" s="62" t="str">
        <f t="shared" si="134"/>
        <v>64510</v>
      </c>
      <c r="G590" s="1">
        <v>10620043</v>
      </c>
      <c r="H590" s="1" t="s">
        <v>388</v>
      </c>
      <c r="I590" s="61">
        <v>40</v>
      </c>
      <c r="J590" s="61">
        <v>3.2</v>
      </c>
      <c r="K590" s="61">
        <v>8.1</v>
      </c>
      <c r="L590" s="69">
        <f t="shared" si="123"/>
        <v>1.28</v>
      </c>
      <c r="M590" s="69">
        <f t="shared" si="124"/>
        <v>3.24</v>
      </c>
      <c r="N590" s="56">
        <f>INDEX(Rate_Chart!$A$1:$AK$127,MATCH(Data!J590,Rate_Chart!$A$1:$A$127,0),MATCH(Data!K590,Rate_Chart!$A$1:$AK$1,0))</f>
        <v>35.8631259</v>
      </c>
      <c r="O590" s="57">
        <f t="shared" si="125"/>
        <v>1434.525036</v>
      </c>
      <c r="P590" s="58">
        <f t="shared" si="126"/>
        <v>417.01309186046512</v>
      </c>
      <c r="Q590" s="58">
        <f t="shared" si="127"/>
        <v>278.00872790697673</v>
      </c>
      <c r="R590" s="66">
        <f t="shared" si="128"/>
        <v>25.104188130000001</v>
      </c>
      <c r="S590" s="64">
        <f t="shared" si="129"/>
        <v>150</v>
      </c>
      <c r="T590" s="66">
        <f t="shared" si="130"/>
        <v>1609.62922413</v>
      </c>
      <c r="U590" s="68">
        <f t="shared" si="131"/>
        <v>40.24073060325</v>
      </c>
      <c r="V590" s="68">
        <f t="shared" si="132"/>
        <v>467.91547213081401</v>
      </c>
      <c r="W590" s="68">
        <f t="shared" si="133"/>
        <v>311.94364808720934</v>
      </c>
    </row>
    <row r="591" spans="1:23" x14ac:dyDescent="0.25">
      <c r="A591" s="169" t="s">
        <v>891</v>
      </c>
      <c r="B591" s="61" t="s">
        <v>396</v>
      </c>
      <c r="C591" s="61" t="s">
        <v>591</v>
      </c>
      <c r="D591" s="61" t="s">
        <v>593</v>
      </c>
      <c r="E591" s="1" t="s">
        <v>360</v>
      </c>
      <c r="F591" s="62" t="str">
        <f t="shared" si="134"/>
        <v>64510</v>
      </c>
      <c r="G591" s="1">
        <v>10620043</v>
      </c>
      <c r="H591" s="1" t="s">
        <v>387</v>
      </c>
      <c r="I591" s="61">
        <v>17</v>
      </c>
      <c r="J591" s="61">
        <v>6.4</v>
      </c>
      <c r="K591" s="61">
        <v>8.8000000000000007</v>
      </c>
      <c r="L591" s="69">
        <f t="shared" si="123"/>
        <v>1.0880000000000001</v>
      </c>
      <c r="M591" s="69">
        <f t="shared" si="124"/>
        <v>1.4960000000000002</v>
      </c>
      <c r="N591" s="56">
        <f>INDEX(Rate_Chart!$A$1:$AK$127,MATCH(Data!J591,Rate_Chart!$A$1:$A$127,0),MATCH(Data!K591,Rate_Chart!$A$1:$AK$1,0))</f>
        <v>52.9056</v>
      </c>
      <c r="O591" s="57">
        <f t="shared" si="125"/>
        <v>899.39520000000005</v>
      </c>
      <c r="P591" s="58">
        <f t="shared" si="126"/>
        <v>431.29565217391303</v>
      </c>
      <c r="Q591" s="58">
        <f t="shared" si="127"/>
        <v>287.53043478260867</v>
      </c>
      <c r="R591" s="66">
        <f t="shared" si="128"/>
        <v>15.739416000000002</v>
      </c>
      <c r="S591" s="64">
        <f t="shared" si="129"/>
        <v>63.75</v>
      </c>
      <c r="T591" s="66">
        <f t="shared" si="130"/>
        <v>978.88461600000005</v>
      </c>
      <c r="U591" s="68">
        <f t="shared" si="131"/>
        <v>57.581448000000002</v>
      </c>
      <c r="V591" s="68">
        <f t="shared" si="132"/>
        <v>469.41397826086956</v>
      </c>
      <c r="W591" s="68">
        <f t="shared" si="133"/>
        <v>312.94265217391302</v>
      </c>
    </row>
    <row r="592" spans="1:23" x14ac:dyDescent="0.25">
      <c r="A592" s="169" t="s">
        <v>891</v>
      </c>
      <c r="B592" s="61" t="s">
        <v>396</v>
      </c>
      <c r="C592" s="61" t="s">
        <v>591</v>
      </c>
      <c r="D592" s="61" t="s">
        <v>593</v>
      </c>
      <c r="E592" s="1" t="s">
        <v>360</v>
      </c>
      <c r="F592" s="62" t="str">
        <f t="shared" si="134"/>
        <v>64510</v>
      </c>
      <c r="G592" s="1">
        <v>10620043</v>
      </c>
      <c r="H592" s="1" t="s">
        <v>388</v>
      </c>
      <c r="I592" s="61">
        <v>36</v>
      </c>
      <c r="J592" s="61">
        <v>3.3</v>
      </c>
      <c r="K592" s="61">
        <v>8</v>
      </c>
      <c r="L592" s="69">
        <f t="shared" si="123"/>
        <v>1.1879999999999999</v>
      </c>
      <c r="M592" s="69">
        <f t="shared" si="124"/>
        <v>2.88</v>
      </c>
      <c r="N592" s="56">
        <f>INDEX(Rate_Chart!$A$1:$AK$127,MATCH(Data!J592,Rate_Chart!$A$1:$A$127,0),MATCH(Data!K592,Rate_Chart!$A$1:$AK$1,0))</f>
        <v>36.002112000000004</v>
      </c>
      <c r="O592" s="57">
        <f t="shared" si="125"/>
        <v>1296.0760320000002</v>
      </c>
      <c r="P592" s="58">
        <f t="shared" si="126"/>
        <v>417.01288030888031</v>
      </c>
      <c r="Q592" s="58">
        <f t="shared" si="127"/>
        <v>278.00858687258687</v>
      </c>
      <c r="R592" s="66">
        <f t="shared" si="128"/>
        <v>22.681330560000006</v>
      </c>
      <c r="S592" s="64">
        <f t="shared" si="129"/>
        <v>135</v>
      </c>
      <c r="T592" s="66">
        <f t="shared" si="130"/>
        <v>1453.7573625600003</v>
      </c>
      <c r="U592" s="68">
        <f t="shared" si="131"/>
        <v>40.382148960000009</v>
      </c>
      <c r="V592" s="68">
        <f t="shared" si="132"/>
        <v>467.74689915057917</v>
      </c>
      <c r="W592" s="68">
        <f t="shared" si="133"/>
        <v>311.83126610038613</v>
      </c>
    </row>
    <row r="593" spans="1:23" x14ac:dyDescent="0.25">
      <c r="A593" s="169" t="s">
        <v>891</v>
      </c>
      <c r="B593" s="61" t="s">
        <v>397</v>
      </c>
      <c r="C593" s="61" t="s">
        <v>591</v>
      </c>
      <c r="D593" s="61" t="s">
        <v>593</v>
      </c>
      <c r="E593" s="1" t="s">
        <v>360</v>
      </c>
      <c r="F593" s="62" t="str">
        <f t="shared" si="134"/>
        <v>64510</v>
      </c>
      <c r="G593" s="1">
        <v>10620043</v>
      </c>
      <c r="H593" s="1" t="s">
        <v>387</v>
      </c>
      <c r="I593" s="61">
        <v>18</v>
      </c>
      <c r="J593" s="61">
        <v>5.8</v>
      </c>
      <c r="K593" s="61">
        <v>8.6</v>
      </c>
      <c r="L593" s="69">
        <f t="shared" si="123"/>
        <v>1.0439999999999998</v>
      </c>
      <c r="M593" s="69">
        <f t="shared" si="124"/>
        <v>1.5479999999999998</v>
      </c>
      <c r="N593" s="56">
        <f>INDEX(Rate_Chart!$A$1:$AK$127,MATCH(Data!J593,Rate_Chart!$A$1:$A$127,0),MATCH(Data!K593,Rate_Chart!$A$1:$AK$1,0))</f>
        <v>47.461399999999998</v>
      </c>
      <c r="O593" s="57">
        <f t="shared" si="125"/>
        <v>854.30520000000001</v>
      </c>
      <c r="P593" s="58">
        <f t="shared" si="126"/>
        <v>411.51502890173413</v>
      </c>
      <c r="Q593" s="58">
        <f t="shared" si="127"/>
        <v>274.34335260115608</v>
      </c>
      <c r="R593" s="66">
        <f t="shared" si="128"/>
        <v>14.950341000000002</v>
      </c>
      <c r="S593" s="64">
        <f t="shared" si="129"/>
        <v>67.5</v>
      </c>
      <c r="T593" s="66">
        <f t="shared" si="130"/>
        <v>936.75554099999999</v>
      </c>
      <c r="U593" s="68">
        <f t="shared" si="131"/>
        <v>52.041974500000002</v>
      </c>
      <c r="V593" s="68">
        <f t="shared" si="132"/>
        <v>451.23099277456657</v>
      </c>
      <c r="W593" s="68">
        <f t="shared" si="133"/>
        <v>300.82066184971103</v>
      </c>
    </row>
    <row r="594" spans="1:23" x14ac:dyDescent="0.25">
      <c r="A594" s="169" t="s">
        <v>891</v>
      </c>
      <c r="B594" s="61" t="s">
        <v>397</v>
      </c>
      <c r="C594" s="61" t="s">
        <v>591</v>
      </c>
      <c r="D594" s="61" t="s">
        <v>593</v>
      </c>
      <c r="E594" s="1" t="s">
        <v>360</v>
      </c>
      <c r="F594" s="62" t="str">
        <f t="shared" si="134"/>
        <v>64510</v>
      </c>
      <c r="G594" s="1">
        <v>10620043</v>
      </c>
      <c r="H594" s="1" t="s">
        <v>388</v>
      </c>
      <c r="I594" s="61">
        <v>40</v>
      </c>
      <c r="J594" s="61">
        <v>3.1</v>
      </c>
      <c r="K594" s="61">
        <v>8.1</v>
      </c>
      <c r="L594" s="69">
        <f t="shared" si="123"/>
        <v>1.24</v>
      </c>
      <c r="M594" s="69">
        <f t="shared" si="124"/>
        <v>3.24</v>
      </c>
      <c r="N594" s="56">
        <f>INDEX(Rate_Chart!$A$1:$AK$127,MATCH(Data!J594,Rate_Chart!$A$1:$A$127,0),MATCH(Data!K594,Rate_Chart!$A$1:$AK$1,0))</f>
        <v>35.446125899999998</v>
      </c>
      <c r="O594" s="57">
        <f t="shared" si="125"/>
        <v>1417.8450359999999</v>
      </c>
      <c r="P594" s="58">
        <f t="shared" si="126"/>
        <v>417.01324588235298</v>
      </c>
      <c r="Q594" s="58">
        <f t="shared" si="127"/>
        <v>278.0088305882353</v>
      </c>
      <c r="R594" s="66">
        <f t="shared" si="128"/>
        <v>24.812288130000002</v>
      </c>
      <c r="S594" s="64">
        <f t="shared" si="129"/>
        <v>150</v>
      </c>
      <c r="T594" s="66">
        <f t="shared" si="130"/>
        <v>1592.65732413</v>
      </c>
      <c r="U594" s="68">
        <f t="shared" si="131"/>
        <v>39.816433103249999</v>
      </c>
      <c r="V594" s="68">
        <f t="shared" si="132"/>
        <v>468.42862474411766</v>
      </c>
      <c r="W594" s="68">
        <f t="shared" si="133"/>
        <v>312.28574982941177</v>
      </c>
    </row>
    <row r="595" spans="1:23" x14ac:dyDescent="0.25">
      <c r="A595" s="169" t="s">
        <v>892</v>
      </c>
      <c r="B595" s="61" t="s">
        <v>396</v>
      </c>
      <c r="C595" s="61" t="s">
        <v>591</v>
      </c>
      <c r="D595" s="61" t="s">
        <v>593</v>
      </c>
      <c r="E595" s="1" t="s">
        <v>360</v>
      </c>
      <c r="F595" s="62" t="str">
        <f t="shared" si="134"/>
        <v>64510</v>
      </c>
      <c r="G595" s="1">
        <v>10620043</v>
      </c>
      <c r="H595" s="1" t="s">
        <v>387</v>
      </c>
      <c r="I595" s="61">
        <v>18</v>
      </c>
      <c r="J595" s="61">
        <v>7</v>
      </c>
      <c r="K595" s="61">
        <v>8.8000000000000007</v>
      </c>
      <c r="L595" s="69">
        <f t="shared" si="123"/>
        <v>1.26</v>
      </c>
      <c r="M595" s="69">
        <f t="shared" si="124"/>
        <v>1.5840000000000001</v>
      </c>
      <c r="N595" s="56">
        <f>INDEX(Rate_Chart!$A$1:$AK$127,MATCH(Data!J595,Rate_Chart!$A$1:$A$127,0),MATCH(Data!K595,Rate_Chart!$A$1:$AK$1,0))</f>
        <v>57.865500000000004</v>
      </c>
      <c r="O595" s="57">
        <f t="shared" si="125"/>
        <v>1041.5790000000002</v>
      </c>
      <c r="P595" s="58">
        <f t="shared" si="126"/>
        <v>449.73186528497411</v>
      </c>
      <c r="Q595" s="58">
        <f t="shared" si="127"/>
        <v>299.82124352331607</v>
      </c>
      <c r="R595" s="66">
        <f t="shared" si="128"/>
        <v>18.227632500000006</v>
      </c>
      <c r="S595" s="64">
        <f t="shared" si="129"/>
        <v>67.5</v>
      </c>
      <c r="T595" s="66">
        <f t="shared" si="130"/>
        <v>1127.3066325000002</v>
      </c>
      <c r="U595" s="68">
        <f t="shared" si="131"/>
        <v>62.628146250000015</v>
      </c>
      <c r="V595" s="68">
        <f t="shared" si="132"/>
        <v>486.74725064766847</v>
      </c>
      <c r="W595" s="68">
        <f t="shared" si="133"/>
        <v>324.49816709844566</v>
      </c>
    </row>
    <row r="596" spans="1:23" x14ac:dyDescent="0.25">
      <c r="A596" s="169" t="s">
        <v>892</v>
      </c>
      <c r="B596" s="61" t="s">
        <v>396</v>
      </c>
      <c r="C596" s="61" t="s">
        <v>591</v>
      </c>
      <c r="D596" s="61" t="s">
        <v>593</v>
      </c>
      <c r="E596" s="1" t="s">
        <v>360</v>
      </c>
      <c r="F596" s="62" t="str">
        <f t="shared" si="134"/>
        <v>64510</v>
      </c>
      <c r="G596" s="1">
        <v>10620043</v>
      </c>
      <c r="H596" s="1" t="s">
        <v>388</v>
      </c>
      <c r="I596" s="61">
        <v>36</v>
      </c>
      <c r="J596" s="61">
        <v>3.6</v>
      </c>
      <c r="K596" s="61">
        <v>8.1</v>
      </c>
      <c r="L596" s="69">
        <f t="shared" si="123"/>
        <v>1.296</v>
      </c>
      <c r="M596" s="69">
        <f t="shared" si="124"/>
        <v>2.9159999999999995</v>
      </c>
      <c r="N596" s="56">
        <f>INDEX(Rate_Chart!$A$1:$AK$127,MATCH(Data!J596,Rate_Chart!$A$1:$A$127,0),MATCH(Data!K596,Rate_Chart!$A$1:$AK$1,0))</f>
        <v>37.531125900000006</v>
      </c>
      <c r="O596" s="57">
        <f t="shared" si="125"/>
        <v>1351.1205324000002</v>
      </c>
      <c r="P596" s="58">
        <f t="shared" si="126"/>
        <v>417.01251000000008</v>
      </c>
      <c r="Q596" s="58">
        <f t="shared" si="127"/>
        <v>278.00834000000003</v>
      </c>
      <c r="R596" s="66">
        <f t="shared" si="128"/>
        <v>23.644609317000008</v>
      </c>
      <c r="S596" s="64">
        <f t="shared" si="129"/>
        <v>135</v>
      </c>
      <c r="T596" s="66">
        <f t="shared" si="130"/>
        <v>1509.7651417170002</v>
      </c>
      <c r="U596" s="68">
        <f t="shared" si="131"/>
        <v>41.937920603250006</v>
      </c>
      <c r="V596" s="68">
        <f t="shared" si="132"/>
        <v>465.97689559166673</v>
      </c>
      <c r="W596" s="68">
        <f t="shared" si="133"/>
        <v>310.6512637277778</v>
      </c>
    </row>
    <row r="597" spans="1:23" x14ac:dyDescent="0.25">
      <c r="A597" s="169" t="s">
        <v>892</v>
      </c>
      <c r="B597" s="61" t="s">
        <v>397</v>
      </c>
      <c r="C597" s="61" t="s">
        <v>591</v>
      </c>
      <c r="D597" s="61" t="s">
        <v>593</v>
      </c>
      <c r="E597" s="1" t="s">
        <v>360</v>
      </c>
      <c r="F597" s="62" t="str">
        <f t="shared" si="134"/>
        <v>64510</v>
      </c>
      <c r="G597" s="1">
        <v>10620043</v>
      </c>
      <c r="H597" s="1" t="s">
        <v>387</v>
      </c>
      <c r="I597" s="61">
        <v>17</v>
      </c>
      <c r="J597" s="61">
        <v>6</v>
      </c>
      <c r="K597" s="61">
        <v>8.8000000000000007</v>
      </c>
      <c r="L597" s="69">
        <f t="shared" si="123"/>
        <v>1.02</v>
      </c>
      <c r="M597" s="69">
        <f t="shared" si="124"/>
        <v>1.4960000000000002</v>
      </c>
      <c r="N597" s="56">
        <f>INDEX(Rate_Chart!$A$1:$AK$127,MATCH(Data!J597,Rate_Chart!$A$1:$A$127,0),MATCH(Data!K597,Rate_Chart!$A$1:$AK$1,0))</f>
        <v>49.599000000000004</v>
      </c>
      <c r="O597" s="57">
        <f t="shared" si="125"/>
        <v>843.18300000000011</v>
      </c>
      <c r="P597" s="58">
        <f t="shared" si="126"/>
        <v>417.96910112359552</v>
      </c>
      <c r="Q597" s="58">
        <f t="shared" si="127"/>
        <v>278.64606741573033</v>
      </c>
      <c r="R597" s="66">
        <f t="shared" si="128"/>
        <v>14.755702500000003</v>
      </c>
      <c r="S597" s="64">
        <f t="shared" si="129"/>
        <v>63.75</v>
      </c>
      <c r="T597" s="66">
        <f t="shared" si="130"/>
        <v>921.68870250000009</v>
      </c>
      <c r="U597" s="68">
        <f t="shared" si="131"/>
        <v>54.216982500000007</v>
      </c>
      <c r="V597" s="68">
        <f t="shared" si="132"/>
        <v>456.8846839887641</v>
      </c>
      <c r="W597" s="68">
        <f t="shared" si="133"/>
        <v>304.58978932584273</v>
      </c>
    </row>
    <row r="598" spans="1:23" x14ac:dyDescent="0.25">
      <c r="A598" s="169" t="s">
        <v>892</v>
      </c>
      <c r="B598" s="61" t="s">
        <v>397</v>
      </c>
      <c r="C598" s="61" t="s">
        <v>591</v>
      </c>
      <c r="D598" s="61" t="s">
        <v>593</v>
      </c>
      <c r="E598" s="1" t="s">
        <v>360</v>
      </c>
      <c r="F598" s="62" t="str">
        <f t="shared" si="134"/>
        <v>64510</v>
      </c>
      <c r="G598" s="1">
        <v>10620043</v>
      </c>
      <c r="H598" s="1" t="s">
        <v>388</v>
      </c>
      <c r="I598" s="61">
        <v>38</v>
      </c>
      <c r="J598" s="61">
        <v>3.3</v>
      </c>
      <c r="K598" s="61">
        <v>8.1</v>
      </c>
      <c r="L598" s="69">
        <f t="shared" si="123"/>
        <v>1.254</v>
      </c>
      <c r="M598" s="69">
        <f t="shared" si="124"/>
        <v>3.0780000000000003</v>
      </c>
      <c r="N598" s="56">
        <f>INDEX(Rate_Chart!$A$1:$AK$127,MATCH(Data!J598,Rate_Chart!$A$1:$A$127,0),MATCH(Data!K598,Rate_Chart!$A$1:$AK$1,0))</f>
        <v>36.280125900000002</v>
      </c>
      <c r="O598" s="57">
        <f t="shared" si="125"/>
        <v>1378.6447842</v>
      </c>
      <c r="P598" s="58">
        <f t="shared" si="126"/>
        <v>417.0129413793104</v>
      </c>
      <c r="Q598" s="58">
        <f t="shared" si="127"/>
        <v>278.00862758620696</v>
      </c>
      <c r="R598" s="66">
        <f t="shared" si="128"/>
        <v>24.126283723500002</v>
      </c>
      <c r="S598" s="64">
        <f t="shared" si="129"/>
        <v>142.5</v>
      </c>
      <c r="T598" s="66">
        <f t="shared" si="130"/>
        <v>1545.2710679234999</v>
      </c>
      <c r="U598" s="68">
        <f t="shared" si="131"/>
        <v>40.665028103249995</v>
      </c>
      <c r="V598" s="68">
        <f t="shared" si="132"/>
        <v>467.41411612931034</v>
      </c>
      <c r="W598" s="68">
        <f t="shared" si="133"/>
        <v>311.60941075287354</v>
      </c>
    </row>
    <row r="599" spans="1:23" x14ac:dyDescent="0.25">
      <c r="A599" s="169" t="s">
        <v>893</v>
      </c>
      <c r="B599" s="61" t="s">
        <v>396</v>
      </c>
      <c r="C599" s="61" t="s">
        <v>591</v>
      </c>
      <c r="D599" s="61" t="s">
        <v>593</v>
      </c>
      <c r="E599" s="1" t="s">
        <v>360</v>
      </c>
      <c r="F599" s="62" t="str">
        <f t="shared" si="134"/>
        <v>64510</v>
      </c>
      <c r="G599" s="1">
        <v>10620043</v>
      </c>
      <c r="H599" s="1" t="s">
        <v>387</v>
      </c>
      <c r="I599" s="61">
        <v>17</v>
      </c>
      <c r="J599" s="61">
        <v>7</v>
      </c>
      <c r="K599" s="61">
        <v>8.8000000000000007</v>
      </c>
      <c r="L599" s="69">
        <f t="shared" si="123"/>
        <v>1.19</v>
      </c>
      <c r="M599" s="69">
        <f t="shared" si="124"/>
        <v>1.4960000000000002</v>
      </c>
      <c r="N599" s="56">
        <f>INDEX(Rate_Chart!$A$1:$AK$127,MATCH(Data!J599,Rate_Chart!$A$1:$A$127,0),MATCH(Data!K599,Rate_Chart!$A$1:$AK$1,0))</f>
        <v>57.865500000000004</v>
      </c>
      <c r="O599" s="57">
        <f t="shared" si="125"/>
        <v>983.71350000000007</v>
      </c>
      <c r="P599" s="58">
        <f t="shared" si="126"/>
        <v>449.73186528497411</v>
      </c>
      <c r="Q599" s="58">
        <f t="shared" si="127"/>
        <v>299.82124352331607</v>
      </c>
      <c r="R599" s="66">
        <f t="shared" si="128"/>
        <v>17.214986250000003</v>
      </c>
      <c r="S599" s="64">
        <f t="shared" si="129"/>
        <v>63.75</v>
      </c>
      <c r="T599" s="66">
        <f t="shared" si="130"/>
        <v>1064.6784862500001</v>
      </c>
      <c r="U599" s="68">
        <f t="shared" si="131"/>
        <v>62.628146250000007</v>
      </c>
      <c r="V599" s="68">
        <f t="shared" si="132"/>
        <v>486.74725064766841</v>
      </c>
      <c r="W599" s="68">
        <f t="shared" si="133"/>
        <v>324.49816709844561</v>
      </c>
    </row>
    <row r="600" spans="1:23" x14ac:dyDescent="0.25">
      <c r="A600" s="169" t="s">
        <v>893</v>
      </c>
      <c r="B600" s="61" t="s">
        <v>396</v>
      </c>
      <c r="C600" s="61" t="s">
        <v>591</v>
      </c>
      <c r="D600" s="61" t="s">
        <v>593</v>
      </c>
      <c r="E600" s="1" t="s">
        <v>360</v>
      </c>
      <c r="F600" s="62" t="str">
        <f t="shared" si="134"/>
        <v>64510</v>
      </c>
      <c r="G600" s="1">
        <v>10620043</v>
      </c>
      <c r="H600" s="1" t="s">
        <v>388</v>
      </c>
      <c r="I600" s="61">
        <v>41</v>
      </c>
      <c r="J600" s="61">
        <v>3.5</v>
      </c>
      <c r="K600" s="61">
        <v>8.1</v>
      </c>
      <c r="L600" s="69">
        <f t="shared" si="123"/>
        <v>1.4350000000000001</v>
      </c>
      <c r="M600" s="69">
        <f t="shared" si="124"/>
        <v>3.3209999999999997</v>
      </c>
      <c r="N600" s="56">
        <f>INDEX(Rate_Chart!$A$1:$AK$127,MATCH(Data!J600,Rate_Chart!$A$1:$A$127,0),MATCH(Data!K600,Rate_Chart!$A$1:$AK$1,0))</f>
        <v>37.114125900000005</v>
      </c>
      <c r="O600" s="57">
        <f t="shared" si="125"/>
        <v>1521.6791619000003</v>
      </c>
      <c r="P600" s="58">
        <f t="shared" si="126"/>
        <v>417.01265056179784</v>
      </c>
      <c r="Q600" s="58">
        <f t="shared" si="127"/>
        <v>278.00843370786521</v>
      </c>
      <c r="R600" s="66">
        <f t="shared" si="128"/>
        <v>26.629385333250006</v>
      </c>
      <c r="S600" s="64">
        <f t="shared" si="129"/>
        <v>153.75</v>
      </c>
      <c r="T600" s="66">
        <f t="shared" si="130"/>
        <v>1702.0585472332502</v>
      </c>
      <c r="U600" s="68">
        <f t="shared" si="131"/>
        <v>41.513623103250005</v>
      </c>
      <c r="V600" s="68">
        <f t="shared" si="132"/>
        <v>466.44520340730344</v>
      </c>
      <c r="W600" s="68">
        <f t="shared" si="133"/>
        <v>310.96346893820231</v>
      </c>
    </row>
    <row r="601" spans="1:23" x14ac:dyDescent="0.25">
      <c r="A601" s="169" t="s">
        <v>893</v>
      </c>
      <c r="B601" s="61" t="s">
        <v>397</v>
      </c>
      <c r="C601" s="61" t="s">
        <v>591</v>
      </c>
      <c r="D601" s="61" t="s">
        <v>593</v>
      </c>
      <c r="E601" s="1" t="s">
        <v>360</v>
      </c>
      <c r="F601" s="62" t="str">
        <f t="shared" si="134"/>
        <v>64510</v>
      </c>
      <c r="G601" s="1">
        <v>10620043</v>
      </c>
      <c r="H601" s="1" t="s">
        <v>387</v>
      </c>
      <c r="I601" s="61">
        <v>16</v>
      </c>
      <c r="J601" s="61">
        <v>5.6</v>
      </c>
      <c r="K601" s="61">
        <v>8.4</v>
      </c>
      <c r="L601" s="69">
        <f t="shared" si="123"/>
        <v>0.89599999999999991</v>
      </c>
      <c r="M601" s="69">
        <f t="shared" si="124"/>
        <v>1.3440000000000001</v>
      </c>
      <c r="N601" s="56">
        <f>INDEX(Rate_Chart!$A$1:$AK$127,MATCH(Data!J601,Rate_Chart!$A$1:$A$127,0),MATCH(Data!K601,Rate_Chart!$A$1:$AK$1,0))</f>
        <v>45.357199999999999</v>
      </c>
      <c r="O601" s="57">
        <f t="shared" si="125"/>
        <v>725.71519999999998</v>
      </c>
      <c r="P601" s="58">
        <f t="shared" si="126"/>
        <v>404.97500000000002</v>
      </c>
      <c r="Q601" s="58">
        <f t="shared" si="127"/>
        <v>269.98333333333335</v>
      </c>
      <c r="R601" s="66">
        <f t="shared" si="128"/>
        <v>12.700016000000002</v>
      </c>
      <c r="S601" s="64">
        <f t="shared" si="129"/>
        <v>60</v>
      </c>
      <c r="T601" s="66">
        <f t="shared" si="130"/>
        <v>798.41521599999999</v>
      </c>
      <c r="U601" s="68">
        <f t="shared" si="131"/>
        <v>49.900950999999999</v>
      </c>
      <c r="V601" s="68">
        <f t="shared" si="132"/>
        <v>445.54420535714291</v>
      </c>
      <c r="W601" s="68">
        <f t="shared" si="133"/>
        <v>297.02947023809526</v>
      </c>
    </row>
    <row r="602" spans="1:23" x14ac:dyDescent="0.25">
      <c r="A602" s="169" t="s">
        <v>893</v>
      </c>
      <c r="B602" s="61" t="s">
        <v>397</v>
      </c>
      <c r="C602" s="61" t="s">
        <v>591</v>
      </c>
      <c r="D602" s="61" t="s">
        <v>593</v>
      </c>
      <c r="E602" s="1" t="s">
        <v>360</v>
      </c>
      <c r="F602" s="62" t="str">
        <f t="shared" si="134"/>
        <v>64510</v>
      </c>
      <c r="G602" s="1">
        <v>10620043</v>
      </c>
      <c r="H602" s="1" t="s">
        <v>388</v>
      </c>
      <c r="I602" s="61">
        <v>41</v>
      </c>
      <c r="J602" s="61">
        <v>3.2</v>
      </c>
      <c r="K602" s="61">
        <v>8.1</v>
      </c>
      <c r="L602" s="69">
        <f t="shared" si="123"/>
        <v>1.3120000000000003</v>
      </c>
      <c r="M602" s="69">
        <f t="shared" si="124"/>
        <v>3.3209999999999997</v>
      </c>
      <c r="N602" s="56">
        <f>INDEX(Rate_Chart!$A$1:$AK$127,MATCH(Data!J602,Rate_Chart!$A$1:$A$127,0),MATCH(Data!K602,Rate_Chart!$A$1:$AK$1,0))</f>
        <v>35.8631259</v>
      </c>
      <c r="O602" s="57">
        <f t="shared" si="125"/>
        <v>1470.3881618999999</v>
      </c>
      <c r="P602" s="58">
        <f t="shared" si="126"/>
        <v>417.01309186046512</v>
      </c>
      <c r="Q602" s="58">
        <f t="shared" si="127"/>
        <v>278.00872790697673</v>
      </c>
      <c r="R602" s="66">
        <f t="shared" si="128"/>
        <v>25.731792833250001</v>
      </c>
      <c r="S602" s="64">
        <f t="shared" si="129"/>
        <v>153.75</v>
      </c>
      <c r="T602" s="66">
        <f t="shared" si="130"/>
        <v>1649.8699547332499</v>
      </c>
      <c r="U602" s="68">
        <f t="shared" si="131"/>
        <v>40.24073060325</v>
      </c>
      <c r="V602" s="68">
        <f t="shared" si="132"/>
        <v>467.91547213081401</v>
      </c>
      <c r="W602" s="68">
        <f t="shared" si="133"/>
        <v>311.94364808720934</v>
      </c>
    </row>
    <row r="603" spans="1:23" x14ac:dyDescent="0.25">
      <c r="A603" s="169" t="s">
        <v>894</v>
      </c>
      <c r="B603" s="61" t="s">
        <v>396</v>
      </c>
      <c r="C603" s="61" t="s">
        <v>591</v>
      </c>
      <c r="D603" s="61" t="s">
        <v>593</v>
      </c>
      <c r="E603" s="1" t="s">
        <v>360</v>
      </c>
      <c r="F603" s="62" t="str">
        <f t="shared" si="134"/>
        <v>64510</v>
      </c>
      <c r="G603" s="1">
        <v>10620043</v>
      </c>
      <c r="H603" s="1" t="s">
        <v>387</v>
      </c>
      <c r="I603" s="61">
        <v>10</v>
      </c>
      <c r="J603" s="61">
        <v>6.2</v>
      </c>
      <c r="K603" s="61">
        <v>8.6</v>
      </c>
      <c r="L603" s="69">
        <f t="shared" si="123"/>
        <v>0.62</v>
      </c>
      <c r="M603" s="69">
        <f t="shared" si="124"/>
        <v>0.86</v>
      </c>
      <c r="N603" s="56">
        <f>INDEX(Rate_Chart!$A$1:$AK$127,MATCH(Data!J603,Rate_Chart!$A$1:$A$127,0),MATCH(Data!K603,Rate_Chart!$A$1:$AK$1,0))</f>
        <v>50.7346</v>
      </c>
      <c r="O603" s="57">
        <f t="shared" si="125"/>
        <v>507.346</v>
      </c>
      <c r="P603" s="58">
        <f t="shared" si="126"/>
        <v>425.15027932960902</v>
      </c>
      <c r="Q603" s="58">
        <f t="shared" si="127"/>
        <v>283.4335195530727</v>
      </c>
      <c r="R603" s="66">
        <f t="shared" si="128"/>
        <v>8.8785550000000004</v>
      </c>
      <c r="S603" s="64">
        <f t="shared" si="129"/>
        <v>37.5</v>
      </c>
      <c r="T603" s="66">
        <f t="shared" si="130"/>
        <v>553.72455500000001</v>
      </c>
      <c r="U603" s="68">
        <f t="shared" si="131"/>
        <v>55.372455500000001</v>
      </c>
      <c r="V603" s="68">
        <f t="shared" si="132"/>
        <v>464.01499022346377</v>
      </c>
      <c r="W603" s="68">
        <f t="shared" si="133"/>
        <v>309.34332681564251</v>
      </c>
    </row>
    <row r="604" spans="1:23" x14ac:dyDescent="0.25">
      <c r="A604" s="169" t="s">
        <v>894</v>
      </c>
      <c r="B604" s="61" t="s">
        <v>396</v>
      </c>
      <c r="C604" s="61" t="s">
        <v>591</v>
      </c>
      <c r="D604" s="61" t="s">
        <v>593</v>
      </c>
      <c r="E604" s="1" t="s">
        <v>360</v>
      </c>
      <c r="F604" s="62" t="str">
        <f t="shared" si="134"/>
        <v>64510</v>
      </c>
      <c r="G604" s="1">
        <v>10620043</v>
      </c>
      <c r="H604" s="1" t="s">
        <v>388</v>
      </c>
      <c r="I604" s="61">
        <v>41</v>
      </c>
      <c r="J604" s="61">
        <v>3.5</v>
      </c>
      <c r="K604" s="61">
        <v>8.1</v>
      </c>
      <c r="L604" s="69">
        <f t="shared" si="123"/>
        <v>1.4350000000000001</v>
      </c>
      <c r="M604" s="69">
        <f t="shared" si="124"/>
        <v>3.3209999999999997</v>
      </c>
      <c r="N604" s="56">
        <f>INDEX(Rate_Chart!$A$1:$AK$127,MATCH(Data!J604,Rate_Chart!$A$1:$A$127,0),MATCH(Data!K604,Rate_Chart!$A$1:$AK$1,0))</f>
        <v>37.114125900000005</v>
      </c>
      <c r="O604" s="57">
        <f t="shared" si="125"/>
        <v>1521.6791619000003</v>
      </c>
      <c r="P604" s="58">
        <f t="shared" si="126"/>
        <v>417.01265056179784</v>
      </c>
      <c r="Q604" s="58">
        <f t="shared" si="127"/>
        <v>278.00843370786521</v>
      </c>
      <c r="R604" s="66">
        <f t="shared" si="128"/>
        <v>26.629385333250006</v>
      </c>
      <c r="S604" s="64">
        <f t="shared" si="129"/>
        <v>153.75</v>
      </c>
      <c r="T604" s="66">
        <f t="shared" si="130"/>
        <v>1702.0585472332502</v>
      </c>
      <c r="U604" s="68">
        <f t="shared" si="131"/>
        <v>41.513623103250005</v>
      </c>
      <c r="V604" s="68">
        <f t="shared" si="132"/>
        <v>466.44520340730344</v>
      </c>
      <c r="W604" s="68">
        <f t="shared" si="133"/>
        <v>310.96346893820231</v>
      </c>
    </row>
    <row r="605" spans="1:23" x14ac:dyDescent="0.25">
      <c r="A605" s="169" t="s">
        <v>894</v>
      </c>
      <c r="B605" s="61" t="s">
        <v>397</v>
      </c>
      <c r="C605" s="61" t="s">
        <v>591</v>
      </c>
      <c r="D605" s="61" t="s">
        <v>593</v>
      </c>
      <c r="E605" s="1" t="s">
        <v>360</v>
      </c>
      <c r="F605" s="62" t="str">
        <f t="shared" si="134"/>
        <v>64510</v>
      </c>
      <c r="G605" s="1">
        <v>10620043</v>
      </c>
      <c r="H605" s="1" t="s">
        <v>387</v>
      </c>
      <c r="I605" s="61">
        <v>14</v>
      </c>
      <c r="J605" s="61">
        <v>6.1</v>
      </c>
      <c r="K605" s="61">
        <v>8.6</v>
      </c>
      <c r="L605" s="69">
        <f t="shared" si="123"/>
        <v>0.85399999999999987</v>
      </c>
      <c r="M605" s="69">
        <f t="shared" si="124"/>
        <v>1.204</v>
      </c>
      <c r="N605" s="56">
        <f>INDEX(Rate_Chart!$A$1:$AK$127,MATCH(Data!J605,Rate_Chart!$A$1:$A$127,0),MATCH(Data!K605,Rate_Chart!$A$1:$AK$1,0))</f>
        <v>49.9163</v>
      </c>
      <c r="O605" s="57">
        <f t="shared" si="125"/>
        <v>698.82820000000004</v>
      </c>
      <c r="P605" s="58">
        <f t="shared" si="126"/>
        <v>421.82788732394374</v>
      </c>
      <c r="Q605" s="58">
        <f t="shared" si="127"/>
        <v>281.21859154929581</v>
      </c>
      <c r="R605" s="66">
        <f t="shared" si="128"/>
        <v>12.229493500000002</v>
      </c>
      <c r="S605" s="64">
        <f t="shared" si="129"/>
        <v>52.5</v>
      </c>
      <c r="T605" s="66">
        <f t="shared" si="130"/>
        <v>763.55769350000003</v>
      </c>
      <c r="U605" s="68">
        <f t="shared" si="131"/>
        <v>54.539835250000003</v>
      </c>
      <c r="V605" s="68">
        <f t="shared" si="132"/>
        <v>460.90001619718316</v>
      </c>
      <c r="W605" s="68">
        <f t="shared" si="133"/>
        <v>307.26667746478876</v>
      </c>
    </row>
    <row r="606" spans="1:23" x14ac:dyDescent="0.25">
      <c r="A606" s="169" t="s">
        <v>894</v>
      </c>
      <c r="B606" s="61" t="s">
        <v>397</v>
      </c>
      <c r="C606" s="61" t="s">
        <v>591</v>
      </c>
      <c r="D606" s="61" t="s">
        <v>593</v>
      </c>
      <c r="E606" s="1" t="s">
        <v>360</v>
      </c>
      <c r="F606" s="62" t="str">
        <f t="shared" si="134"/>
        <v>64510</v>
      </c>
      <c r="G606" s="1">
        <v>10620043</v>
      </c>
      <c r="H606" s="1" t="s">
        <v>388</v>
      </c>
      <c r="I606" s="61">
        <v>39</v>
      </c>
      <c r="J606" s="61">
        <v>3.3</v>
      </c>
      <c r="K606" s="61">
        <v>8.1</v>
      </c>
      <c r="L606" s="69">
        <f t="shared" si="123"/>
        <v>1.2869999999999999</v>
      </c>
      <c r="M606" s="69">
        <f t="shared" si="124"/>
        <v>3.1589999999999998</v>
      </c>
      <c r="N606" s="56">
        <f>INDEX(Rate_Chart!$A$1:$AK$127,MATCH(Data!J606,Rate_Chart!$A$1:$A$127,0),MATCH(Data!K606,Rate_Chart!$A$1:$AK$1,0))</f>
        <v>36.280125900000002</v>
      </c>
      <c r="O606" s="57">
        <f t="shared" si="125"/>
        <v>1414.9249101</v>
      </c>
      <c r="P606" s="58">
        <f t="shared" si="126"/>
        <v>417.0129413793104</v>
      </c>
      <c r="Q606" s="58">
        <f t="shared" si="127"/>
        <v>278.00862758620696</v>
      </c>
      <c r="R606" s="66">
        <f t="shared" si="128"/>
        <v>24.761185926750002</v>
      </c>
      <c r="S606" s="64">
        <f t="shared" si="129"/>
        <v>146.25</v>
      </c>
      <c r="T606" s="66">
        <f t="shared" si="130"/>
        <v>1585.93609602675</v>
      </c>
      <c r="U606" s="68">
        <f t="shared" si="131"/>
        <v>40.665028103250002</v>
      </c>
      <c r="V606" s="68">
        <f t="shared" si="132"/>
        <v>467.4141161293104</v>
      </c>
      <c r="W606" s="68">
        <f t="shared" si="133"/>
        <v>311.6094107528736</v>
      </c>
    </row>
    <row r="607" spans="1:23" x14ac:dyDescent="0.25">
      <c r="A607" s="169" t="s">
        <v>888</v>
      </c>
      <c r="B607" s="61" t="s">
        <v>396</v>
      </c>
      <c r="C607" s="61" t="s">
        <v>591</v>
      </c>
      <c r="D607" s="61" t="s">
        <v>592</v>
      </c>
      <c r="E607" s="1" t="s">
        <v>361</v>
      </c>
      <c r="F607" s="62" t="str">
        <f t="shared" si="134"/>
        <v>64511</v>
      </c>
      <c r="G607" s="1">
        <v>10620057</v>
      </c>
      <c r="H607" s="1" t="s">
        <v>387</v>
      </c>
      <c r="I607" s="61">
        <v>19</v>
      </c>
      <c r="J607" s="61">
        <v>7</v>
      </c>
      <c r="K607" s="61">
        <v>9</v>
      </c>
      <c r="L607" s="69">
        <f t="shared" si="123"/>
        <v>1.33</v>
      </c>
      <c r="M607" s="69">
        <f t="shared" si="124"/>
        <v>1.71</v>
      </c>
      <c r="N607" s="56">
        <f>INDEX(Rate_Chart!$A$1:$AK$127,MATCH(Data!J607,Rate_Chart!$A$1:$A$127,0),MATCH(Data!K607,Rate_Chart!$A$1:$AK$1,0))</f>
        <v>58.45</v>
      </c>
      <c r="O607" s="57">
        <f t="shared" si="125"/>
        <v>1110.55</v>
      </c>
      <c r="P607" s="58">
        <f t="shared" si="126"/>
        <v>449.61538461538464</v>
      </c>
      <c r="Q607" s="58">
        <f t="shared" si="127"/>
        <v>299.74358974358978</v>
      </c>
      <c r="R607" s="66">
        <f t="shared" si="128"/>
        <v>19.434625</v>
      </c>
      <c r="S607" s="64">
        <f t="shared" si="129"/>
        <v>71.25</v>
      </c>
      <c r="T607" s="66">
        <f t="shared" si="130"/>
        <v>1201.2346250000001</v>
      </c>
      <c r="U607" s="68">
        <f t="shared" si="131"/>
        <v>63.222875000000002</v>
      </c>
      <c r="V607" s="68">
        <f t="shared" si="132"/>
        <v>486.32980769230767</v>
      </c>
      <c r="W607" s="68">
        <f t="shared" si="133"/>
        <v>324.21987179487178</v>
      </c>
    </row>
    <row r="608" spans="1:23" x14ac:dyDescent="0.25">
      <c r="A608" s="169" t="s">
        <v>888</v>
      </c>
      <c r="B608" s="61" t="s">
        <v>396</v>
      </c>
      <c r="C608" s="61" t="s">
        <v>591</v>
      </c>
      <c r="D608" s="61" t="s">
        <v>592</v>
      </c>
      <c r="E608" s="1" t="s">
        <v>361</v>
      </c>
      <c r="F608" s="62" t="str">
        <f t="shared" si="134"/>
        <v>64511</v>
      </c>
      <c r="G608" s="1">
        <v>10620057</v>
      </c>
      <c r="H608" s="1" t="s">
        <v>388</v>
      </c>
      <c r="I608" s="61">
        <v>51</v>
      </c>
      <c r="J608" s="61">
        <v>3.6</v>
      </c>
      <c r="K608" s="61">
        <v>8.1999999999999993</v>
      </c>
      <c r="L608" s="69">
        <f t="shared" si="123"/>
        <v>1.8359999999999999</v>
      </c>
      <c r="M608" s="69">
        <f t="shared" si="124"/>
        <v>4.1819999999999995</v>
      </c>
      <c r="N608" s="56">
        <f>INDEX(Rate_Chart!$A$1:$AK$127,MATCH(Data!J608,Rate_Chart!$A$1:$A$127,0),MATCH(Data!K608,Rate_Chart!$A$1:$AK$1,0))</f>
        <v>37.809139800000004</v>
      </c>
      <c r="O608" s="57">
        <f t="shared" si="125"/>
        <v>1928.2661298000003</v>
      </c>
      <c r="P608" s="58">
        <f t="shared" si="126"/>
        <v>417.01257132352941</v>
      </c>
      <c r="Q608" s="58">
        <f t="shared" si="127"/>
        <v>278.00838088235292</v>
      </c>
      <c r="R608" s="66">
        <f t="shared" si="128"/>
        <v>33.74465727150001</v>
      </c>
      <c r="S608" s="64">
        <f t="shared" si="129"/>
        <v>191.25</v>
      </c>
      <c r="T608" s="66">
        <f t="shared" si="130"/>
        <v>2153.2607870715001</v>
      </c>
      <c r="U608" s="68">
        <f t="shared" si="131"/>
        <v>42.220799746499999</v>
      </c>
      <c r="V608" s="68">
        <f t="shared" si="132"/>
        <v>465.6705854393382</v>
      </c>
      <c r="W608" s="68">
        <f t="shared" si="133"/>
        <v>310.44705695955878</v>
      </c>
    </row>
    <row r="609" spans="1:23" x14ac:dyDescent="0.25">
      <c r="A609" s="169" t="s">
        <v>888</v>
      </c>
      <c r="B609" s="61" t="s">
        <v>397</v>
      </c>
      <c r="C609" s="61" t="s">
        <v>591</v>
      </c>
      <c r="D609" s="61" t="s">
        <v>592</v>
      </c>
      <c r="E609" s="1" t="s">
        <v>361</v>
      </c>
      <c r="F609" s="62" t="str">
        <f t="shared" si="134"/>
        <v>64511</v>
      </c>
      <c r="G609" s="1">
        <v>10620057</v>
      </c>
      <c r="H609" s="1" t="s">
        <v>387</v>
      </c>
      <c r="I609" s="61">
        <v>18</v>
      </c>
      <c r="J609" s="61">
        <v>7.6</v>
      </c>
      <c r="K609" s="61">
        <v>9</v>
      </c>
      <c r="L609" s="69">
        <f t="shared" si="123"/>
        <v>1.3679999999999999</v>
      </c>
      <c r="M609" s="69">
        <f t="shared" si="124"/>
        <v>1.62</v>
      </c>
      <c r="N609" s="56">
        <f>INDEX(Rate_Chart!$A$1:$AK$127,MATCH(Data!J609,Rate_Chart!$A$1:$A$127,0),MATCH(Data!K609,Rate_Chart!$A$1:$AK$1,0))</f>
        <v>63.46</v>
      </c>
      <c r="O609" s="57">
        <f t="shared" si="125"/>
        <v>1142.28</v>
      </c>
      <c r="P609" s="58">
        <f t="shared" si="126"/>
        <v>466.61764705882348</v>
      </c>
      <c r="Q609" s="58">
        <f t="shared" si="127"/>
        <v>311.07843137254901</v>
      </c>
      <c r="R609" s="66">
        <f t="shared" si="128"/>
        <v>19.989900000000002</v>
      </c>
      <c r="S609" s="64">
        <f t="shared" si="129"/>
        <v>67.5</v>
      </c>
      <c r="T609" s="66">
        <f t="shared" si="130"/>
        <v>1229.7699</v>
      </c>
      <c r="U609" s="68">
        <f t="shared" si="131"/>
        <v>68.320549999999997</v>
      </c>
      <c r="V609" s="68">
        <f t="shared" si="132"/>
        <v>502.35698529411758</v>
      </c>
      <c r="W609" s="68">
        <f t="shared" si="133"/>
        <v>334.90465686274507</v>
      </c>
    </row>
    <row r="610" spans="1:23" x14ac:dyDescent="0.25">
      <c r="A610" s="169" t="s">
        <v>888</v>
      </c>
      <c r="B610" s="61" t="s">
        <v>397</v>
      </c>
      <c r="C610" s="61" t="s">
        <v>591</v>
      </c>
      <c r="D610" s="61" t="s">
        <v>592</v>
      </c>
      <c r="E610" s="1" t="s">
        <v>361</v>
      </c>
      <c r="F610" s="62" t="str">
        <f t="shared" si="134"/>
        <v>64511</v>
      </c>
      <c r="G610" s="1">
        <v>10620057</v>
      </c>
      <c r="H610" s="1" t="s">
        <v>388</v>
      </c>
      <c r="I610" s="61">
        <v>24</v>
      </c>
      <c r="J610" s="61">
        <v>3.8</v>
      </c>
      <c r="K610" s="61">
        <v>8.3000000000000007</v>
      </c>
      <c r="L610" s="69">
        <f t="shared" si="123"/>
        <v>0.91199999999999992</v>
      </c>
      <c r="M610" s="69">
        <f t="shared" si="124"/>
        <v>1.9920000000000002</v>
      </c>
      <c r="N610" s="56">
        <f>INDEX(Rate_Chart!$A$1:$AK$127,MATCH(Data!J610,Rate_Chart!$A$1:$A$127,0),MATCH(Data!K610,Rate_Chart!$A$1:$AK$1,0))</f>
        <v>38.921153700000005</v>
      </c>
      <c r="O610" s="57">
        <f t="shared" si="125"/>
        <v>934.10768880000012</v>
      </c>
      <c r="P610" s="58">
        <f t="shared" si="126"/>
        <v>417.01236107142859</v>
      </c>
      <c r="Q610" s="58">
        <f t="shared" si="127"/>
        <v>278.00824071428571</v>
      </c>
      <c r="R610" s="66">
        <f t="shared" si="128"/>
        <v>16.346884554000003</v>
      </c>
      <c r="S610" s="64">
        <f t="shared" si="129"/>
        <v>90</v>
      </c>
      <c r="T610" s="66">
        <f t="shared" si="130"/>
        <v>1040.4545733540001</v>
      </c>
      <c r="U610" s="68">
        <f t="shared" si="131"/>
        <v>43.352273889750002</v>
      </c>
      <c r="V610" s="68">
        <f t="shared" si="132"/>
        <v>464.48864881874999</v>
      </c>
      <c r="W610" s="68">
        <f t="shared" si="133"/>
        <v>309.6590992125</v>
      </c>
    </row>
    <row r="611" spans="1:23" x14ac:dyDescent="0.25">
      <c r="A611" s="169" t="s">
        <v>889</v>
      </c>
      <c r="B611" s="61" t="s">
        <v>396</v>
      </c>
      <c r="C611" s="61" t="s">
        <v>591</v>
      </c>
      <c r="D611" s="61" t="s">
        <v>592</v>
      </c>
      <c r="E611" s="1" t="s">
        <v>361</v>
      </c>
      <c r="F611" s="62" t="str">
        <f t="shared" si="134"/>
        <v>64511</v>
      </c>
      <c r="G611" s="1">
        <v>10620057</v>
      </c>
      <c r="H611" s="1" t="s">
        <v>387</v>
      </c>
      <c r="I611" s="61">
        <v>24</v>
      </c>
      <c r="J611" s="61">
        <v>7.6</v>
      </c>
      <c r="K611" s="61">
        <v>9</v>
      </c>
      <c r="L611" s="69">
        <f t="shared" si="123"/>
        <v>1.8239999999999998</v>
      </c>
      <c r="M611" s="69">
        <f t="shared" si="124"/>
        <v>2.16</v>
      </c>
      <c r="N611" s="56">
        <f>INDEX(Rate_Chart!$A$1:$AK$127,MATCH(Data!J611,Rate_Chart!$A$1:$A$127,0),MATCH(Data!K611,Rate_Chart!$A$1:$AK$1,0))</f>
        <v>63.46</v>
      </c>
      <c r="O611" s="57">
        <f t="shared" si="125"/>
        <v>1523.04</v>
      </c>
      <c r="P611" s="58">
        <f t="shared" si="126"/>
        <v>466.61764705882348</v>
      </c>
      <c r="Q611" s="58">
        <f t="shared" si="127"/>
        <v>311.07843137254901</v>
      </c>
      <c r="R611" s="66">
        <f t="shared" si="128"/>
        <v>26.653200000000002</v>
      </c>
      <c r="S611" s="64">
        <f t="shared" si="129"/>
        <v>90</v>
      </c>
      <c r="T611" s="66">
        <f t="shared" si="130"/>
        <v>1639.6931999999999</v>
      </c>
      <c r="U611" s="68">
        <f t="shared" si="131"/>
        <v>68.320549999999997</v>
      </c>
      <c r="V611" s="68">
        <f t="shared" si="132"/>
        <v>502.35698529411758</v>
      </c>
      <c r="W611" s="68">
        <f t="shared" si="133"/>
        <v>334.90465686274507</v>
      </c>
    </row>
    <row r="612" spans="1:23" x14ac:dyDescent="0.25">
      <c r="A612" s="169" t="s">
        <v>889</v>
      </c>
      <c r="B612" s="61" t="s">
        <v>396</v>
      </c>
      <c r="C612" s="61" t="s">
        <v>591</v>
      </c>
      <c r="D612" s="61" t="s">
        <v>592</v>
      </c>
      <c r="E612" s="1" t="s">
        <v>361</v>
      </c>
      <c r="F612" s="62" t="str">
        <f t="shared" si="134"/>
        <v>64511</v>
      </c>
      <c r="G612" s="1">
        <v>10620057</v>
      </c>
      <c r="H612" s="1" t="s">
        <v>388</v>
      </c>
      <c r="I612" s="61">
        <v>41</v>
      </c>
      <c r="J612" s="61">
        <v>3.7</v>
      </c>
      <c r="K612" s="61">
        <v>8.1999999999999993</v>
      </c>
      <c r="L612" s="69">
        <f t="shared" si="123"/>
        <v>1.5170000000000001</v>
      </c>
      <c r="M612" s="69">
        <f t="shared" si="124"/>
        <v>3.3620000000000001</v>
      </c>
      <c r="N612" s="56">
        <f>INDEX(Rate_Chart!$A$1:$AK$127,MATCH(Data!J612,Rate_Chart!$A$1:$A$127,0),MATCH(Data!K612,Rate_Chart!$A$1:$AK$1,0))</f>
        <v>38.226139799999999</v>
      </c>
      <c r="O612" s="57">
        <f t="shared" si="125"/>
        <v>1567.2717318</v>
      </c>
      <c r="P612" s="58">
        <f t="shared" si="126"/>
        <v>417.01243418181815</v>
      </c>
      <c r="Q612" s="58">
        <f t="shared" si="127"/>
        <v>278.00828945454543</v>
      </c>
      <c r="R612" s="66">
        <f t="shared" si="128"/>
        <v>27.427255306500001</v>
      </c>
      <c r="S612" s="64">
        <f t="shared" si="129"/>
        <v>153.75</v>
      </c>
      <c r="T612" s="66">
        <f t="shared" si="130"/>
        <v>1748.4489871065</v>
      </c>
      <c r="U612" s="68">
        <f t="shared" si="131"/>
        <v>42.645097246500001</v>
      </c>
      <c r="V612" s="68">
        <f t="shared" si="132"/>
        <v>465.21924268909089</v>
      </c>
      <c r="W612" s="68">
        <f t="shared" si="133"/>
        <v>310.14616179272724</v>
      </c>
    </row>
    <row r="613" spans="1:23" x14ac:dyDescent="0.25">
      <c r="A613" s="169" t="s">
        <v>889</v>
      </c>
      <c r="B613" s="61" t="s">
        <v>397</v>
      </c>
      <c r="C613" s="61" t="s">
        <v>591</v>
      </c>
      <c r="D613" s="61" t="s">
        <v>592</v>
      </c>
      <c r="E613" s="1" t="s">
        <v>361</v>
      </c>
      <c r="F613" s="62" t="str">
        <f t="shared" si="134"/>
        <v>64511</v>
      </c>
      <c r="G613" s="1">
        <v>10620057</v>
      </c>
      <c r="H613" s="1" t="s">
        <v>387</v>
      </c>
      <c r="I613" s="61">
        <v>15</v>
      </c>
      <c r="J613" s="61">
        <v>7.6</v>
      </c>
      <c r="K613" s="61">
        <v>9</v>
      </c>
      <c r="L613" s="69">
        <f t="shared" si="123"/>
        <v>1.1399999999999999</v>
      </c>
      <c r="M613" s="69">
        <f t="shared" si="124"/>
        <v>1.35</v>
      </c>
      <c r="N613" s="56">
        <f>INDEX(Rate_Chart!$A$1:$AK$127,MATCH(Data!J613,Rate_Chart!$A$1:$A$127,0),MATCH(Data!K613,Rate_Chart!$A$1:$AK$1,0))</f>
        <v>63.46</v>
      </c>
      <c r="O613" s="57">
        <f t="shared" si="125"/>
        <v>951.9</v>
      </c>
      <c r="P613" s="58">
        <f t="shared" si="126"/>
        <v>466.61764705882348</v>
      </c>
      <c r="Q613" s="58">
        <f t="shared" si="127"/>
        <v>311.07843137254901</v>
      </c>
      <c r="R613" s="66">
        <f t="shared" si="128"/>
        <v>16.658250000000002</v>
      </c>
      <c r="S613" s="64">
        <f t="shared" si="129"/>
        <v>56.25</v>
      </c>
      <c r="T613" s="66">
        <f t="shared" si="130"/>
        <v>1024.80825</v>
      </c>
      <c r="U613" s="68">
        <f t="shared" si="131"/>
        <v>68.320549999999997</v>
      </c>
      <c r="V613" s="68">
        <f t="shared" si="132"/>
        <v>502.35698529411758</v>
      </c>
      <c r="W613" s="68">
        <f t="shared" si="133"/>
        <v>334.90465686274507</v>
      </c>
    </row>
    <row r="614" spans="1:23" x14ac:dyDescent="0.25">
      <c r="A614" s="169" t="s">
        <v>889</v>
      </c>
      <c r="B614" s="61" t="s">
        <v>397</v>
      </c>
      <c r="C614" s="61" t="s">
        <v>591</v>
      </c>
      <c r="D614" s="61" t="s">
        <v>592</v>
      </c>
      <c r="E614" s="1" t="s">
        <v>361</v>
      </c>
      <c r="F614" s="62" t="str">
        <f t="shared" si="134"/>
        <v>64511</v>
      </c>
      <c r="G614" s="1">
        <v>10620057</v>
      </c>
      <c r="H614" s="1" t="s">
        <v>388</v>
      </c>
      <c r="I614" s="61">
        <v>30</v>
      </c>
      <c r="J614" s="61">
        <v>3.6</v>
      </c>
      <c r="K614" s="61">
        <v>8.1</v>
      </c>
      <c r="L614" s="69">
        <f t="shared" si="123"/>
        <v>1.08</v>
      </c>
      <c r="M614" s="69">
        <f t="shared" si="124"/>
        <v>2.4300000000000002</v>
      </c>
      <c r="N614" s="56">
        <f>INDEX(Rate_Chart!$A$1:$AK$127,MATCH(Data!J614,Rate_Chart!$A$1:$A$127,0),MATCH(Data!K614,Rate_Chart!$A$1:$AK$1,0))</f>
        <v>37.531125900000006</v>
      </c>
      <c r="O614" s="57">
        <f t="shared" si="125"/>
        <v>1125.9337770000002</v>
      </c>
      <c r="P614" s="58">
        <f t="shared" si="126"/>
        <v>417.01251000000008</v>
      </c>
      <c r="Q614" s="58">
        <f t="shared" si="127"/>
        <v>278.00834000000003</v>
      </c>
      <c r="R614" s="66">
        <f t="shared" si="128"/>
        <v>19.703841097500007</v>
      </c>
      <c r="S614" s="64">
        <f t="shared" si="129"/>
        <v>112.5</v>
      </c>
      <c r="T614" s="66">
        <f t="shared" si="130"/>
        <v>1258.1376180975003</v>
      </c>
      <c r="U614" s="68">
        <f t="shared" si="131"/>
        <v>41.937920603250014</v>
      </c>
      <c r="V614" s="68">
        <f t="shared" si="132"/>
        <v>465.97689559166685</v>
      </c>
      <c r="W614" s="68">
        <f t="shared" si="133"/>
        <v>310.65126372777792</v>
      </c>
    </row>
    <row r="615" spans="1:23" x14ac:dyDescent="0.25">
      <c r="A615" s="169" t="s">
        <v>890</v>
      </c>
      <c r="B615" s="61" t="s">
        <v>396</v>
      </c>
      <c r="C615" s="61" t="s">
        <v>591</v>
      </c>
      <c r="D615" s="61" t="s">
        <v>592</v>
      </c>
      <c r="E615" s="1" t="s">
        <v>361</v>
      </c>
      <c r="F615" s="62" t="str">
        <f t="shared" si="134"/>
        <v>64511</v>
      </c>
      <c r="G615" s="1">
        <v>10620057</v>
      </c>
      <c r="H615" s="1" t="s">
        <v>387</v>
      </c>
      <c r="I615" s="61">
        <v>25</v>
      </c>
      <c r="J615" s="61">
        <v>7.3</v>
      </c>
      <c r="K615" s="61">
        <v>9</v>
      </c>
      <c r="L615" s="69">
        <f t="shared" si="123"/>
        <v>1.825</v>
      </c>
      <c r="M615" s="69">
        <f t="shared" si="124"/>
        <v>2.25</v>
      </c>
      <c r="N615" s="56">
        <f>INDEX(Rate_Chart!$A$1:$AK$127,MATCH(Data!J615,Rate_Chart!$A$1:$A$127,0),MATCH(Data!K615,Rate_Chart!$A$1:$AK$1,0))</f>
        <v>60.954999999999998</v>
      </c>
      <c r="O615" s="57">
        <f t="shared" si="125"/>
        <v>1523.875</v>
      </c>
      <c r="P615" s="58">
        <f t="shared" si="126"/>
        <v>458.30827067669168</v>
      </c>
      <c r="Q615" s="58">
        <f t="shared" si="127"/>
        <v>305.53884711779443</v>
      </c>
      <c r="R615" s="66">
        <f t="shared" si="128"/>
        <v>26.667812500000004</v>
      </c>
      <c r="S615" s="64">
        <f t="shared" si="129"/>
        <v>93.75</v>
      </c>
      <c r="T615" s="66">
        <f t="shared" si="130"/>
        <v>1644.2928125000001</v>
      </c>
      <c r="U615" s="68">
        <f t="shared" si="131"/>
        <v>65.771712500000007</v>
      </c>
      <c r="V615" s="68">
        <f t="shared" si="132"/>
        <v>494.52415413533839</v>
      </c>
      <c r="W615" s="68">
        <f t="shared" si="133"/>
        <v>329.68276942355891</v>
      </c>
    </row>
    <row r="616" spans="1:23" x14ac:dyDescent="0.25">
      <c r="A616" s="169" t="s">
        <v>890</v>
      </c>
      <c r="B616" s="61" t="s">
        <v>396</v>
      </c>
      <c r="C616" s="61" t="s">
        <v>591</v>
      </c>
      <c r="D616" s="61" t="s">
        <v>592</v>
      </c>
      <c r="E616" s="1" t="s">
        <v>361</v>
      </c>
      <c r="F616" s="62" t="str">
        <f t="shared" si="134"/>
        <v>64511</v>
      </c>
      <c r="G616" s="1">
        <v>10620057</v>
      </c>
      <c r="H616" s="1" t="s">
        <v>388</v>
      </c>
      <c r="I616" s="61">
        <v>21</v>
      </c>
      <c r="J616" s="61">
        <v>4.3</v>
      </c>
      <c r="K616" s="61">
        <v>8.4</v>
      </c>
      <c r="L616" s="69">
        <f t="shared" si="123"/>
        <v>0.90300000000000002</v>
      </c>
      <c r="M616" s="69">
        <f t="shared" si="124"/>
        <v>1.764</v>
      </c>
      <c r="N616" s="56">
        <f>INDEX(Rate_Chart!$A$1:$AK$127,MATCH(Data!J616,Rate_Chart!$A$1:$A$127,0),MATCH(Data!K616,Rate_Chart!$A$1:$AK$1,0))</f>
        <v>41.284167600000004</v>
      </c>
      <c r="O616" s="57">
        <f t="shared" si="125"/>
        <v>866.96751960000006</v>
      </c>
      <c r="P616" s="58">
        <f t="shared" si="126"/>
        <v>417.01179393939395</v>
      </c>
      <c r="Q616" s="58">
        <f t="shared" si="127"/>
        <v>278.00786262626264</v>
      </c>
      <c r="R616" s="66">
        <f t="shared" si="128"/>
        <v>15.171931593000002</v>
      </c>
      <c r="S616" s="64">
        <f t="shared" si="129"/>
        <v>78.75</v>
      </c>
      <c r="T616" s="66">
        <f t="shared" si="130"/>
        <v>960.88945119300001</v>
      </c>
      <c r="U616" s="68">
        <f t="shared" si="131"/>
        <v>45.756640533000002</v>
      </c>
      <c r="V616" s="68">
        <f t="shared" si="132"/>
        <v>462.18828821212122</v>
      </c>
      <c r="W616" s="68">
        <f t="shared" si="133"/>
        <v>308.12552547474746</v>
      </c>
    </row>
    <row r="617" spans="1:23" x14ac:dyDescent="0.25">
      <c r="A617" s="169" t="s">
        <v>890</v>
      </c>
      <c r="B617" s="61" t="s">
        <v>397</v>
      </c>
      <c r="C617" s="61" t="s">
        <v>591</v>
      </c>
      <c r="D617" s="61" t="s">
        <v>592</v>
      </c>
      <c r="E617" s="1" t="s">
        <v>361</v>
      </c>
      <c r="F617" s="62" t="str">
        <f t="shared" si="134"/>
        <v>64511</v>
      </c>
      <c r="G617" s="1">
        <v>10620057</v>
      </c>
      <c r="H617" s="1" t="s">
        <v>387</v>
      </c>
      <c r="I617" s="61">
        <v>20</v>
      </c>
      <c r="J617" s="61">
        <v>7.3</v>
      </c>
      <c r="K617" s="61">
        <v>9</v>
      </c>
      <c r="L617" s="69">
        <f t="shared" si="123"/>
        <v>1.46</v>
      </c>
      <c r="M617" s="69">
        <f t="shared" si="124"/>
        <v>1.8</v>
      </c>
      <c r="N617" s="56">
        <f>INDEX(Rate_Chart!$A$1:$AK$127,MATCH(Data!J617,Rate_Chart!$A$1:$A$127,0),MATCH(Data!K617,Rate_Chart!$A$1:$AK$1,0))</f>
        <v>60.954999999999998</v>
      </c>
      <c r="O617" s="57">
        <f t="shared" si="125"/>
        <v>1219.0999999999999</v>
      </c>
      <c r="P617" s="58">
        <f t="shared" si="126"/>
        <v>458.30827067669168</v>
      </c>
      <c r="Q617" s="58">
        <f t="shared" si="127"/>
        <v>305.53884711779443</v>
      </c>
      <c r="R617" s="66">
        <f t="shared" si="128"/>
        <v>21.334250000000001</v>
      </c>
      <c r="S617" s="64">
        <f t="shared" si="129"/>
        <v>75</v>
      </c>
      <c r="T617" s="66">
        <f t="shared" si="130"/>
        <v>1315.4342499999998</v>
      </c>
      <c r="U617" s="68">
        <f t="shared" si="131"/>
        <v>65.771712499999992</v>
      </c>
      <c r="V617" s="68">
        <f t="shared" si="132"/>
        <v>494.52415413533828</v>
      </c>
      <c r="W617" s="68">
        <f t="shared" si="133"/>
        <v>329.68276942355885</v>
      </c>
    </row>
    <row r="618" spans="1:23" x14ac:dyDescent="0.25">
      <c r="A618" s="169" t="s">
        <v>890</v>
      </c>
      <c r="B618" s="61" t="s">
        <v>397</v>
      </c>
      <c r="C618" s="61" t="s">
        <v>591</v>
      </c>
      <c r="D618" s="61" t="s">
        <v>592</v>
      </c>
      <c r="E618" s="1" t="s">
        <v>361</v>
      </c>
      <c r="F618" s="62" t="str">
        <f t="shared" si="134"/>
        <v>64511</v>
      </c>
      <c r="G618" s="1">
        <v>10620057</v>
      </c>
      <c r="H618" s="1" t="s">
        <v>388</v>
      </c>
      <c r="I618" s="61">
        <v>28</v>
      </c>
      <c r="J618" s="61">
        <v>4</v>
      </c>
      <c r="K618" s="61">
        <v>8.4</v>
      </c>
      <c r="L618" s="69">
        <f t="shared" si="123"/>
        <v>1.1200000000000001</v>
      </c>
      <c r="M618" s="69">
        <f t="shared" si="124"/>
        <v>2.3520000000000003</v>
      </c>
      <c r="N618" s="56">
        <f>INDEX(Rate_Chart!$A$1:$AK$127,MATCH(Data!J618,Rate_Chart!$A$1:$A$127,0),MATCH(Data!K618,Rate_Chart!$A$1:$AK$1,0))</f>
        <v>40.033167600000006</v>
      </c>
      <c r="O618" s="57">
        <f t="shared" si="125"/>
        <v>1120.9286928000001</v>
      </c>
      <c r="P618" s="58">
        <f t="shared" si="126"/>
        <v>417.01216250000004</v>
      </c>
      <c r="Q618" s="58">
        <f t="shared" si="127"/>
        <v>278.00810833333338</v>
      </c>
      <c r="R618" s="66">
        <f t="shared" si="128"/>
        <v>19.616252124000003</v>
      </c>
      <c r="S618" s="64">
        <f t="shared" si="129"/>
        <v>105</v>
      </c>
      <c r="T618" s="66">
        <f t="shared" si="130"/>
        <v>1245.5449449240002</v>
      </c>
      <c r="U618" s="68">
        <f t="shared" si="131"/>
        <v>44.483748033000005</v>
      </c>
      <c r="V618" s="68">
        <f t="shared" si="132"/>
        <v>463.37237534375004</v>
      </c>
      <c r="W618" s="68">
        <f t="shared" si="133"/>
        <v>308.91491689583336</v>
      </c>
    </row>
    <row r="619" spans="1:23" x14ac:dyDescent="0.25">
      <c r="A619" s="169" t="s">
        <v>891</v>
      </c>
      <c r="B619" s="61" t="s">
        <v>396</v>
      </c>
      <c r="C619" s="61" t="s">
        <v>591</v>
      </c>
      <c r="D619" s="61" t="s">
        <v>592</v>
      </c>
      <c r="E619" s="1" t="s">
        <v>361</v>
      </c>
      <c r="F619" s="62" t="str">
        <f t="shared" si="134"/>
        <v>64511</v>
      </c>
      <c r="G619" s="1">
        <v>10620057</v>
      </c>
      <c r="H619" s="1" t="s">
        <v>387</v>
      </c>
      <c r="I619" s="61">
        <v>28</v>
      </c>
      <c r="J619" s="61">
        <v>7.6</v>
      </c>
      <c r="K619" s="61">
        <v>9</v>
      </c>
      <c r="L619" s="69">
        <f t="shared" si="123"/>
        <v>2.1279999999999997</v>
      </c>
      <c r="M619" s="69">
        <f t="shared" si="124"/>
        <v>2.52</v>
      </c>
      <c r="N619" s="56">
        <f>INDEX(Rate_Chart!$A$1:$AK$127,MATCH(Data!J619,Rate_Chart!$A$1:$A$127,0),MATCH(Data!K619,Rate_Chart!$A$1:$AK$1,0))</f>
        <v>63.46</v>
      </c>
      <c r="O619" s="57">
        <f t="shared" si="125"/>
        <v>1776.88</v>
      </c>
      <c r="P619" s="58">
        <f t="shared" si="126"/>
        <v>466.61764705882348</v>
      </c>
      <c r="Q619" s="58">
        <f t="shared" si="127"/>
        <v>311.07843137254901</v>
      </c>
      <c r="R619" s="66">
        <f t="shared" si="128"/>
        <v>31.095400000000005</v>
      </c>
      <c r="S619" s="64">
        <f t="shared" si="129"/>
        <v>105</v>
      </c>
      <c r="T619" s="66">
        <f t="shared" si="130"/>
        <v>1912.9754</v>
      </c>
      <c r="U619" s="68">
        <f t="shared" si="131"/>
        <v>68.320549999999997</v>
      </c>
      <c r="V619" s="68">
        <f t="shared" si="132"/>
        <v>502.35698529411758</v>
      </c>
      <c r="W619" s="68">
        <f t="shared" si="133"/>
        <v>334.90465686274507</v>
      </c>
    </row>
    <row r="620" spans="1:23" x14ac:dyDescent="0.25">
      <c r="A620" s="169" t="s">
        <v>891</v>
      </c>
      <c r="B620" s="61" t="s">
        <v>396</v>
      </c>
      <c r="C620" s="61" t="s">
        <v>591</v>
      </c>
      <c r="D620" s="61" t="s">
        <v>592</v>
      </c>
      <c r="E620" s="1" t="s">
        <v>361</v>
      </c>
      <c r="F620" s="62" t="str">
        <f t="shared" si="134"/>
        <v>64511</v>
      </c>
      <c r="G620" s="1">
        <v>10620057</v>
      </c>
      <c r="H620" s="1" t="s">
        <v>388</v>
      </c>
      <c r="I620" s="61">
        <v>23</v>
      </c>
      <c r="J620" s="61">
        <v>4.0999999999999996</v>
      </c>
      <c r="K620" s="61">
        <v>8.4</v>
      </c>
      <c r="L620" s="69">
        <f t="shared" si="123"/>
        <v>0.94299999999999995</v>
      </c>
      <c r="M620" s="69">
        <f t="shared" si="124"/>
        <v>1.9320000000000002</v>
      </c>
      <c r="N620" s="56">
        <f>INDEX(Rate_Chart!$A$1:$AK$127,MATCH(Data!J620,Rate_Chart!$A$1:$A$127,0),MATCH(Data!K620,Rate_Chart!$A$1:$AK$1,0))</f>
        <v>40.4501676</v>
      </c>
      <c r="O620" s="57">
        <f t="shared" si="125"/>
        <v>930.35385480000002</v>
      </c>
      <c r="P620" s="58">
        <f t="shared" si="126"/>
        <v>417.01203711340207</v>
      </c>
      <c r="Q620" s="58">
        <f t="shared" si="127"/>
        <v>278.00802474226805</v>
      </c>
      <c r="R620" s="66">
        <f t="shared" si="128"/>
        <v>16.281192459000003</v>
      </c>
      <c r="S620" s="64">
        <f t="shared" si="129"/>
        <v>86.25</v>
      </c>
      <c r="T620" s="66">
        <f t="shared" si="130"/>
        <v>1032.885047259</v>
      </c>
      <c r="U620" s="68">
        <f t="shared" si="131"/>
        <v>44.908045532999999</v>
      </c>
      <c r="V620" s="68">
        <f t="shared" si="132"/>
        <v>462.96954157731955</v>
      </c>
      <c r="W620" s="68">
        <f t="shared" si="133"/>
        <v>308.64636105154636</v>
      </c>
    </row>
    <row r="621" spans="1:23" x14ac:dyDescent="0.25">
      <c r="A621" s="169" t="s">
        <v>891</v>
      </c>
      <c r="B621" s="61" t="s">
        <v>397</v>
      </c>
      <c r="C621" s="61" t="s">
        <v>591</v>
      </c>
      <c r="D621" s="61" t="s">
        <v>592</v>
      </c>
      <c r="E621" s="1" t="s">
        <v>361</v>
      </c>
      <c r="F621" s="62" t="str">
        <f t="shared" si="134"/>
        <v>64511</v>
      </c>
      <c r="G621" s="1">
        <v>10620057</v>
      </c>
      <c r="H621" s="1" t="s">
        <v>387</v>
      </c>
      <c r="I621" s="61">
        <v>12</v>
      </c>
      <c r="J621" s="61">
        <v>7.4</v>
      </c>
      <c r="K621" s="61">
        <v>9</v>
      </c>
      <c r="L621" s="69">
        <f t="shared" si="123"/>
        <v>0.88800000000000012</v>
      </c>
      <c r="M621" s="69">
        <f t="shared" si="124"/>
        <v>1.08</v>
      </c>
      <c r="N621" s="56">
        <f>INDEX(Rate_Chart!$A$1:$AK$127,MATCH(Data!J621,Rate_Chart!$A$1:$A$127,0),MATCH(Data!K621,Rate_Chart!$A$1:$AK$1,0))</f>
        <v>61.790000000000006</v>
      </c>
      <c r="O621" s="57">
        <f t="shared" si="125"/>
        <v>741.48</v>
      </c>
      <c r="P621" s="58">
        <f t="shared" si="126"/>
        <v>461.11940298507466</v>
      </c>
      <c r="Q621" s="58">
        <f t="shared" si="127"/>
        <v>307.41293532338312</v>
      </c>
      <c r="R621" s="66">
        <f t="shared" si="128"/>
        <v>12.975900000000001</v>
      </c>
      <c r="S621" s="64">
        <f t="shared" si="129"/>
        <v>45</v>
      </c>
      <c r="T621" s="66">
        <f t="shared" si="130"/>
        <v>799.45590000000004</v>
      </c>
      <c r="U621" s="68">
        <f t="shared" si="131"/>
        <v>66.621324999999999</v>
      </c>
      <c r="V621" s="68">
        <f t="shared" si="132"/>
        <v>497.17406716417906</v>
      </c>
      <c r="W621" s="68">
        <f t="shared" si="133"/>
        <v>331.44937810945271</v>
      </c>
    </row>
    <row r="622" spans="1:23" x14ac:dyDescent="0.25">
      <c r="A622" s="169" t="s">
        <v>891</v>
      </c>
      <c r="B622" s="61" t="s">
        <v>397</v>
      </c>
      <c r="C622" s="61" t="s">
        <v>591</v>
      </c>
      <c r="D622" s="61" t="s">
        <v>592</v>
      </c>
      <c r="E622" s="1" t="s">
        <v>361</v>
      </c>
      <c r="F622" s="62" t="str">
        <f t="shared" si="134"/>
        <v>64511</v>
      </c>
      <c r="G622" s="1">
        <v>10620057</v>
      </c>
      <c r="H622" s="1" t="s">
        <v>388</v>
      </c>
      <c r="I622" s="61">
        <v>16</v>
      </c>
      <c r="J622" s="61">
        <v>4</v>
      </c>
      <c r="K622" s="61">
        <v>8.4</v>
      </c>
      <c r="L622" s="69">
        <f t="shared" si="123"/>
        <v>0.64</v>
      </c>
      <c r="M622" s="69">
        <f t="shared" si="124"/>
        <v>1.3440000000000001</v>
      </c>
      <c r="N622" s="56">
        <f>INDEX(Rate_Chart!$A$1:$AK$127,MATCH(Data!J622,Rate_Chart!$A$1:$A$127,0),MATCH(Data!K622,Rate_Chart!$A$1:$AK$1,0))</f>
        <v>40.033167600000006</v>
      </c>
      <c r="O622" s="57">
        <f t="shared" si="125"/>
        <v>640.53068160000009</v>
      </c>
      <c r="P622" s="58">
        <f t="shared" si="126"/>
        <v>417.01216250000004</v>
      </c>
      <c r="Q622" s="58">
        <f t="shared" si="127"/>
        <v>278.00810833333338</v>
      </c>
      <c r="R622" s="66">
        <f t="shared" si="128"/>
        <v>11.209286928000003</v>
      </c>
      <c r="S622" s="64">
        <f t="shared" si="129"/>
        <v>60</v>
      </c>
      <c r="T622" s="66">
        <f t="shared" si="130"/>
        <v>711.73996852800008</v>
      </c>
      <c r="U622" s="68">
        <f t="shared" si="131"/>
        <v>44.483748033000005</v>
      </c>
      <c r="V622" s="68">
        <f t="shared" si="132"/>
        <v>463.37237534375004</v>
      </c>
      <c r="W622" s="68">
        <f t="shared" si="133"/>
        <v>308.91491689583336</v>
      </c>
    </row>
    <row r="623" spans="1:23" x14ac:dyDescent="0.25">
      <c r="A623" s="169" t="s">
        <v>892</v>
      </c>
      <c r="B623" s="61" t="s">
        <v>396</v>
      </c>
      <c r="C623" s="61" t="s">
        <v>591</v>
      </c>
      <c r="D623" s="61" t="s">
        <v>592</v>
      </c>
      <c r="E623" s="1" t="s">
        <v>361</v>
      </c>
      <c r="F623" s="62" t="str">
        <f t="shared" si="134"/>
        <v>64511</v>
      </c>
      <c r="G623" s="1">
        <v>10620057</v>
      </c>
      <c r="H623" s="1" t="s">
        <v>387</v>
      </c>
      <c r="I623" s="61">
        <v>21</v>
      </c>
      <c r="J623" s="61">
        <v>7.7</v>
      </c>
      <c r="K623" s="61">
        <v>9</v>
      </c>
      <c r="L623" s="69">
        <f t="shared" si="123"/>
        <v>1.6170000000000002</v>
      </c>
      <c r="M623" s="69">
        <f t="shared" si="124"/>
        <v>1.89</v>
      </c>
      <c r="N623" s="56">
        <f>INDEX(Rate_Chart!$A$1:$AK$127,MATCH(Data!J623,Rate_Chart!$A$1:$A$127,0),MATCH(Data!K623,Rate_Chart!$A$1:$AK$1,0))</f>
        <v>64.295000000000002</v>
      </c>
      <c r="O623" s="57">
        <f t="shared" si="125"/>
        <v>1350.1949999999999</v>
      </c>
      <c r="P623" s="58">
        <f t="shared" si="126"/>
        <v>469.30656934306569</v>
      </c>
      <c r="Q623" s="58">
        <f t="shared" si="127"/>
        <v>312.87104622871044</v>
      </c>
      <c r="R623" s="66">
        <f t="shared" si="128"/>
        <v>23.6284125</v>
      </c>
      <c r="S623" s="64">
        <f t="shared" si="129"/>
        <v>78.75</v>
      </c>
      <c r="T623" s="66">
        <f t="shared" si="130"/>
        <v>1452.5734124999999</v>
      </c>
      <c r="U623" s="68">
        <f t="shared" si="131"/>
        <v>69.170162499999989</v>
      </c>
      <c r="V623" s="68">
        <f t="shared" si="132"/>
        <v>504.89169708029186</v>
      </c>
      <c r="W623" s="68">
        <f t="shared" si="133"/>
        <v>336.59446472019459</v>
      </c>
    </row>
    <row r="624" spans="1:23" x14ac:dyDescent="0.25">
      <c r="A624" s="169" t="s">
        <v>892</v>
      </c>
      <c r="B624" s="61" t="s">
        <v>396</v>
      </c>
      <c r="C624" s="61" t="s">
        <v>591</v>
      </c>
      <c r="D624" s="61" t="s">
        <v>592</v>
      </c>
      <c r="E624" s="1" t="s">
        <v>361</v>
      </c>
      <c r="F624" s="62" t="str">
        <f t="shared" si="134"/>
        <v>64511</v>
      </c>
      <c r="G624" s="1">
        <v>10620057</v>
      </c>
      <c r="H624" s="1" t="s">
        <v>388</v>
      </c>
      <c r="I624" s="61">
        <v>16</v>
      </c>
      <c r="J624" s="61">
        <v>4.2</v>
      </c>
      <c r="K624" s="61">
        <v>8.1999999999999993</v>
      </c>
      <c r="L624" s="69">
        <f t="shared" ref="L624:L687" si="135">J624*I624/100</f>
        <v>0.67200000000000004</v>
      </c>
      <c r="M624" s="69">
        <f t="shared" ref="M624:M687" si="136">K624*I624/100</f>
        <v>1.3119999999999998</v>
      </c>
      <c r="N624" s="56">
        <f>INDEX(Rate_Chart!$A$1:$AK$127,MATCH(Data!J624,Rate_Chart!$A$1:$A$127,0),MATCH(Data!K624,Rate_Chart!$A$1:$AK$1,0))</f>
        <v>40.311139799999999</v>
      </c>
      <c r="O624" s="57">
        <f t="shared" ref="O624:O687" si="137">N624*I624</f>
        <v>644.97823679999999</v>
      </c>
      <c r="P624" s="58">
        <f t="shared" ref="P624:P687" si="138">N624/(J624%+K624%*2/3)</f>
        <v>417.01179103448277</v>
      </c>
      <c r="Q624" s="58">
        <f t="shared" ref="Q624:Q687" si="139">P624*2/3</f>
        <v>278.00786068965516</v>
      </c>
      <c r="R624" s="66">
        <f t="shared" ref="R624:R687" si="140">O624*1.75%</f>
        <v>11.287119144</v>
      </c>
      <c r="S624" s="64">
        <f t="shared" ref="S624:S687" si="141">I624*3.75</f>
        <v>60</v>
      </c>
      <c r="T624" s="66">
        <f t="shared" ref="T624:T687" si="142">R624+S624+O624</f>
        <v>716.26535594400002</v>
      </c>
      <c r="U624" s="68">
        <f t="shared" ref="U624:U687" si="143">T624/I624</f>
        <v>44.766584746500001</v>
      </c>
      <c r="V624" s="68">
        <f t="shared" ref="V624:V687" si="144">U624/(J624%+K624%*2/3)</f>
        <v>463.10260082586211</v>
      </c>
      <c r="W624" s="68">
        <f t="shared" ref="W624:W687" si="145">V624*2/3</f>
        <v>308.73506721724141</v>
      </c>
    </row>
    <row r="625" spans="1:23" x14ac:dyDescent="0.25">
      <c r="A625" s="169" t="s">
        <v>892</v>
      </c>
      <c r="B625" s="61" t="s">
        <v>397</v>
      </c>
      <c r="C625" s="61" t="s">
        <v>591</v>
      </c>
      <c r="D625" s="61" t="s">
        <v>592</v>
      </c>
      <c r="E625" s="1" t="s">
        <v>361</v>
      </c>
      <c r="F625" s="62" t="str">
        <f t="shared" si="134"/>
        <v>64511</v>
      </c>
      <c r="G625" s="1">
        <v>10620057</v>
      </c>
      <c r="H625" s="1" t="s">
        <v>387</v>
      </c>
      <c r="I625" s="61">
        <v>13</v>
      </c>
      <c r="J625" s="61">
        <v>7.6</v>
      </c>
      <c r="K625" s="61">
        <v>9</v>
      </c>
      <c r="L625" s="69">
        <f t="shared" si="135"/>
        <v>0.98799999999999999</v>
      </c>
      <c r="M625" s="69">
        <f t="shared" si="136"/>
        <v>1.17</v>
      </c>
      <c r="N625" s="56">
        <f>INDEX(Rate_Chart!$A$1:$AK$127,MATCH(Data!J625,Rate_Chart!$A$1:$A$127,0),MATCH(Data!K625,Rate_Chart!$A$1:$AK$1,0))</f>
        <v>63.46</v>
      </c>
      <c r="O625" s="57">
        <f t="shared" si="137"/>
        <v>824.98</v>
      </c>
      <c r="P625" s="58">
        <f t="shared" si="138"/>
        <v>466.61764705882348</v>
      </c>
      <c r="Q625" s="58">
        <f t="shared" si="139"/>
        <v>311.07843137254901</v>
      </c>
      <c r="R625" s="66">
        <f t="shared" si="140"/>
        <v>14.437150000000001</v>
      </c>
      <c r="S625" s="64">
        <f t="shared" si="141"/>
        <v>48.75</v>
      </c>
      <c r="T625" s="66">
        <f t="shared" si="142"/>
        <v>888.16714999999999</v>
      </c>
      <c r="U625" s="68">
        <f t="shared" si="143"/>
        <v>68.320549999999997</v>
      </c>
      <c r="V625" s="68">
        <f t="shared" si="144"/>
        <v>502.35698529411758</v>
      </c>
      <c r="W625" s="68">
        <f t="shared" si="145"/>
        <v>334.90465686274507</v>
      </c>
    </row>
    <row r="626" spans="1:23" x14ac:dyDescent="0.25">
      <c r="A626" s="169" t="s">
        <v>892</v>
      </c>
      <c r="B626" s="61" t="s">
        <v>397</v>
      </c>
      <c r="C626" s="61" t="s">
        <v>591</v>
      </c>
      <c r="D626" s="61" t="s">
        <v>592</v>
      </c>
      <c r="E626" s="1" t="s">
        <v>361</v>
      </c>
      <c r="F626" s="62" t="str">
        <f t="shared" si="134"/>
        <v>64511</v>
      </c>
      <c r="G626" s="1">
        <v>10620057</v>
      </c>
      <c r="H626" s="1" t="s">
        <v>388</v>
      </c>
      <c r="I626" s="61">
        <v>19</v>
      </c>
      <c r="J626" s="61">
        <v>4.2</v>
      </c>
      <c r="K626" s="61">
        <v>8.4</v>
      </c>
      <c r="L626" s="69">
        <f t="shared" si="135"/>
        <v>0.79799999999999993</v>
      </c>
      <c r="M626" s="69">
        <f t="shared" si="136"/>
        <v>1.5959999999999999</v>
      </c>
      <c r="N626" s="56">
        <f>INDEX(Rate_Chart!$A$1:$AK$127,MATCH(Data!J626,Rate_Chart!$A$1:$A$127,0),MATCH(Data!K626,Rate_Chart!$A$1:$AK$1,0))</f>
        <v>40.867167600000002</v>
      </c>
      <c r="O626" s="57">
        <f t="shared" si="137"/>
        <v>776.47618440000008</v>
      </c>
      <c r="P626" s="58">
        <f t="shared" si="138"/>
        <v>417.01191428571428</v>
      </c>
      <c r="Q626" s="58">
        <f t="shared" si="139"/>
        <v>278.00794285714284</v>
      </c>
      <c r="R626" s="66">
        <f t="shared" si="140"/>
        <v>13.588333227000003</v>
      </c>
      <c r="S626" s="64">
        <f t="shared" si="141"/>
        <v>71.25</v>
      </c>
      <c r="T626" s="66">
        <f t="shared" si="142"/>
        <v>861.3145176270001</v>
      </c>
      <c r="U626" s="68">
        <f t="shared" si="143"/>
        <v>45.332343033000008</v>
      </c>
      <c r="V626" s="68">
        <f t="shared" si="144"/>
        <v>462.57492890816332</v>
      </c>
      <c r="W626" s="68">
        <f t="shared" si="145"/>
        <v>308.38328593877554</v>
      </c>
    </row>
    <row r="627" spans="1:23" x14ac:dyDescent="0.25">
      <c r="A627" s="169" t="s">
        <v>893</v>
      </c>
      <c r="B627" s="61" t="s">
        <v>396</v>
      </c>
      <c r="C627" s="61" t="s">
        <v>591</v>
      </c>
      <c r="D627" s="61" t="s">
        <v>592</v>
      </c>
      <c r="E627" s="1" t="s">
        <v>361</v>
      </c>
      <c r="F627" s="62" t="str">
        <f t="shared" si="134"/>
        <v>64511</v>
      </c>
      <c r="G627" s="1">
        <v>10620057</v>
      </c>
      <c r="H627" s="1" t="s">
        <v>387</v>
      </c>
      <c r="I627" s="61">
        <v>23</v>
      </c>
      <c r="J627" s="61">
        <v>7.5</v>
      </c>
      <c r="K627" s="61">
        <v>9</v>
      </c>
      <c r="L627" s="69">
        <f t="shared" si="135"/>
        <v>1.7250000000000001</v>
      </c>
      <c r="M627" s="69">
        <f t="shared" si="136"/>
        <v>2.0699999999999998</v>
      </c>
      <c r="N627" s="56">
        <f>INDEX(Rate_Chart!$A$1:$AK$127,MATCH(Data!J627,Rate_Chart!$A$1:$A$127,0),MATCH(Data!K627,Rate_Chart!$A$1:$AK$1,0))</f>
        <v>62.625</v>
      </c>
      <c r="O627" s="57">
        <f t="shared" si="137"/>
        <v>1440.375</v>
      </c>
      <c r="P627" s="58">
        <f t="shared" si="138"/>
        <v>463.88888888888886</v>
      </c>
      <c r="Q627" s="58">
        <f t="shared" si="139"/>
        <v>309.25925925925924</v>
      </c>
      <c r="R627" s="66">
        <f t="shared" si="140"/>
        <v>25.206562500000004</v>
      </c>
      <c r="S627" s="64">
        <f t="shared" si="141"/>
        <v>86.25</v>
      </c>
      <c r="T627" s="66">
        <f t="shared" si="142"/>
        <v>1551.8315625</v>
      </c>
      <c r="U627" s="68">
        <f t="shared" si="143"/>
        <v>67.470937500000005</v>
      </c>
      <c r="V627" s="68">
        <f t="shared" si="144"/>
        <v>499.78472222222223</v>
      </c>
      <c r="W627" s="68">
        <f t="shared" si="145"/>
        <v>333.18981481481484</v>
      </c>
    </row>
    <row r="628" spans="1:23" x14ac:dyDescent="0.25">
      <c r="A628" s="169" t="s">
        <v>893</v>
      </c>
      <c r="B628" s="61" t="s">
        <v>396</v>
      </c>
      <c r="C628" s="61" t="s">
        <v>591</v>
      </c>
      <c r="D628" s="61" t="s">
        <v>592</v>
      </c>
      <c r="E628" s="1" t="s">
        <v>361</v>
      </c>
      <c r="F628" s="62" t="str">
        <f t="shared" si="134"/>
        <v>64511</v>
      </c>
      <c r="G628" s="1">
        <v>10620057</v>
      </c>
      <c r="H628" s="1" t="s">
        <v>388</v>
      </c>
      <c r="I628" s="61">
        <v>21</v>
      </c>
      <c r="J628" s="61">
        <v>4.5</v>
      </c>
      <c r="K628" s="61">
        <v>8.5</v>
      </c>
      <c r="L628" s="69">
        <f t="shared" si="135"/>
        <v>0.94499999999999995</v>
      </c>
      <c r="M628" s="69">
        <f t="shared" si="136"/>
        <v>1.7849999999999999</v>
      </c>
      <c r="N628" s="56">
        <f>INDEX(Rate_Chart!$A$1:$AK$127,MATCH(Data!J628,Rate_Chart!$A$1:$A$127,0),MATCH(Data!K628,Rate_Chart!$A$1:$AK$1,0))</f>
        <v>42.396181500000004</v>
      </c>
      <c r="O628" s="57">
        <f t="shared" si="137"/>
        <v>890.31981150000013</v>
      </c>
      <c r="P628" s="58">
        <f t="shared" si="138"/>
        <v>417.01162131147544</v>
      </c>
      <c r="Q628" s="58">
        <f t="shared" si="139"/>
        <v>278.00774754098364</v>
      </c>
      <c r="R628" s="66">
        <f t="shared" si="140"/>
        <v>15.580596701250004</v>
      </c>
      <c r="S628" s="64">
        <f t="shared" si="141"/>
        <v>78.75</v>
      </c>
      <c r="T628" s="66">
        <f t="shared" si="142"/>
        <v>984.65040820125012</v>
      </c>
      <c r="U628" s="68">
        <f t="shared" si="143"/>
        <v>46.888114676250005</v>
      </c>
      <c r="V628" s="68">
        <f t="shared" si="144"/>
        <v>461.19457058606559</v>
      </c>
      <c r="W628" s="68">
        <f t="shared" si="145"/>
        <v>307.46304705737708</v>
      </c>
    </row>
    <row r="629" spans="1:23" x14ac:dyDescent="0.25">
      <c r="A629" s="169" t="s">
        <v>893</v>
      </c>
      <c r="B629" s="61" t="s">
        <v>397</v>
      </c>
      <c r="C629" s="61" t="s">
        <v>591</v>
      </c>
      <c r="D629" s="61" t="s">
        <v>592</v>
      </c>
      <c r="E629" s="1" t="s">
        <v>361</v>
      </c>
      <c r="F629" s="62" t="str">
        <f t="shared" si="134"/>
        <v>64511</v>
      </c>
      <c r="G629" s="1">
        <v>10620057</v>
      </c>
      <c r="H629" s="1" t="s">
        <v>387</v>
      </c>
      <c r="I629" s="61">
        <v>11</v>
      </c>
      <c r="J629" s="61">
        <v>7.8</v>
      </c>
      <c r="K629" s="61">
        <v>9</v>
      </c>
      <c r="L629" s="69">
        <f t="shared" si="135"/>
        <v>0.85799999999999998</v>
      </c>
      <c r="M629" s="69">
        <f t="shared" si="136"/>
        <v>0.99</v>
      </c>
      <c r="N629" s="56">
        <f>INDEX(Rate_Chart!$A$1:$AK$127,MATCH(Data!J629,Rate_Chart!$A$1:$A$127,0),MATCH(Data!K629,Rate_Chart!$A$1:$AK$1,0))</f>
        <v>65.13</v>
      </c>
      <c r="O629" s="57">
        <f t="shared" si="137"/>
        <v>716.43</v>
      </c>
      <c r="P629" s="58">
        <f t="shared" si="138"/>
        <v>471.95652173913038</v>
      </c>
      <c r="Q629" s="58">
        <f t="shared" si="139"/>
        <v>314.63768115942025</v>
      </c>
      <c r="R629" s="66">
        <f t="shared" si="140"/>
        <v>12.537525</v>
      </c>
      <c r="S629" s="64">
        <f t="shared" si="141"/>
        <v>41.25</v>
      </c>
      <c r="T629" s="66">
        <f t="shared" si="142"/>
        <v>770.21752499999991</v>
      </c>
      <c r="U629" s="68">
        <f t="shared" si="143"/>
        <v>70.019774999999996</v>
      </c>
      <c r="V629" s="68">
        <f t="shared" si="144"/>
        <v>507.3896739130434</v>
      </c>
      <c r="W629" s="68">
        <f t="shared" si="145"/>
        <v>338.25978260869562</v>
      </c>
    </row>
    <row r="630" spans="1:23" x14ac:dyDescent="0.25">
      <c r="A630" s="169" t="s">
        <v>893</v>
      </c>
      <c r="B630" s="61" t="s">
        <v>397</v>
      </c>
      <c r="C630" s="61" t="s">
        <v>591</v>
      </c>
      <c r="D630" s="61" t="s">
        <v>592</v>
      </c>
      <c r="E630" s="1" t="s">
        <v>361</v>
      </c>
      <c r="F630" s="62" t="str">
        <f t="shared" si="134"/>
        <v>64511</v>
      </c>
      <c r="G630" s="1">
        <v>10620057</v>
      </c>
      <c r="H630" s="1" t="s">
        <v>388</v>
      </c>
      <c r="I630" s="61">
        <v>30</v>
      </c>
      <c r="J630" s="61">
        <v>3.7</v>
      </c>
      <c r="K630" s="61">
        <v>8.4</v>
      </c>
      <c r="L630" s="69">
        <f t="shared" si="135"/>
        <v>1.1100000000000001</v>
      </c>
      <c r="M630" s="69">
        <f t="shared" si="136"/>
        <v>2.52</v>
      </c>
      <c r="N630" s="56">
        <f>INDEX(Rate_Chart!$A$1:$AK$127,MATCH(Data!J630,Rate_Chart!$A$1:$A$127,0),MATCH(Data!K630,Rate_Chart!$A$1:$AK$1,0))</f>
        <v>38.782167600000008</v>
      </c>
      <c r="O630" s="57">
        <f t="shared" si="137"/>
        <v>1163.4650280000003</v>
      </c>
      <c r="P630" s="58">
        <f t="shared" si="138"/>
        <v>417.01255483870978</v>
      </c>
      <c r="Q630" s="58">
        <f t="shared" si="139"/>
        <v>278.00836989247318</v>
      </c>
      <c r="R630" s="66">
        <f t="shared" si="140"/>
        <v>20.360637990000008</v>
      </c>
      <c r="S630" s="64">
        <f t="shared" si="141"/>
        <v>112.5</v>
      </c>
      <c r="T630" s="66">
        <f t="shared" si="142"/>
        <v>1296.3256659900003</v>
      </c>
      <c r="U630" s="68">
        <f t="shared" si="143"/>
        <v>43.210855533000007</v>
      </c>
      <c r="V630" s="68">
        <f t="shared" si="144"/>
        <v>464.63285519354849</v>
      </c>
      <c r="W630" s="68">
        <f t="shared" si="145"/>
        <v>309.75523679569898</v>
      </c>
    </row>
    <row r="631" spans="1:23" x14ac:dyDescent="0.25">
      <c r="A631" s="169" t="s">
        <v>894</v>
      </c>
      <c r="B631" s="61" t="s">
        <v>396</v>
      </c>
      <c r="C631" s="61" t="s">
        <v>591</v>
      </c>
      <c r="D631" s="61" t="s">
        <v>592</v>
      </c>
      <c r="E631" s="1" t="s">
        <v>361</v>
      </c>
      <c r="F631" s="62" t="str">
        <f t="shared" si="134"/>
        <v>64511</v>
      </c>
      <c r="G631" s="1">
        <v>10620057</v>
      </c>
      <c r="H631" s="1" t="s">
        <v>387</v>
      </c>
      <c r="I631" s="61">
        <v>29</v>
      </c>
      <c r="J631" s="61">
        <v>7.3</v>
      </c>
      <c r="K631" s="61">
        <v>9</v>
      </c>
      <c r="L631" s="69">
        <f t="shared" si="135"/>
        <v>2.117</v>
      </c>
      <c r="M631" s="69">
        <f t="shared" si="136"/>
        <v>2.61</v>
      </c>
      <c r="N631" s="56">
        <f>INDEX(Rate_Chart!$A$1:$AK$127,MATCH(Data!J631,Rate_Chart!$A$1:$A$127,0),MATCH(Data!K631,Rate_Chart!$A$1:$AK$1,0))</f>
        <v>60.954999999999998</v>
      </c>
      <c r="O631" s="57">
        <f t="shared" si="137"/>
        <v>1767.6949999999999</v>
      </c>
      <c r="P631" s="58">
        <f t="shared" si="138"/>
        <v>458.30827067669168</v>
      </c>
      <c r="Q631" s="58">
        <f t="shared" si="139"/>
        <v>305.53884711779443</v>
      </c>
      <c r="R631" s="66">
        <f t="shared" si="140"/>
        <v>30.934662500000002</v>
      </c>
      <c r="S631" s="64">
        <f t="shared" si="141"/>
        <v>108.75</v>
      </c>
      <c r="T631" s="66">
        <f t="shared" si="142"/>
        <v>1907.3796625</v>
      </c>
      <c r="U631" s="68">
        <f t="shared" si="143"/>
        <v>65.771712500000007</v>
      </c>
      <c r="V631" s="68">
        <f t="shared" si="144"/>
        <v>494.52415413533839</v>
      </c>
      <c r="W631" s="68">
        <f t="shared" si="145"/>
        <v>329.68276942355891</v>
      </c>
    </row>
    <row r="632" spans="1:23" x14ac:dyDescent="0.25">
      <c r="A632" s="169" t="s">
        <v>894</v>
      </c>
      <c r="B632" s="61" t="s">
        <v>397</v>
      </c>
      <c r="C632" s="61" t="s">
        <v>591</v>
      </c>
      <c r="D632" s="61" t="s">
        <v>592</v>
      </c>
      <c r="E632" s="1" t="s">
        <v>361</v>
      </c>
      <c r="F632" s="62" t="str">
        <f t="shared" si="134"/>
        <v>64511</v>
      </c>
      <c r="G632" s="1">
        <v>10620057</v>
      </c>
      <c r="H632" s="1" t="s">
        <v>387</v>
      </c>
      <c r="I632" s="61">
        <v>9</v>
      </c>
      <c r="J632" s="61">
        <v>7.3</v>
      </c>
      <c r="K632" s="61">
        <v>9</v>
      </c>
      <c r="L632" s="69">
        <f t="shared" si="135"/>
        <v>0.65700000000000003</v>
      </c>
      <c r="M632" s="69">
        <f t="shared" si="136"/>
        <v>0.81</v>
      </c>
      <c r="N632" s="56">
        <f>INDEX(Rate_Chart!$A$1:$AK$127,MATCH(Data!J632,Rate_Chart!$A$1:$A$127,0),MATCH(Data!K632,Rate_Chart!$A$1:$AK$1,0))</f>
        <v>60.954999999999998</v>
      </c>
      <c r="O632" s="57">
        <f t="shared" si="137"/>
        <v>548.59500000000003</v>
      </c>
      <c r="P632" s="58">
        <f t="shared" si="138"/>
        <v>458.30827067669168</v>
      </c>
      <c r="Q632" s="58">
        <f t="shared" si="139"/>
        <v>305.53884711779443</v>
      </c>
      <c r="R632" s="66">
        <f t="shared" si="140"/>
        <v>9.6004125000000009</v>
      </c>
      <c r="S632" s="64">
        <f t="shared" si="141"/>
        <v>33.75</v>
      </c>
      <c r="T632" s="66">
        <f t="shared" si="142"/>
        <v>591.94541249999997</v>
      </c>
      <c r="U632" s="68">
        <f t="shared" si="143"/>
        <v>65.771712499999992</v>
      </c>
      <c r="V632" s="68">
        <f t="shared" si="144"/>
        <v>494.52415413533828</v>
      </c>
      <c r="W632" s="68">
        <f t="shared" si="145"/>
        <v>329.68276942355885</v>
      </c>
    </row>
    <row r="633" spans="1:23" x14ac:dyDescent="0.25">
      <c r="A633" s="169" t="s">
        <v>888</v>
      </c>
      <c r="B633" s="61" t="s">
        <v>396</v>
      </c>
      <c r="C633" s="61" t="s">
        <v>591</v>
      </c>
      <c r="D633" s="61" t="s">
        <v>593</v>
      </c>
      <c r="E633" s="1" t="s">
        <v>362</v>
      </c>
      <c r="F633" s="62" t="str">
        <f t="shared" si="134"/>
        <v>64513</v>
      </c>
      <c r="G633" s="1">
        <v>10620044</v>
      </c>
      <c r="H633" s="1" t="s">
        <v>387</v>
      </c>
      <c r="I633" s="61">
        <v>30</v>
      </c>
      <c r="J633" s="61">
        <v>5.9</v>
      </c>
      <c r="K633" s="61">
        <v>8.8000000000000007</v>
      </c>
      <c r="L633" s="69">
        <f t="shared" si="135"/>
        <v>1.77</v>
      </c>
      <c r="M633" s="69">
        <f t="shared" si="136"/>
        <v>2.64</v>
      </c>
      <c r="N633" s="56">
        <f>INDEX(Rate_Chart!$A$1:$AK$127,MATCH(Data!J633,Rate_Chart!$A$1:$A$127,0),MATCH(Data!K633,Rate_Chart!$A$1:$AK$1,0))</f>
        <v>48.772350000000003</v>
      </c>
      <c r="O633" s="57">
        <f t="shared" si="137"/>
        <v>1463.1705000000002</v>
      </c>
      <c r="P633" s="58">
        <f t="shared" si="138"/>
        <v>414.49589235127479</v>
      </c>
      <c r="Q633" s="58">
        <f t="shared" si="139"/>
        <v>276.33059490084986</v>
      </c>
      <c r="R633" s="66">
        <f t="shared" si="140"/>
        <v>25.605483750000005</v>
      </c>
      <c r="S633" s="64">
        <f t="shared" si="141"/>
        <v>112.5</v>
      </c>
      <c r="T633" s="66">
        <f t="shared" si="142"/>
        <v>1601.2759837500003</v>
      </c>
      <c r="U633" s="68">
        <f t="shared" si="143"/>
        <v>53.375866125000009</v>
      </c>
      <c r="V633" s="68">
        <f t="shared" si="144"/>
        <v>453.6192588526913</v>
      </c>
      <c r="W633" s="68">
        <f t="shared" si="145"/>
        <v>302.41283923512754</v>
      </c>
    </row>
    <row r="634" spans="1:23" x14ac:dyDescent="0.25">
      <c r="A634" s="169" t="s">
        <v>888</v>
      </c>
      <c r="B634" s="61" t="s">
        <v>396</v>
      </c>
      <c r="C634" s="61" t="s">
        <v>591</v>
      </c>
      <c r="D634" s="61" t="s">
        <v>593</v>
      </c>
      <c r="E634" s="1" t="s">
        <v>362</v>
      </c>
      <c r="F634" s="62" t="str">
        <f t="shared" si="134"/>
        <v>64513</v>
      </c>
      <c r="G634" s="1">
        <v>10620044</v>
      </c>
      <c r="H634" s="1" t="s">
        <v>388</v>
      </c>
      <c r="I634" s="61">
        <v>40</v>
      </c>
      <c r="J634" s="61">
        <v>3.5</v>
      </c>
      <c r="K634" s="61">
        <v>8.1</v>
      </c>
      <c r="L634" s="69">
        <f t="shared" si="135"/>
        <v>1.4</v>
      </c>
      <c r="M634" s="69">
        <f t="shared" si="136"/>
        <v>3.24</v>
      </c>
      <c r="N634" s="56">
        <f>INDEX(Rate_Chart!$A$1:$AK$127,MATCH(Data!J634,Rate_Chart!$A$1:$A$127,0),MATCH(Data!K634,Rate_Chart!$A$1:$AK$1,0))</f>
        <v>37.114125900000005</v>
      </c>
      <c r="O634" s="57">
        <f t="shared" si="137"/>
        <v>1484.5650360000002</v>
      </c>
      <c r="P634" s="58">
        <f t="shared" si="138"/>
        <v>417.01265056179784</v>
      </c>
      <c r="Q634" s="58">
        <f t="shared" si="139"/>
        <v>278.00843370786521</v>
      </c>
      <c r="R634" s="66">
        <f t="shared" si="140"/>
        <v>25.979888130000006</v>
      </c>
      <c r="S634" s="64">
        <f t="shared" si="141"/>
        <v>150</v>
      </c>
      <c r="T634" s="66">
        <f t="shared" si="142"/>
        <v>1660.5449241300003</v>
      </c>
      <c r="U634" s="68">
        <f t="shared" si="143"/>
        <v>41.513623103250005</v>
      </c>
      <c r="V634" s="68">
        <f t="shared" si="144"/>
        <v>466.44520340730344</v>
      </c>
      <c r="W634" s="68">
        <f t="shared" si="145"/>
        <v>310.96346893820231</v>
      </c>
    </row>
    <row r="635" spans="1:23" x14ac:dyDescent="0.25">
      <c r="A635" s="169" t="s">
        <v>888</v>
      </c>
      <c r="B635" s="61" t="s">
        <v>397</v>
      </c>
      <c r="C635" s="61" t="s">
        <v>591</v>
      </c>
      <c r="D635" s="61" t="s">
        <v>593</v>
      </c>
      <c r="E635" s="1" t="s">
        <v>362</v>
      </c>
      <c r="F635" s="62" t="str">
        <f t="shared" si="134"/>
        <v>64513</v>
      </c>
      <c r="G635" s="1">
        <v>10620044</v>
      </c>
      <c r="H635" s="1" t="s">
        <v>388</v>
      </c>
      <c r="I635" s="61">
        <v>40</v>
      </c>
      <c r="J635" s="61">
        <v>4.7</v>
      </c>
      <c r="K635" s="61">
        <v>8.5</v>
      </c>
      <c r="L635" s="69">
        <f t="shared" si="135"/>
        <v>1.88</v>
      </c>
      <c r="M635" s="69">
        <f t="shared" si="136"/>
        <v>3.4</v>
      </c>
      <c r="N635" s="56">
        <f>INDEX(Rate_Chart!$A$1:$AK$127,MATCH(Data!J635,Rate_Chart!$A$1:$A$127,0),MATCH(Data!K635,Rate_Chart!$A$1:$AK$1,0))</f>
        <v>43.2301815</v>
      </c>
      <c r="O635" s="57">
        <f t="shared" si="137"/>
        <v>1729.2072600000001</v>
      </c>
      <c r="P635" s="58">
        <f t="shared" si="138"/>
        <v>417.01139710610931</v>
      </c>
      <c r="Q635" s="58">
        <f t="shared" si="139"/>
        <v>278.00759807073956</v>
      </c>
      <c r="R635" s="66">
        <f t="shared" si="140"/>
        <v>30.261127050000006</v>
      </c>
      <c r="S635" s="64">
        <f t="shared" si="141"/>
        <v>150</v>
      </c>
      <c r="T635" s="66">
        <f t="shared" si="142"/>
        <v>1909.46838705</v>
      </c>
      <c r="U635" s="68">
        <f t="shared" si="143"/>
        <v>47.736709676250001</v>
      </c>
      <c r="V635" s="68">
        <f t="shared" si="144"/>
        <v>460.48272999598072</v>
      </c>
      <c r="W635" s="68">
        <f t="shared" si="145"/>
        <v>306.98848666398715</v>
      </c>
    </row>
    <row r="636" spans="1:23" x14ac:dyDescent="0.25">
      <c r="A636" s="169" t="s">
        <v>889</v>
      </c>
      <c r="B636" s="61" t="s">
        <v>396</v>
      </c>
      <c r="C636" s="61" t="s">
        <v>591</v>
      </c>
      <c r="D636" s="61" t="s">
        <v>593</v>
      </c>
      <c r="E636" s="1" t="s">
        <v>362</v>
      </c>
      <c r="F636" s="62" t="str">
        <f t="shared" si="134"/>
        <v>64513</v>
      </c>
      <c r="G636" s="1">
        <v>10620044</v>
      </c>
      <c r="H636" s="1" t="s">
        <v>387</v>
      </c>
      <c r="I636" s="61">
        <v>30</v>
      </c>
      <c r="J636" s="61">
        <v>5.9</v>
      </c>
      <c r="K636" s="61">
        <v>8.8000000000000007</v>
      </c>
      <c r="L636" s="69">
        <f t="shared" si="135"/>
        <v>1.77</v>
      </c>
      <c r="M636" s="69">
        <f t="shared" si="136"/>
        <v>2.64</v>
      </c>
      <c r="N636" s="56">
        <f>INDEX(Rate_Chart!$A$1:$AK$127,MATCH(Data!J636,Rate_Chart!$A$1:$A$127,0),MATCH(Data!K636,Rate_Chart!$A$1:$AK$1,0))</f>
        <v>48.772350000000003</v>
      </c>
      <c r="O636" s="57">
        <f t="shared" si="137"/>
        <v>1463.1705000000002</v>
      </c>
      <c r="P636" s="58">
        <f t="shared" si="138"/>
        <v>414.49589235127479</v>
      </c>
      <c r="Q636" s="58">
        <f t="shared" si="139"/>
        <v>276.33059490084986</v>
      </c>
      <c r="R636" s="66">
        <f t="shared" si="140"/>
        <v>25.605483750000005</v>
      </c>
      <c r="S636" s="64">
        <f t="shared" si="141"/>
        <v>112.5</v>
      </c>
      <c r="T636" s="66">
        <f t="shared" si="142"/>
        <v>1601.2759837500003</v>
      </c>
      <c r="U636" s="68">
        <f t="shared" si="143"/>
        <v>53.375866125000009</v>
      </c>
      <c r="V636" s="68">
        <f t="shared" si="144"/>
        <v>453.6192588526913</v>
      </c>
      <c r="W636" s="68">
        <f t="shared" si="145"/>
        <v>302.41283923512754</v>
      </c>
    </row>
    <row r="637" spans="1:23" x14ac:dyDescent="0.25">
      <c r="A637" s="169" t="s">
        <v>889</v>
      </c>
      <c r="B637" s="61" t="s">
        <v>396</v>
      </c>
      <c r="C637" s="61" t="s">
        <v>591</v>
      </c>
      <c r="D637" s="61" t="s">
        <v>593</v>
      </c>
      <c r="E637" s="1" t="s">
        <v>362</v>
      </c>
      <c r="F637" s="62" t="str">
        <f t="shared" si="134"/>
        <v>64513</v>
      </c>
      <c r="G637" s="1">
        <v>10620044</v>
      </c>
      <c r="H637" s="1" t="s">
        <v>388</v>
      </c>
      <c r="I637" s="61">
        <v>41</v>
      </c>
      <c r="J637" s="61">
        <v>3.2</v>
      </c>
      <c r="K637" s="61">
        <v>8.1</v>
      </c>
      <c r="L637" s="69">
        <f t="shared" si="135"/>
        <v>1.3120000000000003</v>
      </c>
      <c r="M637" s="69">
        <f t="shared" si="136"/>
        <v>3.3209999999999997</v>
      </c>
      <c r="N637" s="56">
        <f>INDEX(Rate_Chart!$A$1:$AK$127,MATCH(Data!J637,Rate_Chart!$A$1:$A$127,0),MATCH(Data!K637,Rate_Chart!$A$1:$AK$1,0))</f>
        <v>35.8631259</v>
      </c>
      <c r="O637" s="57">
        <f t="shared" si="137"/>
        <v>1470.3881618999999</v>
      </c>
      <c r="P637" s="58">
        <f t="shared" si="138"/>
        <v>417.01309186046512</v>
      </c>
      <c r="Q637" s="58">
        <f t="shared" si="139"/>
        <v>278.00872790697673</v>
      </c>
      <c r="R637" s="66">
        <f t="shared" si="140"/>
        <v>25.731792833250001</v>
      </c>
      <c r="S637" s="64">
        <f t="shared" si="141"/>
        <v>153.75</v>
      </c>
      <c r="T637" s="66">
        <f t="shared" si="142"/>
        <v>1649.8699547332499</v>
      </c>
      <c r="U637" s="68">
        <f t="shared" si="143"/>
        <v>40.24073060325</v>
      </c>
      <c r="V637" s="68">
        <f t="shared" si="144"/>
        <v>467.91547213081401</v>
      </c>
      <c r="W637" s="68">
        <f t="shared" si="145"/>
        <v>311.94364808720934</v>
      </c>
    </row>
    <row r="638" spans="1:23" x14ac:dyDescent="0.25">
      <c r="A638" s="169" t="s">
        <v>889</v>
      </c>
      <c r="B638" s="61" t="s">
        <v>397</v>
      </c>
      <c r="C638" s="61" t="s">
        <v>591</v>
      </c>
      <c r="D638" s="61" t="s">
        <v>593</v>
      </c>
      <c r="E638" s="1" t="s">
        <v>362</v>
      </c>
      <c r="F638" s="62" t="str">
        <f t="shared" si="134"/>
        <v>64513</v>
      </c>
      <c r="G638" s="1">
        <v>10620044</v>
      </c>
      <c r="H638" s="1" t="s">
        <v>387</v>
      </c>
      <c r="I638" s="61">
        <v>31</v>
      </c>
      <c r="J638" s="61">
        <v>5.6</v>
      </c>
      <c r="K638" s="61">
        <v>8.4</v>
      </c>
      <c r="L638" s="69">
        <f t="shared" si="135"/>
        <v>1.736</v>
      </c>
      <c r="M638" s="69">
        <f t="shared" si="136"/>
        <v>2.6040000000000005</v>
      </c>
      <c r="N638" s="56">
        <f>INDEX(Rate_Chart!$A$1:$AK$127,MATCH(Data!J638,Rate_Chart!$A$1:$A$127,0),MATCH(Data!K638,Rate_Chart!$A$1:$AK$1,0))</f>
        <v>45.357199999999999</v>
      </c>
      <c r="O638" s="57">
        <f t="shared" si="137"/>
        <v>1406.0732</v>
      </c>
      <c r="P638" s="58">
        <f t="shared" si="138"/>
        <v>404.97500000000002</v>
      </c>
      <c r="Q638" s="58">
        <f t="shared" si="139"/>
        <v>269.98333333333335</v>
      </c>
      <c r="R638" s="66">
        <f t="shared" si="140"/>
        <v>24.606281000000003</v>
      </c>
      <c r="S638" s="64">
        <f t="shared" si="141"/>
        <v>116.25</v>
      </c>
      <c r="T638" s="66">
        <f t="shared" si="142"/>
        <v>1546.9294810000001</v>
      </c>
      <c r="U638" s="68">
        <f t="shared" si="143"/>
        <v>49.900951000000006</v>
      </c>
      <c r="V638" s="68">
        <f t="shared" si="144"/>
        <v>445.54420535714297</v>
      </c>
      <c r="W638" s="68">
        <f t="shared" si="145"/>
        <v>297.02947023809531</v>
      </c>
    </row>
    <row r="639" spans="1:23" x14ac:dyDescent="0.25">
      <c r="A639" s="169" t="s">
        <v>889</v>
      </c>
      <c r="B639" s="61" t="s">
        <v>397</v>
      </c>
      <c r="C639" s="61" t="s">
        <v>591</v>
      </c>
      <c r="D639" s="61" t="s">
        <v>593</v>
      </c>
      <c r="E639" s="1" t="s">
        <v>362</v>
      </c>
      <c r="F639" s="62" t="str">
        <f t="shared" si="134"/>
        <v>64513</v>
      </c>
      <c r="G639" s="1">
        <v>10620044</v>
      </c>
      <c r="H639" s="1" t="s">
        <v>388</v>
      </c>
      <c r="I639" s="61">
        <v>16</v>
      </c>
      <c r="J639" s="61">
        <v>3</v>
      </c>
      <c r="K639" s="61">
        <v>8</v>
      </c>
      <c r="L639" s="69">
        <f t="shared" si="135"/>
        <v>0.48</v>
      </c>
      <c r="M639" s="69">
        <f t="shared" si="136"/>
        <v>1.28</v>
      </c>
      <c r="N639" s="56">
        <f>INDEX(Rate_Chart!$A$1:$AK$127,MATCH(Data!J639,Rate_Chart!$A$1:$A$127,0),MATCH(Data!K639,Rate_Chart!$A$1:$AK$1,0))</f>
        <v>34.751112000000006</v>
      </c>
      <c r="O639" s="57">
        <f t="shared" si="137"/>
        <v>556.0177920000001</v>
      </c>
      <c r="P639" s="58">
        <f t="shared" si="138"/>
        <v>417.01334400000002</v>
      </c>
      <c r="Q639" s="58">
        <f t="shared" si="139"/>
        <v>278.00889599999999</v>
      </c>
      <c r="R639" s="66">
        <f t="shared" si="140"/>
        <v>9.7303113600000035</v>
      </c>
      <c r="S639" s="64">
        <f t="shared" si="141"/>
        <v>60</v>
      </c>
      <c r="T639" s="66">
        <f t="shared" si="142"/>
        <v>625.74810336000007</v>
      </c>
      <c r="U639" s="68">
        <f t="shared" si="143"/>
        <v>39.109256460000005</v>
      </c>
      <c r="V639" s="68">
        <f t="shared" si="144"/>
        <v>469.31107752000003</v>
      </c>
      <c r="W639" s="68">
        <f t="shared" si="145"/>
        <v>312.87405168000004</v>
      </c>
    </row>
    <row r="640" spans="1:23" x14ac:dyDescent="0.25">
      <c r="A640" s="169" t="s">
        <v>890</v>
      </c>
      <c r="B640" s="61" t="s">
        <v>396</v>
      </c>
      <c r="C640" s="61" t="s">
        <v>591</v>
      </c>
      <c r="D640" s="61" t="s">
        <v>593</v>
      </c>
      <c r="E640" s="1" t="s">
        <v>362</v>
      </c>
      <c r="F640" s="62" t="str">
        <f t="shared" si="134"/>
        <v>64513</v>
      </c>
      <c r="G640" s="1">
        <v>10620044</v>
      </c>
      <c r="H640" s="1" t="s">
        <v>387</v>
      </c>
      <c r="I640" s="61">
        <v>29</v>
      </c>
      <c r="J640" s="61">
        <v>6.1</v>
      </c>
      <c r="K640" s="61">
        <v>8.8000000000000007</v>
      </c>
      <c r="L640" s="69">
        <f t="shared" si="135"/>
        <v>1.7689999999999997</v>
      </c>
      <c r="M640" s="69">
        <f t="shared" si="136"/>
        <v>2.552</v>
      </c>
      <c r="N640" s="56">
        <f>INDEX(Rate_Chart!$A$1:$AK$127,MATCH(Data!J640,Rate_Chart!$A$1:$A$127,0),MATCH(Data!K640,Rate_Chart!$A$1:$AK$1,0))</f>
        <v>50.425650000000005</v>
      </c>
      <c r="O640" s="57">
        <f t="shared" si="137"/>
        <v>1462.3438500000002</v>
      </c>
      <c r="P640" s="58">
        <f t="shared" si="138"/>
        <v>421.38426183844012</v>
      </c>
      <c r="Q640" s="58">
        <f t="shared" si="139"/>
        <v>280.92284122562677</v>
      </c>
      <c r="R640" s="66">
        <f t="shared" si="140"/>
        <v>25.591017375000007</v>
      </c>
      <c r="S640" s="64">
        <f t="shared" si="141"/>
        <v>108.75</v>
      </c>
      <c r="T640" s="66">
        <f t="shared" si="142"/>
        <v>1596.6848673750003</v>
      </c>
      <c r="U640" s="68">
        <f t="shared" si="143"/>
        <v>55.058098875000013</v>
      </c>
      <c r="V640" s="68">
        <f t="shared" si="144"/>
        <v>460.09553377437334</v>
      </c>
      <c r="W640" s="68">
        <f t="shared" si="145"/>
        <v>306.73035584958222</v>
      </c>
    </row>
    <row r="641" spans="1:23" x14ac:dyDescent="0.25">
      <c r="A641" s="169" t="s">
        <v>890</v>
      </c>
      <c r="B641" s="61" t="s">
        <v>396</v>
      </c>
      <c r="C641" s="61" t="s">
        <v>591</v>
      </c>
      <c r="D641" s="61" t="s">
        <v>593</v>
      </c>
      <c r="E641" s="1" t="s">
        <v>362</v>
      </c>
      <c r="F641" s="62" t="str">
        <f t="shared" si="134"/>
        <v>64513</v>
      </c>
      <c r="G641" s="1">
        <v>10620044</v>
      </c>
      <c r="H641" s="1" t="s">
        <v>388</v>
      </c>
      <c r="I641" s="61">
        <v>41</v>
      </c>
      <c r="J641" s="61">
        <v>3.4</v>
      </c>
      <c r="K641" s="61">
        <v>8</v>
      </c>
      <c r="L641" s="69">
        <f t="shared" si="135"/>
        <v>1.3940000000000001</v>
      </c>
      <c r="M641" s="69">
        <f t="shared" si="136"/>
        <v>3.28</v>
      </c>
      <c r="N641" s="56">
        <f>INDEX(Rate_Chart!$A$1:$AK$127,MATCH(Data!J641,Rate_Chart!$A$1:$A$127,0),MATCH(Data!K641,Rate_Chart!$A$1:$AK$1,0))</f>
        <v>36.419112000000005</v>
      </c>
      <c r="O641" s="57">
        <f t="shared" si="137"/>
        <v>1493.1835920000003</v>
      </c>
      <c r="P641" s="58">
        <f t="shared" si="138"/>
        <v>417.01273282442747</v>
      </c>
      <c r="Q641" s="58">
        <f t="shared" si="139"/>
        <v>278.00848854961833</v>
      </c>
      <c r="R641" s="66">
        <f t="shared" si="140"/>
        <v>26.13071286000001</v>
      </c>
      <c r="S641" s="64">
        <f t="shared" si="141"/>
        <v>153.75</v>
      </c>
      <c r="T641" s="66">
        <f t="shared" si="142"/>
        <v>1673.0643048600004</v>
      </c>
      <c r="U641" s="68">
        <f t="shared" si="143"/>
        <v>40.806446460000011</v>
      </c>
      <c r="V641" s="68">
        <f t="shared" si="144"/>
        <v>467.24938694656493</v>
      </c>
      <c r="W641" s="68">
        <f t="shared" si="145"/>
        <v>311.49959129770997</v>
      </c>
    </row>
    <row r="642" spans="1:23" x14ac:dyDescent="0.25">
      <c r="A642" s="169" t="s">
        <v>890</v>
      </c>
      <c r="B642" s="61" t="s">
        <v>397</v>
      </c>
      <c r="C642" s="61" t="s">
        <v>591</v>
      </c>
      <c r="D642" s="61" t="s">
        <v>593</v>
      </c>
      <c r="E642" s="1" t="s">
        <v>362</v>
      </c>
      <c r="F642" s="62" t="str">
        <f t="shared" si="134"/>
        <v>64513</v>
      </c>
      <c r="G642" s="1">
        <v>10620044</v>
      </c>
      <c r="H642" s="1" t="s">
        <v>387</v>
      </c>
      <c r="I642" s="61">
        <v>31</v>
      </c>
      <c r="J642" s="61">
        <v>5.6</v>
      </c>
      <c r="K642" s="61">
        <v>8.8000000000000007</v>
      </c>
      <c r="L642" s="69">
        <f t="shared" si="135"/>
        <v>1.736</v>
      </c>
      <c r="M642" s="69">
        <f t="shared" si="136"/>
        <v>2.7280000000000002</v>
      </c>
      <c r="N642" s="56">
        <f>INDEX(Rate_Chart!$A$1:$AK$127,MATCH(Data!J642,Rate_Chart!$A$1:$A$127,0),MATCH(Data!K642,Rate_Chart!$A$1:$AK$1,0))</f>
        <v>46.292400000000001</v>
      </c>
      <c r="O642" s="57">
        <f t="shared" si="137"/>
        <v>1435.0644</v>
      </c>
      <c r="P642" s="58">
        <f t="shared" si="138"/>
        <v>403.71279069767445</v>
      </c>
      <c r="Q642" s="58">
        <f t="shared" si="139"/>
        <v>269.14186046511628</v>
      </c>
      <c r="R642" s="66">
        <f t="shared" si="140"/>
        <v>25.113627000000001</v>
      </c>
      <c r="S642" s="64">
        <f t="shared" si="141"/>
        <v>116.25</v>
      </c>
      <c r="T642" s="66">
        <f t="shared" si="142"/>
        <v>1576.4280269999999</v>
      </c>
      <c r="U642" s="68">
        <f t="shared" si="143"/>
        <v>50.852516999999999</v>
      </c>
      <c r="V642" s="68">
        <f t="shared" si="144"/>
        <v>443.48125290697675</v>
      </c>
      <c r="W642" s="68">
        <f t="shared" si="145"/>
        <v>295.65416860465115</v>
      </c>
    </row>
    <row r="643" spans="1:23" x14ac:dyDescent="0.25">
      <c r="A643" s="169" t="s">
        <v>890</v>
      </c>
      <c r="B643" s="61" t="s">
        <v>397</v>
      </c>
      <c r="C643" s="61" t="s">
        <v>591</v>
      </c>
      <c r="D643" s="61" t="s">
        <v>593</v>
      </c>
      <c r="E643" s="1" t="s">
        <v>362</v>
      </c>
      <c r="F643" s="62" t="str">
        <f t="shared" si="134"/>
        <v>64513</v>
      </c>
      <c r="G643" s="1">
        <v>10620044</v>
      </c>
      <c r="H643" s="1" t="s">
        <v>388</v>
      </c>
      <c r="I643" s="61">
        <v>22</v>
      </c>
      <c r="J643" s="61">
        <v>3.1</v>
      </c>
      <c r="K643" s="61">
        <v>8.1</v>
      </c>
      <c r="L643" s="69">
        <f t="shared" si="135"/>
        <v>0.68200000000000005</v>
      </c>
      <c r="M643" s="69">
        <f t="shared" si="136"/>
        <v>1.7819999999999998</v>
      </c>
      <c r="N643" s="56">
        <f>INDEX(Rate_Chart!$A$1:$AK$127,MATCH(Data!J643,Rate_Chart!$A$1:$A$127,0),MATCH(Data!K643,Rate_Chart!$A$1:$AK$1,0))</f>
        <v>35.446125899999998</v>
      </c>
      <c r="O643" s="57">
        <f t="shared" si="137"/>
        <v>779.81476980000002</v>
      </c>
      <c r="P643" s="58">
        <f t="shared" si="138"/>
        <v>417.01324588235298</v>
      </c>
      <c r="Q643" s="58">
        <f t="shared" si="139"/>
        <v>278.0088305882353</v>
      </c>
      <c r="R643" s="66">
        <f t="shared" si="140"/>
        <v>13.646758471500002</v>
      </c>
      <c r="S643" s="64">
        <f t="shared" si="141"/>
        <v>82.5</v>
      </c>
      <c r="T643" s="66">
        <f t="shared" si="142"/>
        <v>875.96152827150001</v>
      </c>
      <c r="U643" s="68">
        <f t="shared" si="143"/>
        <v>39.816433103249999</v>
      </c>
      <c r="V643" s="68">
        <f t="shared" si="144"/>
        <v>468.42862474411766</v>
      </c>
      <c r="W643" s="68">
        <f t="shared" si="145"/>
        <v>312.28574982941177</v>
      </c>
    </row>
    <row r="644" spans="1:23" x14ac:dyDescent="0.25">
      <c r="A644" s="169" t="s">
        <v>891</v>
      </c>
      <c r="B644" s="61" t="s">
        <v>396</v>
      </c>
      <c r="C644" s="61" t="s">
        <v>591</v>
      </c>
      <c r="D644" s="61" t="s">
        <v>593</v>
      </c>
      <c r="E644" s="1" t="s">
        <v>362</v>
      </c>
      <c r="F644" s="62" t="str">
        <f t="shared" si="134"/>
        <v>64513</v>
      </c>
      <c r="G644" s="1">
        <v>10620044</v>
      </c>
      <c r="H644" s="1" t="s">
        <v>387</v>
      </c>
      <c r="I644" s="61">
        <v>27</v>
      </c>
      <c r="J644" s="61">
        <v>6.1</v>
      </c>
      <c r="K644" s="61">
        <v>9</v>
      </c>
      <c r="L644" s="69">
        <f t="shared" si="135"/>
        <v>1.6469999999999998</v>
      </c>
      <c r="M644" s="69">
        <f t="shared" si="136"/>
        <v>2.4300000000000002</v>
      </c>
      <c r="N644" s="56">
        <f>INDEX(Rate_Chart!$A$1:$AK$127,MATCH(Data!J644,Rate_Chart!$A$1:$A$127,0),MATCH(Data!K644,Rate_Chart!$A$1:$AK$1,0))</f>
        <v>50.935000000000002</v>
      </c>
      <c r="O644" s="57">
        <f t="shared" si="137"/>
        <v>1375.2450000000001</v>
      </c>
      <c r="P644" s="58">
        <f t="shared" si="138"/>
        <v>420.95041322314052</v>
      </c>
      <c r="Q644" s="58">
        <f t="shared" si="139"/>
        <v>280.63360881542701</v>
      </c>
      <c r="R644" s="66">
        <f t="shared" si="140"/>
        <v>24.066787500000004</v>
      </c>
      <c r="S644" s="64">
        <f t="shared" si="141"/>
        <v>101.25</v>
      </c>
      <c r="T644" s="66">
        <f t="shared" si="142"/>
        <v>1500.5617875</v>
      </c>
      <c r="U644" s="68">
        <f t="shared" si="143"/>
        <v>55.576362500000002</v>
      </c>
      <c r="V644" s="68">
        <f t="shared" si="144"/>
        <v>459.30878099173555</v>
      </c>
      <c r="W644" s="68">
        <f t="shared" si="145"/>
        <v>306.20585399449038</v>
      </c>
    </row>
    <row r="645" spans="1:23" x14ac:dyDescent="0.25">
      <c r="A645" s="169" t="s">
        <v>891</v>
      </c>
      <c r="B645" s="61" t="s">
        <v>396</v>
      </c>
      <c r="C645" s="61" t="s">
        <v>591</v>
      </c>
      <c r="D645" s="61" t="s">
        <v>593</v>
      </c>
      <c r="E645" s="1" t="s">
        <v>362</v>
      </c>
      <c r="F645" s="62" t="str">
        <f t="shared" ref="F645:F708" si="146">MID(E645,2,5)</f>
        <v>64513</v>
      </c>
      <c r="G645" s="1">
        <v>10620044</v>
      </c>
      <c r="H645" s="1" t="s">
        <v>388</v>
      </c>
      <c r="I645" s="61">
        <v>24</v>
      </c>
      <c r="J645" s="61">
        <v>3.5</v>
      </c>
      <c r="K645" s="61">
        <v>8</v>
      </c>
      <c r="L645" s="69">
        <f t="shared" si="135"/>
        <v>0.84</v>
      </c>
      <c r="M645" s="69">
        <f t="shared" si="136"/>
        <v>1.92</v>
      </c>
      <c r="N645" s="56">
        <f>INDEX(Rate_Chart!$A$1:$AK$127,MATCH(Data!J645,Rate_Chart!$A$1:$A$127,0),MATCH(Data!K645,Rate_Chart!$A$1:$AK$1,0))</f>
        <v>36.836112000000007</v>
      </c>
      <c r="O645" s="57">
        <f t="shared" si="137"/>
        <v>884.06668800000011</v>
      </c>
      <c r="P645" s="58">
        <f t="shared" si="138"/>
        <v>417.01258867924531</v>
      </c>
      <c r="Q645" s="58">
        <f t="shared" si="139"/>
        <v>278.00839245283021</v>
      </c>
      <c r="R645" s="66">
        <f t="shared" si="140"/>
        <v>15.471167040000003</v>
      </c>
      <c r="S645" s="64">
        <f t="shared" si="141"/>
        <v>90</v>
      </c>
      <c r="T645" s="66">
        <f t="shared" si="142"/>
        <v>989.53785504000007</v>
      </c>
      <c r="U645" s="68">
        <f t="shared" si="143"/>
        <v>41.230743960000005</v>
      </c>
      <c r="V645" s="68">
        <f t="shared" si="144"/>
        <v>466.76313916981132</v>
      </c>
      <c r="W645" s="68">
        <f t="shared" si="145"/>
        <v>311.17542611320755</v>
      </c>
    </row>
    <row r="646" spans="1:23" x14ac:dyDescent="0.25">
      <c r="A646" s="169" t="s">
        <v>891</v>
      </c>
      <c r="B646" s="61" t="s">
        <v>397</v>
      </c>
      <c r="C646" s="61" t="s">
        <v>591</v>
      </c>
      <c r="D646" s="61" t="s">
        <v>593</v>
      </c>
      <c r="E646" s="1" t="s">
        <v>362</v>
      </c>
      <c r="F646" s="62" t="str">
        <f t="shared" si="146"/>
        <v>64513</v>
      </c>
      <c r="G646" s="1">
        <v>10620044</v>
      </c>
      <c r="H646" s="1" t="s">
        <v>387</v>
      </c>
      <c r="I646" s="61">
        <v>35</v>
      </c>
      <c r="J646" s="61">
        <v>5.6</v>
      </c>
      <c r="K646" s="61">
        <v>8.4</v>
      </c>
      <c r="L646" s="69">
        <f t="shared" si="135"/>
        <v>1.96</v>
      </c>
      <c r="M646" s="69">
        <f t="shared" si="136"/>
        <v>2.94</v>
      </c>
      <c r="N646" s="56">
        <f>INDEX(Rate_Chart!$A$1:$AK$127,MATCH(Data!J646,Rate_Chart!$A$1:$A$127,0),MATCH(Data!K646,Rate_Chart!$A$1:$AK$1,0))</f>
        <v>45.357199999999999</v>
      </c>
      <c r="O646" s="57">
        <f t="shared" si="137"/>
        <v>1587.502</v>
      </c>
      <c r="P646" s="58">
        <f t="shared" si="138"/>
        <v>404.97500000000002</v>
      </c>
      <c r="Q646" s="58">
        <f t="shared" si="139"/>
        <v>269.98333333333335</v>
      </c>
      <c r="R646" s="66">
        <f t="shared" si="140"/>
        <v>27.781285</v>
      </c>
      <c r="S646" s="64">
        <f t="shared" si="141"/>
        <v>131.25</v>
      </c>
      <c r="T646" s="66">
        <f t="shared" si="142"/>
        <v>1746.533285</v>
      </c>
      <c r="U646" s="68">
        <f t="shared" si="143"/>
        <v>49.900950999999999</v>
      </c>
      <c r="V646" s="68">
        <f t="shared" si="144"/>
        <v>445.54420535714291</v>
      </c>
      <c r="W646" s="68">
        <f t="shared" si="145"/>
        <v>297.02947023809526</v>
      </c>
    </row>
    <row r="647" spans="1:23" x14ac:dyDescent="0.25">
      <c r="A647" s="169" t="s">
        <v>891</v>
      </c>
      <c r="B647" s="61" t="s">
        <v>397</v>
      </c>
      <c r="C647" s="61" t="s">
        <v>591</v>
      </c>
      <c r="D647" s="61" t="s">
        <v>593</v>
      </c>
      <c r="E647" s="1" t="s">
        <v>362</v>
      </c>
      <c r="F647" s="62" t="str">
        <f t="shared" si="146"/>
        <v>64513</v>
      </c>
      <c r="G647" s="1">
        <v>10620044</v>
      </c>
      <c r="H647" s="1" t="s">
        <v>388</v>
      </c>
      <c r="I647" s="61">
        <v>23</v>
      </c>
      <c r="J647" s="61">
        <v>3</v>
      </c>
      <c r="K647" s="61">
        <v>8</v>
      </c>
      <c r="L647" s="69">
        <f t="shared" si="135"/>
        <v>0.69</v>
      </c>
      <c r="M647" s="69">
        <f t="shared" si="136"/>
        <v>1.84</v>
      </c>
      <c r="N647" s="56">
        <f>INDEX(Rate_Chart!$A$1:$AK$127,MATCH(Data!J647,Rate_Chart!$A$1:$A$127,0),MATCH(Data!K647,Rate_Chart!$A$1:$AK$1,0))</f>
        <v>34.751112000000006</v>
      </c>
      <c r="O647" s="57">
        <f t="shared" si="137"/>
        <v>799.27557600000011</v>
      </c>
      <c r="P647" s="58">
        <f t="shared" si="138"/>
        <v>417.01334400000002</v>
      </c>
      <c r="Q647" s="58">
        <f t="shared" si="139"/>
        <v>278.00889599999999</v>
      </c>
      <c r="R647" s="66">
        <f t="shared" si="140"/>
        <v>13.987322580000003</v>
      </c>
      <c r="S647" s="64">
        <f t="shared" si="141"/>
        <v>86.25</v>
      </c>
      <c r="T647" s="66">
        <f t="shared" si="142"/>
        <v>899.51289858000007</v>
      </c>
      <c r="U647" s="68">
        <f t="shared" si="143"/>
        <v>39.109256460000005</v>
      </c>
      <c r="V647" s="68">
        <f t="shared" si="144"/>
        <v>469.31107752000003</v>
      </c>
      <c r="W647" s="68">
        <f t="shared" si="145"/>
        <v>312.87405168000004</v>
      </c>
    </row>
    <row r="648" spans="1:23" x14ac:dyDescent="0.25">
      <c r="A648" s="169" t="s">
        <v>892</v>
      </c>
      <c r="B648" s="61" t="s">
        <v>396</v>
      </c>
      <c r="C648" s="61" t="s">
        <v>591</v>
      </c>
      <c r="D648" s="61" t="s">
        <v>593</v>
      </c>
      <c r="E648" s="1" t="s">
        <v>362</v>
      </c>
      <c r="F648" s="62" t="str">
        <f t="shared" si="146"/>
        <v>64513</v>
      </c>
      <c r="G648" s="1">
        <v>10620044</v>
      </c>
      <c r="H648" s="1" t="s">
        <v>387</v>
      </c>
      <c r="I648" s="61">
        <v>29</v>
      </c>
      <c r="J648" s="61">
        <v>5.8</v>
      </c>
      <c r="K648" s="61">
        <v>8.8000000000000007</v>
      </c>
      <c r="L648" s="69">
        <f t="shared" si="135"/>
        <v>1.6819999999999999</v>
      </c>
      <c r="M648" s="69">
        <f t="shared" si="136"/>
        <v>2.552</v>
      </c>
      <c r="N648" s="56">
        <f>INDEX(Rate_Chart!$A$1:$AK$127,MATCH(Data!J648,Rate_Chart!$A$1:$A$127,0),MATCH(Data!K648,Rate_Chart!$A$1:$AK$1,0))</f>
        <v>47.945700000000002</v>
      </c>
      <c r="O648" s="57">
        <f t="shared" si="137"/>
        <v>1390.4253000000001</v>
      </c>
      <c r="P648" s="58">
        <f t="shared" si="138"/>
        <v>410.96314285714288</v>
      </c>
      <c r="Q648" s="58">
        <f t="shared" si="139"/>
        <v>273.97542857142861</v>
      </c>
      <c r="R648" s="66">
        <f t="shared" si="140"/>
        <v>24.332442750000006</v>
      </c>
      <c r="S648" s="64">
        <f t="shared" si="141"/>
        <v>108.75</v>
      </c>
      <c r="T648" s="66">
        <f t="shared" si="142"/>
        <v>1523.50774275</v>
      </c>
      <c r="U648" s="68">
        <f t="shared" si="143"/>
        <v>52.534749750000003</v>
      </c>
      <c r="V648" s="68">
        <f t="shared" si="144"/>
        <v>450.29785500000003</v>
      </c>
      <c r="W648" s="68">
        <f t="shared" si="145"/>
        <v>300.19857000000002</v>
      </c>
    </row>
    <row r="649" spans="1:23" x14ac:dyDescent="0.25">
      <c r="A649" s="169" t="s">
        <v>892</v>
      </c>
      <c r="B649" s="61" t="s">
        <v>396</v>
      </c>
      <c r="C649" s="61" t="s">
        <v>591</v>
      </c>
      <c r="D649" s="61" t="s">
        <v>593</v>
      </c>
      <c r="E649" s="1" t="s">
        <v>362</v>
      </c>
      <c r="F649" s="62" t="str">
        <f t="shared" si="146"/>
        <v>64513</v>
      </c>
      <c r="G649" s="1">
        <v>10620044</v>
      </c>
      <c r="H649" s="1" t="s">
        <v>388</v>
      </c>
      <c r="I649" s="61">
        <v>41</v>
      </c>
      <c r="J649" s="61">
        <v>3.4</v>
      </c>
      <c r="K649" s="61">
        <v>8</v>
      </c>
      <c r="L649" s="69">
        <f t="shared" si="135"/>
        <v>1.3940000000000001</v>
      </c>
      <c r="M649" s="69">
        <f t="shared" si="136"/>
        <v>3.28</v>
      </c>
      <c r="N649" s="56">
        <f>INDEX(Rate_Chart!$A$1:$AK$127,MATCH(Data!J649,Rate_Chart!$A$1:$A$127,0),MATCH(Data!K649,Rate_Chart!$A$1:$AK$1,0))</f>
        <v>36.419112000000005</v>
      </c>
      <c r="O649" s="57">
        <f t="shared" si="137"/>
        <v>1493.1835920000003</v>
      </c>
      <c r="P649" s="58">
        <f t="shared" si="138"/>
        <v>417.01273282442747</v>
      </c>
      <c r="Q649" s="58">
        <f t="shared" si="139"/>
        <v>278.00848854961833</v>
      </c>
      <c r="R649" s="66">
        <f t="shared" si="140"/>
        <v>26.13071286000001</v>
      </c>
      <c r="S649" s="64">
        <f t="shared" si="141"/>
        <v>153.75</v>
      </c>
      <c r="T649" s="66">
        <f t="shared" si="142"/>
        <v>1673.0643048600004</v>
      </c>
      <c r="U649" s="68">
        <f t="shared" si="143"/>
        <v>40.806446460000011</v>
      </c>
      <c r="V649" s="68">
        <f t="shared" si="144"/>
        <v>467.24938694656493</v>
      </c>
      <c r="W649" s="68">
        <f t="shared" si="145"/>
        <v>311.49959129770997</v>
      </c>
    </row>
    <row r="650" spans="1:23" x14ac:dyDescent="0.25">
      <c r="A650" s="169" t="s">
        <v>892</v>
      </c>
      <c r="B650" s="61" t="s">
        <v>397</v>
      </c>
      <c r="C650" s="61" t="s">
        <v>591</v>
      </c>
      <c r="D650" s="61" t="s">
        <v>593</v>
      </c>
      <c r="E650" s="1" t="s">
        <v>362</v>
      </c>
      <c r="F650" s="62" t="str">
        <f t="shared" si="146"/>
        <v>64513</v>
      </c>
      <c r="G650" s="1">
        <v>10620044</v>
      </c>
      <c r="H650" s="1" t="s">
        <v>387</v>
      </c>
      <c r="I650" s="61">
        <v>29</v>
      </c>
      <c r="J650" s="61">
        <v>6</v>
      </c>
      <c r="K650" s="61">
        <v>9</v>
      </c>
      <c r="L650" s="69">
        <f t="shared" si="135"/>
        <v>1.74</v>
      </c>
      <c r="M650" s="69">
        <f t="shared" si="136"/>
        <v>2.61</v>
      </c>
      <c r="N650" s="56">
        <f>INDEX(Rate_Chart!$A$1:$AK$127,MATCH(Data!J650,Rate_Chart!$A$1:$A$127,0),MATCH(Data!K650,Rate_Chart!$A$1:$AK$1,0))</f>
        <v>50.1</v>
      </c>
      <c r="O650" s="57">
        <f t="shared" si="137"/>
        <v>1452.9</v>
      </c>
      <c r="P650" s="58">
        <f t="shared" si="138"/>
        <v>417.5</v>
      </c>
      <c r="Q650" s="58">
        <f t="shared" si="139"/>
        <v>278.33333333333331</v>
      </c>
      <c r="R650" s="66">
        <f t="shared" si="140"/>
        <v>25.425750000000004</v>
      </c>
      <c r="S650" s="64">
        <f t="shared" si="141"/>
        <v>108.75</v>
      </c>
      <c r="T650" s="66">
        <f t="shared" si="142"/>
        <v>1587.07575</v>
      </c>
      <c r="U650" s="68">
        <f t="shared" si="143"/>
        <v>54.726749999999996</v>
      </c>
      <c r="V650" s="68">
        <f t="shared" si="144"/>
        <v>456.05624999999998</v>
      </c>
      <c r="W650" s="68">
        <f t="shared" si="145"/>
        <v>304.03749999999997</v>
      </c>
    </row>
    <row r="651" spans="1:23" x14ac:dyDescent="0.25">
      <c r="A651" s="169" t="s">
        <v>892</v>
      </c>
      <c r="B651" s="61" t="s">
        <v>397</v>
      </c>
      <c r="C651" s="61" t="s">
        <v>591</v>
      </c>
      <c r="D651" s="61" t="s">
        <v>593</v>
      </c>
      <c r="E651" s="1" t="s">
        <v>362</v>
      </c>
      <c r="F651" s="62" t="str">
        <f t="shared" si="146"/>
        <v>64513</v>
      </c>
      <c r="G651" s="1">
        <v>10620044</v>
      </c>
      <c r="H651" s="1" t="s">
        <v>388</v>
      </c>
      <c r="I651" s="61">
        <v>28</v>
      </c>
      <c r="J651" s="61">
        <v>3</v>
      </c>
      <c r="K651" s="61">
        <v>8</v>
      </c>
      <c r="L651" s="69">
        <f t="shared" si="135"/>
        <v>0.84</v>
      </c>
      <c r="M651" s="69">
        <f t="shared" si="136"/>
        <v>2.2400000000000002</v>
      </c>
      <c r="N651" s="56">
        <f>INDEX(Rate_Chart!$A$1:$AK$127,MATCH(Data!J651,Rate_Chart!$A$1:$A$127,0),MATCH(Data!K651,Rate_Chart!$A$1:$AK$1,0))</f>
        <v>34.751112000000006</v>
      </c>
      <c r="O651" s="57">
        <f t="shared" si="137"/>
        <v>973.03113600000017</v>
      </c>
      <c r="P651" s="58">
        <f t="shared" si="138"/>
        <v>417.01334400000002</v>
      </c>
      <c r="Q651" s="58">
        <f t="shared" si="139"/>
        <v>278.00889599999999</v>
      </c>
      <c r="R651" s="66">
        <f t="shared" si="140"/>
        <v>17.028044880000003</v>
      </c>
      <c r="S651" s="64">
        <f t="shared" si="141"/>
        <v>105</v>
      </c>
      <c r="T651" s="66">
        <f t="shared" si="142"/>
        <v>1095.0591808800002</v>
      </c>
      <c r="U651" s="68">
        <f t="shared" si="143"/>
        <v>39.109256460000005</v>
      </c>
      <c r="V651" s="68">
        <f t="shared" si="144"/>
        <v>469.31107752000003</v>
      </c>
      <c r="W651" s="68">
        <f t="shared" si="145"/>
        <v>312.87405168000004</v>
      </c>
    </row>
    <row r="652" spans="1:23" x14ac:dyDescent="0.25">
      <c r="A652" s="169" t="s">
        <v>893</v>
      </c>
      <c r="B652" s="61" t="s">
        <v>396</v>
      </c>
      <c r="C652" s="61" t="s">
        <v>591</v>
      </c>
      <c r="D652" s="61" t="s">
        <v>593</v>
      </c>
      <c r="E652" s="1" t="s">
        <v>362</v>
      </c>
      <c r="F652" s="62" t="str">
        <f t="shared" si="146"/>
        <v>64513</v>
      </c>
      <c r="G652" s="1">
        <v>10620044</v>
      </c>
      <c r="H652" s="1" t="s">
        <v>387</v>
      </c>
      <c r="I652" s="61">
        <v>31</v>
      </c>
      <c r="J652" s="61">
        <v>5.8</v>
      </c>
      <c r="K652" s="61">
        <v>8.8000000000000007</v>
      </c>
      <c r="L652" s="69">
        <f t="shared" si="135"/>
        <v>1.7979999999999998</v>
      </c>
      <c r="M652" s="69">
        <f t="shared" si="136"/>
        <v>2.7280000000000002</v>
      </c>
      <c r="N652" s="56">
        <f>INDEX(Rate_Chart!$A$1:$AK$127,MATCH(Data!J652,Rate_Chart!$A$1:$A$127,0),MATCH(Data!K652,Rate_Chart!$A$1:$AK$1,0))</f>
        <v>47.945700000000002</v>
      </c>
      <c r="O652" s="57">
        <f t="shared" si="137"/>
        <v>1486.3167000000001</v>
      </c>
      <c r="P652" s="58">
        <f t="shared" si="138"/>
        <v>410.96314285714288</v>
      </c>
      <c r="Q652" s="58">
        <f t="shared" si="139"/>
        <v>273.97542857142861</v>
      </c>
      <c r="R652" s="66">
        <f t="shared" si="140"/>
        <v>26.010542250000004</v>
      </c>
      <c r="S652" s="64">
        <f t="shared" si="141"/>
        <v>116.25</v>
      </c>
      <c r="T652" s="66">
        <f t="shared" si="142"/>
        <v>1628.5772422500002</v>
      </c>
      <c r="U652" s="68">
        <f t="shared" si="143"/>
        <v>52.534749750000003</v>
      </c>
      <c r="V652" s="68">
        <f t="shared" si="144"/>
        <v>450.29785500000003</v>
      </c>
      <c r="W652" s="68">
        <f t="shared" si="145"/>
        <v>300.19857000000002</v>
      </c>
    </row>
    <row r="653" spans="1:23" x14ac:dyDescent="0.25">
      <c r="A653" s="169" t="s">
        <v>893</v>
      </c>
      <c r="B653" s="61" t="s">
        <v>396</v>
      </c>
      <c r="C653" s="61" t="s">
        <v>591</v>
      </c>
      <c r="D653" s="61" t="s">
        <v>593</v>
      </c>
      <c r="E653" s="1" t="s">
        <v>362</v>
      </c>
      <c r="F653" s="62" t="str">
        <f t="shared" si="146"/>
        <v>64513</v>
      </c>
      <c r="G653" s="1">
        <v>10620044</v>
      </c>
      <c r="H653" s="1" t="s">
        <v>388</v>
      </c>
      <c r="I653" s="61">
        <v>40</v>
      </c>
      <c r="J653" s="61">
        <v>3.4</v>
      </c>
      <c r="K653" s="61">
        <v>8</v>
      </c>
      <c r="L653" s="69">
        <f t="shared" si="135"/>
        <v>1.36</v>
      </c>
      <c r="M653" s="69">
        <f t="shared" si="136"/>
        <v>3.2</v>
      </c>
      <c r="N653" s="56">
        <f>INDEX(Rate_Chart!$A$1:$AK$127,MATCH(Data!J653,Rate_Chart!$A$1:$A$127,0),MATCH(Data!K653,Rate_Chart!$A$1:$AK$1,0))</f>
        <v>36.419112000000005</v>
      </c>
      <c r="O653" s="57">
        <f t="shared" si="137"/>
        <v>1456.7644800000003</v>
      </c>
      <c r="P653" s="58">
        <f t="shared" si="138"/>
        <v>417.01273282442747</v>
      </c>
      <c r="Q653" s="58">
        <f t="shared" si="139"/>
        <v>278.00848854961833</v>
      </c>
      <c r="R653" s="66">
        <f t="shared" si="140"/>
        <v>25.493378400000008</v>
      </c>
      <c r="S653" s="64">
        <f t="shared" si="141"/>
        <v>150</v>
      </c>
      <c r="T653" s="66">
        <f t="shared" si="142"/>
        <v>1632.2578584000003</v>
      </c>
      <c r="U653" s="68">
        <f t="shared" si="143"/>
        <v>40.806446460000004</v>
      </c>
      <c r="V653" s="68">
        <f t="shared" si="144"/>
        <v>467.24938694656487</v>
      </c>
      <c r="W653" s="68">
        <f t="shared" si="145"/>
        <v>311.49959129770991</v>
      </c>
    </row>
    <row r="654" spans="1:23" x14ac:dyDescent="0.25">
      <c r="A654" s="169" t="s">
        <v>893</v>
      </c>
      <c r="B654" s="61" t="s">
        <v>397</v>
      </c>
      <c r="C654" s="61" t="s">
        <v>591</v>
      </c>
      <c r="D654" s="61" t="s">
        <v>593</v>
      </c>
      <c r="E654" s="1" t="s">
        <v>362</v>
      </c>
      <c r="F654" s="62" t="str">
        <f t="shared" si="146"/>
        <v>64513</v>
      </c>
      <c r="G654" s="1">
        <v>10620044</v>
      </c>
      <c r="H654" s="1" t="s">
        <v>387</v>
      </c>
      <c r="I654" s="61">
        <v>25</v>
      </c>
      <c r="J654" s="61">
        <v>6.1</v>
      </c>
      <c r="K654" s="61">
        <v>9</v>
      </c>
      <c r="L654" s="69">
        <f t="shared" si="135"/>
        <v>1.5249999999999999</v>
      </c>
      <c r="M654" s="69">
        <f t="shared" si="136"/>
        <v>2.25</v>
      </c>
      <c r="N654" s="56">
        <f>INDEX(Rate_Chart!$A$1:$AK$127,MATCH(Data!J654,Rate_Chart!$A$1:$A$127,0),MATCH(Data!K654,Rate_Chart!$A$1:$AK$1,0))</f>
        <v>50.935000000000002</v>
      </c>
      <c r="O654" s="57">
        <f t="shared" si="137"/>
        <v>1273.375</v>
      </c>
      <c r="P654" s="58">
        <f t="shared" si="138"/>
        <v>420.95041322314052</v>
      </c>
      <c r="Q654" s="58">
        <f t="shared" si="139"/>
        <v>280.63360881542701</v>
      </c>
      <c r="R654" s="66">
        <f t="shared" si="140"/>
        <v>22.284062500000001</v>
      </c>
      <c r="S654" s="64">
        <f t="shared" si="141"/>
        <v>93.75</v>
      </c>
      <c r="T654" s="66">
        <f t="shared" si="142"/>
        <v>1389.4090624999999</v>
      </c>
      <c r="U654" s="68">
        <f t="shared" si="143"/>
        <v>55.576362499999995</v>
      </c>
      <c r="V654" s="68">
        <f t="shared" si="144"/>
        <v>459.30878099173549</v>
      </c>
      <c r="W654" s="68">
        <f t="shared" si="145"/>
        <v>306.20585399449033</v>
      </c>
    </row>
    <row r="655" spans="1:23" x14ac:dyDescent="0.25">
      <c r="A655" s="169" t="s">
        <v>893</v>
      </c>
      <c r="B655" s="61" t="s">
        <v>397</v>
      </c>
      <c r="C655" s="61" t="s">
        <v>591</v>
      </c>
      <c r="D655" s="61" t="s">
        <v>593</v>
      </c>
      <c r="E655" s="1" t="s">
        <v>362</v>
      </c>
      <c r="F655" s="62" t="str">
        <f t="shared" si="146"/>
        <v>64513</v>
      </c>
      <c r="G655" s="1">
        <v>10620044</v>
      </c>
      <c r="H655" s="1" t="s">
        <v>388</v>
      </c>
      <c r="I655" s="61">
        <v>32</v>
      </c>
      <c r="J655" s="61">
        <v>3</v>
      </c>
      <c r="K655" s="61">
        <v>8</v>
      </c>
      <c r="L655" s="69">
        <f t="shared" si="135"/>
        <v>0.96</v>
      </c>
      <c r="M655" s="69">
        <f t="shared" si="136"/>
        <v>2.56</v>
      </c>
      <c r="N655" s="56">
        <f>INDEX(Rate_Chart!$A$1:$AK$127,MATCH(Data!J655,Rate_Chart!$A$1:$A$127,0),MATCH(Data!K655,Rate_Chart!$A$1:$AK$1,0))</f>
        <v>34.751112000000006</v>
      </c>
      <c r="O655" s="57">
        <f t="shared" si="137"/>
        <v>1112.0355840000002</v>
      </c>
      <c r="P655" s="58">
        <f t="shared" si="138"/>
        <v>417.01334400000002</v>
      </c>
      <c r="Q655" s="58">
        <f t="shared" si="139"/>
        <v>278.00889599999999</v>
      </c>
      <c r="R655" s="66">
        <f t="shared" si="140"/>
        <v>19.460622720000007</v>
      </c>
      <c r="S655" s="64">
        <f t="shared" si="141"/>
        <v>120</v>
      </c>
      <c r="T655" s="66">
        <f t="shared" si="142"/>
        <v>1251.4962067200001</v>
      </c>
      <c r="U655" s="68">
        <f t="shared" si="143"/>
        <v>39.109256460000005</v>
      </c>
      <c r="V655" s="68">
        <f t="shared" si="144"/>
        <v>469.31107752000003</v>
      </c>
      <c r="W655" s="68">
        <f t="shared" si="145"/>
        <v>312.87405168000004</v>
      </c>
    </row>
    <row r="656" spans="1:23" x14ac:dyDescent="0.25">
      <c r="A656" s="169" t="s">
        <v>894</v>
      </c>
      <c r="B656" s="61" t="s">
        <v>396</v>
      </c>
      <c r="C656" s="61" t="s">
        <v>591</v>
      </c>
      <c r="D656" s="61" t="s">
        <v>593</v>
      </c>
      <c r="E656" s="1" t="s">
        <v>362</v>
      </c>
      <c r="F656" s="62" t="str">
        <f t="shared" si="146"/>
        <v>64513</v>
      </c>
      <c r="G656" s="1">
        <v>10620044</v>
      </c>
      <c r="H656" s="1" t="s">
        <v>387</v>
      </c>
      <c r="I656" s="61">
        <v>33</v>
      </c>
      <c r="J656" s="61">
        <v>5.8</v>
      </c>
      <c r="K656" s="61">
        <v>8.8000000000000007</v>
      </c>
      <c r="L656" s="69">
        <f t="shared" si="135"/>
        <v>1.9140000000000001</v>
      </c>
      <c r="M656" s="69">
        <f t="shared" si="136"/>
        <v>2.9040000000000004</v>
      </c>
      <c r="N656" s="56">
        <f>INDEX(Rate_Chart!$A$1:$AK$127,MATCH(Data!J656,Rate_Chart!$A$1:$A$127,0),MATCH(Data!K656,Rate_Chart!$A$1:$AK$1,0))</f>
        <v>47.945700000000002</v>
      </c>
      <c r="O656" s="57">
        <f t="shared" si="137"/>
        <v>1582.2081000000001</v>
      </c>
      <c r="P656" s="58">
        <f t="shared" si="138"/>
        <v>410.96314285714288</v>
      </c>
      <c r="Q656" s="58">
        <f t="shared" si="139"/>
        <v>273.97542857142861</v>
      </c>
      <c r="R656" s="66">
        <f t="shared" si="140"/>
        <v>27.688641750000002</v>
      </c>
      <c r="S656" s="64">
        <f t="shared" si="141"/>
        <v>123.75</v>
      </c>
      <c r="T656" s="66">
        <f t="shared" si="142"/>
        <v>1733.64674175</v>
      </c>
      <c r="U656" s="68">
        <f t="shared" si="143"/>
        <v>52.534749750000003</v>
      </c>
      <c r="V656" s="68">
        <f t="shared" si="144"/>
        <v>450.29785500000003</v>
      </c>
      <c r="W656" s="68">
        <f t="shared" si="145"/>
        <v>300.19857000000002</v>
      </c>
    </row>
    <row r="657" spans="1:23" x14ac:dyDescent="0.25">
      <c r="A657" s="169" t="s">
        <v>894</v>
      </c>
      <c r="B657" s="61" t="s">
        <v>396</v>
      </c>
      <c r="C657" s="61" t="s">
        <v>591</v>
      </c>
      <c r="D657" s="61" t="s">
        <v>593</v>
      </c>
      <c r="E657" s="1" t="s">
        <v>362</v>
      </c>
      <c r="F657" s="62" t="str">
        <f t="shared" si="146"/>
        <v>64513</v>
      </c>
      <c r="G657" s="1">
        <v>10620044</v>
      </c>
      <c r="H657" s="1" t="s">
        <v>388</v>
      </c>
      <c r="I657" s="61">
        <v>41</v>
      </c>
      <c r="J657" s="61">
        <v>3.1</v>
      </c>
      <c r="K657" s="61">
        <v>8.1</v>
      </c>
      <c r="L657" s="69">
        <f t="shared" si="135"/>
        <v>1.2710000000000001</v>
      </c>
      <c r="M657" s="69">
        <f t="shared" si="136"/>
        <v>3.3209999999999997</v>
      </c>
      <c r="N657" s="56">
        <f>INDEX(Rate_Chart!$A$1:$AK$127,MATCH(Data!J657,Rate_Chart!$A$1:$A$127,0),MATCH(Data!K657,Rate_Chart!$A$1:$AK$1,0))</f>
        <v>35.446125899999998</v>
      </c>
      <c r="O657" s="57">
        <f t="shared" si="137"/>
        <v>1453.2911618999999</v>
      </c>
      <c r="P657" s="58">
        <f t="shared" si="138"/>
        <v>417.01324588235298</v>
      </c>
      <c r="Q657" s="58">
        <f t="shared" si="139"/>
        <v>278.0088305882353</v>
      </c>
      <c r="R657" s="66">
        <f t="shared" si="140"/>
        <v>25.432595333249999</v>
      </c>
      <c r="S657" s="64">
        <f t="shared" si="141"/>
        <v>153.75</v>
      </c>
      <c r="T657" s="66">
        <f t="shared" si="142"/>
        <v>1632.4737572332499</v>
      </c>
      <c r="U657" s="68">
        <f t="shared" si="143"/>
        <v>39.816433103249999</v>
      </c>
      <c r="V657" s="68">
        <f t="shared" si="144"/>
        <v>468.42862474411766</v>
      </c>
      <c r="W657" s="68">
        <f t="shared" si="145"/>
        <v>312.28574982941177</v>
      </c>
    </row>
    <row r="658" spans="1:23" x14ac:dyDescent="0.25">
      <c r="A658" s="169" t="s">
        <v>894</v>
      </c>
      <c r="B658" s="61" t="s">
        <v>397</v>
      </c>
      <c r="C658" s="61" t="s">
        <v>591</v>
      </c>
      <c r="D658" s="61" t="s">
        <v>593</v>
      </c>
      <c r="E658" s="1" t="s">
        <v>362</v>
      </c>
      <c r="F658" s="62" t="str">
        <f t="shared" si="146"/>
        <v>64513</v>
      </c>
      <c r="G658" s="1">
        <v>10620044</v>
      </c>
      <c r="H658" s="1" t="s">
        <v>387</v>
      </c>
      <c r="I658" s="61">
        <v>25</v>
      </c>
      <c r="J658" s="61">
        <v>6.4</v>
      </c>
      <c r="K658" s="61">
        <v>9</v>
      </c>
      <c r="L658" s="69">
        <f t="shared" si="135"/>
        <v>1.6</v>
      </c>
      <c r="M658" s="69">
        <f t="shared" si="136"/>
        <v>2.25</v>
      </c>
      <c r="N658" s="56">
        <f>INDEX(Rate_Chart!$A$1:$AK$127,MATCH(Data!J658,Rate_Chart!$A$1:$A$127,0),MATCH(Data!K658,Rate_Chart!$A$1:$AK$1,0))</f>
        <v>53.44</v>
      </c>
      <c r="O658" s="57">
        <f t="shared" si="137"/>
        <v>1336</v>
      </c>
      <c r="P658" s="58">
        <f t="shared" si="138"/>
        <v>430.96774193548384</v>
      </c>
      <c r="Q658" s="58">
        <f t="shared" si="139"/>
        <v>287.31182795698925</v>
      </c>
      <c r="R658" s="66">
        <f t="shared" si="140"/>
        <v>23.380000000000003</v>
      </c>
      <c r="S658" s="64">
        <f t="shared" si="141"/>
        <v>93.75</v>
      </c>
      <c r="T658" s="66">
        <f t="shared" si="142"/>
        <v>1453.13</v>
      </c>
      <c r="U658" s="68">
        <f t="shared" si="143"/>
        <v>58.125200000000007</v>
      </c>
      <c r="V658" s="68">
        <f t="shared" si="144"/>
        <v>468.75161290322586</v>
      </c>
      <c r="W658" s="68">
        <f t="shared" si="145"/>
        <v>312.50107526881726</v>
      </c>
    </row>
    <row r="659" spans="1:23" x14ac:dyDescent="0.25">
      <c r="A659" s="169" t="s">
        <v>894</v>
      </c>
      <c r="B659" s="61" t="s">
        <v>397</v>
      </c>
      <c r="C659" s="61" t="s">
        <v>591</v>
      </c>
      <c r="D659" s="61" t="s">
        <v>593</v>
      </c>
      <c r="E659" s="1" t="s">
        <v>362</v>
      </c>
      <c r="F659" s="62" t="str">
        <f t="shared" si="146"/>
        <v>64513</v>
      </c>
      <c r="G659" s="1">
        <v>10620044</v>
      </c>
      <c r="H659" s="1" t="s">
        <v>388</v>
      </c>
      <c r="I659" s="61">
        <v>29</v>
      </c>
      <c r="J659" s="61">
        <v>3.1</v>
      </c>
      <c r="K659" s="61">
        <v>8</v>
      </c>
      <c r="L659" s="69">
        <f t="shared" si="135"/>
        <v>0.89900000000000002</v>
      </c>
      <c r="M659" s="69">
        <f t="shared" si="136"/>
        <v>2.3199999999999998</v>
      </c>
      <c r="N659" s="56">
        <f>INDEX(Rate_Chart!$A$1:$AK$127,MATCH(Data!J659,Rate_Chart!$A$1:$A$127,0),MATCH(Data!K659,Rate_Chart!$A$1:$AK$1,0))</f>
        <v>35.168112000000008</v>
      </c>
      <c r="O659" s="57">
        <f t="shared" si="137"/>
        <v>1019.8752480000003</v>
      </c>
      <c r="P659" s="58">
        <f t="shared" si="138"/>
        <v>417.01318577075102</v>
      </c>
      <c r="Q659" s="58">
        <f t="shared" si="139"/>
        <v>278.00879051383401</v>
      </c>
      <c r="R659" s="66">
        <f t="shared" si="140"/>
        <v>17.847816840000007</v>
      </c>
      <c r="S659" s="64">
        <f t="shared" si="141"/>
        <v>108.75</v>
      </c>
      <c r="T659" s="66">
        <f t="shared" si="142"/>
        <v>1146.4730648400002</v>
      </c>
      <c r="U659" s="68">
        <f t="shared" si="143"/>
        <v>39.533553960000006</v>
      </c>
      <c r="V659" s="68">
        <f t="shared" si="144"/>
        <v>468.77731968379447</v>
      </c>
      <c r="W659" s="68">
        <f t="shared" si="145"/>
        <v>312.51821312252963</v>
      </c>
    </row>
    <row r="660" spans="1:23" x14ac:dyDescent="0.25">
      <c r="A660" s="169" t="s">
        <v>888</v>
      </c>
      <c r="B660" s="61" t="s">
        <v>396</v>
      </c>
      <c r="C660" s="61" t="s">
        <v>591</v>
      </c>
      <c r="D660" s="61" t="s">
        <v>594</v>
      </c>
      <c r="E660" s="1" t="s">
        <v>363</v>
      </c>
      <c r="F660" s="62" t="str">
        <f t="shared" si="146"/>
        <v>64514</v>
      </c>
      <c r="G660" s="1">
        <v>10620030</v>
      </c>
      <c r="H660" s="1" t="s">
        <v>387</v>
      </c>
      <c r="I660" s="61">
        <v>82</v>
      </c>
      <c r="J660" s="61">
        <v>5.8</v>
      </c>
      <c r="K660" s="61">
        <v>8.6</v>
      </c>
      <c r="L660" s="69">
        <f t="shared" si="135"/>
        <v>4.7559999999999993</v>
      </c>
      <c r="M660" s="69">
        <f t="shared" si="136"/>
        <v>7.0519999999999996</v>
      </c>
      <c r="N660" s="56">
        <f>INDEX(Rate_Chart!$A$1:$AK$127,MATCH(Data!J660,Rate_Chart!$A$1:$A$127,0),MATCH(Data!K660,Rate_Chart!$A$1:$AK$1,0))</f>
        <v>47.461399999999998</v>
      </c>
      <c r="O660" s="57">
        <f t="shared" si="137"/>
        <v>3891.8347999999996</v>
      </c>
      <c r="P660" s="58">
        <f t="shared" si="138"/>
        <v>411.51502890173413</v>
      </c>
      <c r="Q660" s="58">
        <f t="shared" si="139"/>
        <v>274.34335260115608</v>
      </c>
      <c r="R660" s="66">
        <f t="shared" si="140"/>
        <v>68.107108999999994</v>
      </c>
      <c r="S660" s="64">
        <f t="shared" si="141"/>
        <v>307.5</v>
      </c>
      <c r="T660" s="66">
        <f t="shared" si="142"/>
        <v>4267.4419089999992</v>
      </c>
      <c r="U660" s="68">
        <f t="shared" si="143"/>
        <v>52.041974499999988</v>
      </c>
      <c r="V660" s="68">
        <f t="shared" si="144"/>
        <v>451.23099277456646</v>
      </c>
      <c r="W660" s="68">
        <f t="shared" si="145"/>
        <v>300.82066184971097</v>
      </c>
    </row>
    <row r="661" spans="1:23" x14ac:dyDescent="0.25">
      <c r="A661" s="169" t="s">
        <v>888</v>
      </c>
      <c r="B661" s="61" t="s">
        <v>396</v>
      </c>
      <c r="C661" s="61" t="s">
        <v>591</v>
      </c>
      <c r="D661" s="61" t="s">
        <v>594</v>
      </c>
      <c r="E661" s="1" t="s">
        <v>363</v>
      </c>
      <c r="F661" s="62" t="str">
        <f t="shared" si="146"/>
        <v>64514</v>
      </c>
      <c r="G661" s="1">
        <v>10620030</v>
      </c>
      <c r="H661" s="1" t="s">
        <v>388</v>
      </c>
      <c r="I661" s="61">
        <v>40</v>
      </c>
      <c r="J661" s="61">
        <v>3</v>
      </c>
      <c r="K661" s="61">
        <v>8</v>
      </c>
      <c r="L661" s="69">
        <f t="shared" si="135"/>
        <v>1.2</v>
      </c>
      <c r="M661" s="69">
        <f t="shared" si="136"/>
        <v>3.2</v>
      </c>
      <c r="N661" s="56">
        <f>INDEX(Rate_Chart!$A$1:$AK$127,MATCH(Data!J661,Rate_Chart!$A$1:$A$127,0),MATCH(Data!K661,Rate_Chart!$A$1:$AK$1,0))</f>
        <v>34.751112000000006</v>
      </c>
      <c r="O661" s="57">
        <f t="shared" si="137"/>
        <v>1390.0444800000002</v>
      </c>
      <c r="P661" s="58">
        <f t="shared" si="138"/>
        <v>417.01334400000002</v>
      </c>
      <c r="Q661" s="58">
        <f t="shared" si="139"/>
        <v>278.00889599999999</v>
      </c>
      <c r="R661" s="66">
        <f t="shared" si="140"/>
        <v>24.325778400000008</v>
      </c>
      <c r="S661" s="64">
        <f t="shared" si="141"/>
        <v>150</v>
      </c>
      <c r="T661" s="66">
        <f t="shared" si="142"/>
        <v>1564.3702584000002</v>
      </c>
      <c r="U661" s="68">
        <f t="shared" si="143"/>
        <v>39.109256460000005</v>
      </c>
      <c r="V661" s="68">
        <f t="shared" si="144"/>
        <v>469.31107752000003</v>
      </c>
      <c r="W661" s="68">
        <f t="shared" si="145"/>
        <v>312.87405168000004</v>
      </c>
    </row>
    <row r="662" spans="1:23" x14ac:dyDescent="0.25">
      <c r="A662" s="169" t="s">
        <v>888</v>
      </c>
      <c r="B662" s="61" t="s">
        <v>397</v>
      </c>
      <c r="C662" s="61" t="s">
        <v>591</v>
      </c>
      <c r="D662" s="61" t="s">
        <v>594</v>
      </c>
      <c r="E662" s="1" t="s">
        <v>363</v>
      </c>
      <c r="F662" s="62" t="str">
        <f t="shared" si="146"/>
        <v>64514</v>
      </c>
      <c r="G662" s="1">
        <v>10620030</v>
      </c>
      <c r="H662" s="1" t="s">
        <v>387</v>
      </c>
      <c r="I662" s="61">
        <v>40</v>
      </c>
      <c r="J662" s="61">
        <v>5.7</v>
      </c>
      <c r="K662" s="61">
        <v>8.6</v>
      </c>
      <c r="L662" s="69">
        <f t="shared" si="135"/>
        <v>2.2799999999999998</v>
      </c>
      <c r="M662" s="69">
        <f t="shared" si="136"/>
        <v>3.44</v>
      </c>
      <c r="N662" s="56">
        <f>INDEX(Rate_Chart!$A$1:$AK$127,MATCH(Data!J662,Rate_Chart!$A$1:$A$127,0),MATCH(Data!K662,Rate_Chart!$A$1:$AK$1,0))</f>
        <v>46.643099999999997</v>
      </c>
      <c r="O662" s="57">
        <f t="shared" si="137"/>
        <v>1865.7239999999999</v>
      </c>
      <c r="P662" s="58">
        <f t="shared" si="138"/>
        <v>407.95714285714286</v>
      </c>
      <c r="Q662" s="58">
        <f t="shared" si="139"/>
        <v>271.97142857142859</v>
      </c>
      <c r="R662" s="66">
        <f t="shared" si="140"/>
        <v>32.650170000000003</v>
      </c>
      <c r="S662" s="64">
        <f t="shared" si="141"/>
        <v>150</v>
      </c>
      <c r="T662" s="66">
        <f t="shared" si="142"/>
        <v>2048.37417</v>
      </c>
      <c r="U662" s="68">
        <f t="shared" si="143"/>
        <v>51.209354250000004</v>
      </c>
      <c r="V662" s="68">
        <f t="shared" si="144"/>
        <v>447.89522667638488</v>
      </c>
      <c r="W662" s="68">
        <f t="shared" si="145"/>
        <v>298.59681778425659</v>
      </c>
    </row>
    <row r="663" spans="1:23" x14ac:dyDescent="0.25">
      <c r="A663" s="169" t="s">
        <v>888</v>
      </c>
      <c r="B663" s="61" t="s">
        <v>397</v>
      </c>
      <c r="C663" s="61" t="s">
        <v>591</v>
      </c>
      <c r="D663" s="61" t="s">
        <v>594</v>
      </c>
      <c r="E663" s="1" t="s">
        <v>363</v>
      </c>
      <c r="F663" s="62" t="str">
        <f t="shared" si="146"/>
        <v>64514</v>
      </c>
      <c r="G663" s="1">
        <v>10620030</v>
      </c>
      <c r="H663" s="1" t="s">
        <v>388</v>
      </c>
      <c r="I663" s="61">
        <v>26</v>
      </c>
      <c r="J663" s="61">
        <v>3.3</v>
      </c>
      <c r="K663" s="61">
        <v>8</v>
      </c>
      <c r="L663" s="69">
        <f t="shared" si="135"/>
        <v>0.85799999999999998</v>
      </c>
      <c r="M663" s="69">
        <f t="shared" si="136"/>
        <v>2.08</v>
      </c>
      <c r="N663" s="56">
        <f>INDEX(Rate_Chart!$A$1:$AK$127,MATCH(Data!J663,Rate_Chart!$A$1:$A$127,0),MATCH(Data!K663,Rate_Chart!$A$1:$AK$1,0))</f>
        <v>36.002112000000004</v>
      </c>
      <c r="O663" s="57">
        <f t="shared" si="137"/>
        <v>936.05491200000006</v>
      </c>
      <c r="P663" s="58">
        <f t="shared" si="138"/>
        <v>417.01288030888031</v>
      </c>
      <c r="Q663" s="58">
        <f t="shared" si="139"/>
        <v>278.00858687258687</v>
      </c>
      <c r="R663" s="66">
        <f t="shared" si="140"/>
        <v>16.380960960000003</v>
      </c>
      <c r="S663" s="64">
        <f t="shared" si="141"/>
        <v>97.5</v>
      </c>
      <c r="T663" s="66">
        <f t="shared" si="142"/>
        <v>1049.9358729600001</v>
      </c>
      <c r="U663" s="68">
        <f t="shared" si="143"/>
        <v>40.382148960000002</v>
      </c>
      <c r="V663" s="68">
        <f t="shared" si="144"/>
        <v>467.74689915057911</v>
      </c>
      <c r="W663" s="68">
        <f t="shared" si="145"/>
        <v>311.83126610038607</v>
      </c>
    </row>
    <row r="664" spans="1:23" x14ac:dyDescent="0.25">
      <c r="A664" s="169" t="s">
        <v>889</v>
      </c>
      <c r="B664" s="61" t="s">
        <v>396</v>
      </c>
      <c r="C664" s="61" t="s">
        <v>591</v>
      </c>
      <c r="D664" s="61" t="s">
        <v>594</v>
      </c>
      <c r="E664" s="1" t="s">
        <v>363</v>
      </c>
      <c r="F664" s="62" t="str">
        <f t="shared" si="146"/>
        <v>64514</v>
      </c>
      <c r="G664" s="1">
        <v>10620030</v>
      </c>
      <c r="H664" s="1" t="s">
        <v>387</v>
      </c>
      <c r="I664" s="61">
        <v>26</v>
      </c>
      <c r="J664" s="61">
        <v>5.9</v>
      </c>
      <c r="K664" s="61">
        <v>8.6</v>
      </c>
      <c r="L664" s="69">
        <f t="shared" si="135"/>
        <v>1.534</v>
      </c>
      <c r="M664" s="69">
        <f t="shared" si="136"/>
        <v>2.2359999999999998</v>
      </c>
      <c r="N664" s="56">
        <f>INDEX(Rate_Chart!$A$1:$AK$127,MATCH(Data!J664,Rate_Chart!$A$1:$A$127,0),MATCH(Data!K664,Rate_Chart!$A$1:$AK$1,0))</f>
        <v>48.279699999999998</v>
      </c>
      <c r="O664" s="57">
        <f t="shared" si="137"/>
        <v>1255.2721999999999</v>
      </c>
      <c r="P664" s="58">
        <f t="shared" si="138"/>
        <v>415.01174785100284</v>
      </c>
      <c r="Q664" s="58">
        <f t="shared" si="139"/>
        <v>276.67449856733521</v>
      </c>
      <c r="R664" s="66">
        <f t="shared" si="140"/>
        <v>21.967263500000001</v>
      </c>
      <c r="S664" s="64">
        <f t="shared" si="141"/>
        <v>97.5</v>
      </c>
      <c r="T664" s="66">
        <f t="shared" si="142"/>
        <v>1374.7394634999998</v>
      </c>
      <c r="U664" s="68">
        <f t="shared" si="143"/>
        <v>52.874594749999993</v>
      </c>
      <c r="V664" s="68">
        <f t="shared" si="144"/>
        <v>454.50941045845269</v>
      </c>
      <c r="W664" s="68">
        <f t="shared" si="145"/>
        <v>303.00627363896848</v>
      </c>
    </row>
    <row r="665" spans="1:23" x14ac:dyDescent="0.25">
      <c r="A665" s="169" t="s">
        <v>889</v>
      </c>
      <c r="B665" s="61" t="s">
        <v>397</v>
      </c>
      <c r="C665" s="61" t="s">
        <v>591</v>
      </c>
      <c r="D665" s="61" t="s">
        <v>594</v>
      </c>
      <c r="E665" s="1" t="s">
        <v>363</v>
      </c>
      <c r="F665" s="62" t="str">
        <f t="shared" si="146"/>
        <v>64514</v>
      </c>
      <c r="G665" s="1">
        <v>10620030</v>
      </c>
      <c r="H665" s="1" t="s">
        <v>388</v>
      </c>
      <c r="I665" s="61">
        <v>106</v>
      </c>
      <c r="J665" s="61">
        <v>4.0999999999999996</v>
      </c>
      <c r="K665" s="61">
        <v>8.1</v>
      </c>
      <c r="L665" s="69">
        <f t="shared" si="135"/>
        <v>4.3460000000000001</v>
      </c>
      <c r="M665" s="69">
        <f t="shared" si="136"/>
        <v>8.5859999999999985</v>
      </c>
      <c r="N665" s="56">
        <f>INDEX(Rate_Chart!$A$1:$AK$127,MATCH(Data!J665,Rate_Chart!$A$1:$A$127,0),MATCH(Data!K665,Rate_Chart!$A$1:$AK$1,0))</f>
        <v>39.6161259</v>
      </c>
      <c r="O665" s="57">
        <f t="shared" si="137"/>
        <v>4199.3093454</v>
      </c>
      <c r="P665" s="58">
        <f t="shared" si="138"/>
        <v>417.01185157894736</v>
      </c>
      <c r="Q665" s="58">
        <f t="shared" si="139"/>
        <v>278.00790105263155</v>
      </c>
      <c r="R665" s="66">
        <f t="shared" si="140"/>
        <v>73.487913544500003</v>
      </c>
      <c r="S665" s="64">
        <f t="shared" si="141"/>
        <v>397.5</v>
      </c>
      <c r="T665" s="66">
        <f t="shared" si="142"/>
        <v>4670.2972589444998</v>
      </c>
      <c r="U665" s="68">
        <f t="shared" si="143"/>
        <v>44.05940810325</v>
      </c>
      <c r="V665" s="68">
        <f t="shared" si="144"/>
        <v>463.78324319210526</v>
      </c>
      <c r="W665" s="68">
        <f t="shared" si="145"/>
        <v>309.18882879473682</v>
      </c>
    </row>
    <row r="666" spans="1:23" x14ac:dyDescent="0.25">
      <c r="A666" s="169" t="s">
        <v>890</v>
      </c>
      <c r="B666" s="61" t="s">
        <v>396</v>
      </c>
      <c r="C666" s="61" t="s">
        <v>591</v>
      </c>
      <c r="D666" s="61" t="s">
        <v>594</v>
      </c>
      <c r="E666" s="1" t="s">
        <v>363</v>
      </c>
      <c r="F666" s="62" t="str">
        <f t="shared" si="146"/>
        <v>64514</v>
      </c>
      <c r="G666" s="1">
        <v>10620030</v>
      </c>
      <c r="H666" s="1" t="s">
        <v>387</v>
      </c>
      <c r="I666" s="61">
        <v>41</v>
      </c>
      <c r="J666" s="61">
        <v>6.9</v>
      </c>
      <c r="K666" s="61">
        <v>8.8000000000000007</v>
      </c>
      <c r="L666" s="69">
        <f t="shared" si="135"/>
        <v>2.8290000000000002</v>
      </c>
      <c r="M666" s="69">
        <f t="shared" si="136"/>
        <v>3.6080000000000001</v>
      </c>
      <c r="N666" s="56">
        <f>INDEX(Rate_Chart!$A$1:$AK$127,MATCH(Data!J666,Rate_Chart!$A$1:$A$127,0),MATCH(Data!K666,Rate_Chart!$A$1:$AK$1,0))</f>
        <v>57.038850000000004</v>
      </c>
      <c r="O666" s="57">
        <f t="shared" si="137"/>
        <v>2338.59285</v>
      </c>
      <c r="P666" s="58">
        <f t="shared" si="138"/>
        <v>446.77950391644907</v>
      </c>
      <c r="Q666" s="58">
        <f t="shared" si="139"/>
        <v>297.85300261096603</v>
      </c>
      <c r="R666" s="66">
        <f t="shared" si="140"/>
        <v>40.925374875000003</v>
      </c>
      <c r="S666" s="64">
        <f t="shared" si="141"/>
        <v>153.75</v>
      </c>
      <c r="T666" s="66">
        <f t="shared" si="142"/>
        <v>2533.2682248749998</v>
      </c>
      <c r="U666" s="68">
        <f t="shared" si="143"/>
        <v>61.787029874999995</v>
      </c>
      <c r="V666" s="68">
        <f t="shared" si="144"/>
        <v>483.97151338120096</v>
      </c>
      <c r="W666" s="68">
        <f t="shared" si="145"/>
        <v>322.64767558746729</v>
      </c>
    </row>
    <row r="667" spans="1:23" x14ac:dyDescent="0.25">
      <c r="A667" s="169" t="s">
        <v>890</v>
      </c>
      <c r="B667" s="61" t="s">
        <v>396</v>
      </c>
      <c r="C667" s="61" t="s">
        <v>591</v>
      </c>
      <c r="D667" s="61" t="s">
        <v>594</v>
      </c>
      <c r="E667" s="1" t="s">
        <v>363</v>
      </c>
      <c r="F667" s="62" t="str">
        <f t="shared" si="146"/>
        <v>64514</v>
      </c>
      <c r="G667" s="1">
        <v>10620030</v>
      </c>
      <c r="H667" s="1" t="s">
        <v>388</v>
      </c>
      <c r="I667" s="61">
        <v>25</v>
      </c>
      <c r="J667" s="61">
        <v>4.2</v>
      </c>
      <c r="K667" s="61">
        <v>8.1999999999999993</v>
      </c>
      <c r="L667" s="69">
        <f t="shared" si="135"/>
        <v>1.05</v>
      </c>
      <c r="M667" s="69">
        <f t="shared" si="136"/>
        <v>2.0499999999999998</v>
      </c>
      <c r="N667" s="56">
        <f>INDEX(Rate_Chart!$A$1:$AK$127,MATCH(Data!J667,Rate_Chart!$A$1:$A$127,0),MATCH(Data!K667,Rate_Chart!$A$1:$AK$1,0))</f>
        <v>40.311139799999999</v>
      </c>
      <c r="O667" s="57">
        <f t="shared" si="137"/>
        <v>1007.778495</v>
      </c>
      <c r="P667" s="58">
        <f t="shared" si="138"/>
        <v>417.01179103448277</v>
      </c>
      <c r="Q667" s="58">
        <f t="shared" si="139"/>
        <v>278.00786068965516</v>
      </c>
      <c r="R667" s="66">
        <f t="shared" si="140"/>
        <v>17.636123662500001</v>
      </c>
      <c r="S667" s="64">
        <f t="shared" si="141"/>
        <v>93.75</v>
      </c>
      <c r="T667" s="66">
        <f t="shared" si="142"/>
        <v>1119.1646186625001</v>
      </c>
      <c r="U667" s="68">
        <f t="shared" si="143"/>
        <v>44.766584746500001</v>
      </c>
      <c r="V667" s="68">
        <f t="shared" si="144"/>
        <v>463.10260082586211</v>
      </c>
      <c r="W667" s="68">
        <f t="shared" si="145"/>
        <v>308.73506721724141</v>
      </c>
    </row>
    <row r="668" spans="1:23" x14ac:dyDescent="0.25">
      <c r="A668" s="169" t="s">
        <v>890</v>
      </c>
      <c r="B668" s="61" t="s">
        <v>397</v>
      </c>
      <c r="C668" s="61" t="s">
        <v>591</v>
      </c>
      <c r="D668" s="61" t="s">
        <v>594</v>
      </c>
      <c r="E668" s="1" t="s">
        <v>363</v>
      </c>
      <c r="F668" s="62" t="str">
        <f t="shared" si="146"/>
        <v>64514</v>
      </c>
      <c r="G668" s="1">
        <v>10620030</v>
      </c>
      <c r="H668" s="1" t="s">
        <v>388</v>
      </c>
      <c r="I668" s="61">
        <v>91</v>
      </c>
      <c r="J668" s="61">
        <v>3.7</v>
      </c>
      <c r="K668" s="61">
        <v>8.1</v>
      </c>
      <c r="L668" s="69">
        <f t="shared" si="135"/>
        <v>3.367</v>
      </c>
      <c r="M668" s="69">
        <f t="shared" si="136"/>
        <v>7.3710000000000004</v>
      </c>
      <c r="N668" s="56">
        <f>INDEX(Rate_Chart!$A$1:$AK$127,MATCH(Data!J668,Rate_Chart!$A$1:$A$127,0),MATCH(Data!K668,Rate_Chart!$A$1:$AK$1,0))</f>
        <v>37.948125900000008</v>
      </c>
      <c r="O668" s="57">
        <f t="shared" si="137"/>
        <v>3453.2794569000007</v>
      </c>
      <c r="P668" s="58">
        <f t="shared" si="138"/>
        <v>417.01237252747262</v>
      </c>
      <c r="Q668" s="58">
        <f t="shared" si="139"/>
        <v>278.00824835164843</v>
      </c>
      <c r="R668" s="66">
        <f t="shared" si="140"/>
        <v>60.43239049575002</v>
      </c>
      <c r="S668" s="64">
        <f t="shared" si="141"/>
        <v>341.25</v>
      </c>
      <c r="T668" s="66">
        <f t="shared" si="142"/>
        <v>3854.9618473957507</v>
      </c>
      <c r="U668" s="68">
        <f t="shared" si="143"/>
        <v>42.362218103250008</v>
      </c>
      <c r="V668" s="68">
        <f t="shared" si="144"/>
        <v>465.51888025549459</v>
      </c>
      <c r="W668" s="68">
        <f t="shared" si="145"/>
        <v>310.34592017032975</v>
      </c>
    </row>
    <row r="669" spans="1:23" x14ac:dyDescent="0.25">
      <c r="A669" s="169" t="s">
        <v>891</v>
      </c>
      <c r="B669" s="61" t="s">
        <v>396</v>
      </c>
      <c r="C669" s="61" t="s">
        <v>591</v>
      </c>
      <c r="D669" s="61" t="s">
        <v>594</v>
      </c>
      <c r="E669" s="1" t="s">
        <v>363</v>
      </c>
      <c r="F669" s="62" t="str">
        <f t="shared" si="146"/>
        <v>64514</v>
      </c>
      <c r="G669" s="1">
        <v>10620030</v>
      </c>
      <c r="H669" s="1" t="s">
        <v>387</v>
      </c>
      <c r="I669" s="61">
        <v>78</v>
      </c>
      <c r="J669" s="61">
        <v>5.8</v>
      </c>
      <c r="K669" s="61">
        <v>8.6</v>
      </c>
      <c r="L669" s="69">
        <f t="shared" si="135"/>
        <v>4.524</v>
      </c>
      <c r="M669" s="69">
        <f t="shared" si="136"/>
        <v>6.7079999999999993</v>
      </c>
      <c r="N669" s="56">
        <f>INDEX(Rate_Chart!$A$1:$AK$127,MATCH(Data!J669,Rate_Chart!$A$1:$A$127,0),MATCH(Data!K669,Rate_Chart!$A$1:$AK$1,0))</f>
        <v>47.461399999999998</v>
      </c>
      <c r="O669" s="57">
        <f t="shared" si="137"/>
        <v>3701.9892</v>
      </c>
      <c r="P669" s="58">
        <f t="shared" si="138"/>
        <v>411.51502890173413</v>
      </c>
      <c r="Q669" s="58">
        <f t="shared" si="139"/>
        <v>274.34335260115608</v>
      </c>
      <c r="R669" s="66">
        <f t="shared" si="140"/>
        <v>64.784811000000005</v>
      </c>
      <c r="S669" s="64">
        <f t="shared" si="141"/>
        <v>292.5</v>
      </c>
      <c r="T669" s="66">
        <f t="shared" si="142"/>
        <v>4059.274011</v>
      </c>
      <c r="U669" s="68">
        <f t="shared" si="143"/>
        <v>52.041974500000002</v>
      </c>
      <c r="V669" s="68">
        <f t="shared" si="144"/>
        <v>451.23099277456657</v>
      </c>
      <c r="W669" s="68">
        <f t="shared" si="145"/>
        <v>300.82066184971103</v>
      </c>
    </row>
    <row r="670" spans="1:23" x14ac:dyDescent="0.25">
      <c r="A670" s="169" t="s">
        <v>891</v>
      </c>
      <c r="B670" s="61" t="s">
        <v>396</v>
      </c>
      <c r="C670" s="61" t="s">
        <v>591</v>
      </c>
      <c r="D670" s="61" t="s">
        <v>594</v>
      </c>
      <c r="E670" s="1" t="s">
        <v>363</v>
      </c>
      <c r="F670" s="62" t="str">
        <f t="shared" si="146"/>
        <v>64514</v>
      </c>
      <c r="G670" s="1">
        <v>10620030</v>
      </c>
      <c r="H670" s="1" t="s">
        <v>388</v>
      </c>
      <c r="I670" s="61">
        <v>36</v>
      </c>
      <c r="J670" s="61">
        <v>3.3</v>
      </c>
      <c r="K670" s="61">
        <v>8.1</v>
      </c>
      <c r="L670" s="69">
        <f t="shared" si="135"/>
        <v>1.1879999999999999</v>
      </c>
      <c r="M670" s="69">
        <f t="shared" si="136"/>
        <v>2.9159999999999995</v>
      </c>
      <c r="N670" s="56">
        <f>INDEX(Rate_Chart!$A$1:$AK$127,MATCH(Data!J670,Rate_Chart!$A$1:$A$127,0),MATCH(Data!K670,Rate_Chart!$A$1:$AK$1,0))</f>
        <v>36.280125900000002</v>
      </c>
      <c r="O670" s="57">
        <f t="shared" si="137"/>
        <v>1306.0845324000002</v>
      </c>
      <c r="P670" s="58">
        <f t="shared" si="138"/>
        <v>417.0129413793104</v>
      </c>
      <c r="Q670" s="58">
        <f t="shared" si="139"/>
        <v>278.00862758620696</v>
      </c>
      <c r="R670" s="66">
        <f t="shared" si="140"/>
        <v>22.856479317000005</v>
      </c>
      <c r="S670" s="64">
        <f t="shared" si="141"/>
        <v>135</v>
      </c>
      <c r="T670" s="66">
        <f t="shared" si="142"/>
        <v>1463.9410117170003</v>
      </c>
      <c r="U670" s="68">
        <f t="shared" si="143"/>
        <v>40.665028103250009</v>
      </c>
      <c r="V670" s="68">
        <f t="shared" si="144"/>
        <v>467.41411612931046</v>
      </c>
      <c r="W670" s="68">
        <f t="shared" si="145"/>
        <v>311.60941075287366</v>
      </c>
    </row>
    <row r="671" spans="1:23" x14ac:dyDescent="0.25">
      <c r="A671" s="169" t="s">
        <v>891</v>
      </c>
      <c r="B671" s="61" t="s">
        <v>397</v>
      </c>
      <c r="C671" s="61" t="s">
        <v>591</v>
      </c>
      <c r="D671" s="61" t="s">
        <v>594</v>
      </c>
      <c r="E671" s="1" t="s">
        <v>363</v>
      </c>
      <c r="F671" s="62" t="str">
        <f t="shared" si="146"/>
        <v>64514</v>
      </c>
      <c r="G671" s="1">
        <v>10620030</v>
      </c>
      <c r="H671" s="1" t="s">
        <v>387</v>
      </c>
      <c r="I671" s="61">
        <v>40</v>
      </c>
      <c r="J671" s="61">
        <v>5.6</v>
      </c>
      <c r="K671" s="61">
        <v>8.4</v>
      </c>
      <c r="L671" s="69">
        <f t="shared" si="135"/>
        <v>2.2400000000000002</v>
      </c>
      <c r="M671" s="69">
        <f t="shared" si="136"/>
        <v>3.36</v>
      </c>
      <c r="N671" s="56">
        <f>INDEX(Rate_Chart!$A$1:$AK$127,MATCH(Data!J671,Rate_Chart!$A$1:$A$127,0),MATCH(Data!K671,Rate_Chart!$A$1:$AK$1,0))</f>
        <v>45.357199999999999</v>
      </c>
      <c r="O671" s="57">
        <f t="shared" si="137"/>
        <v>1814.288</v>
      </c>
      <c r="P671" s="58">
        <f t="shared" si="138"/>
        <v>404.97500000000002</v>
      </c>
      <c r="Q671" s="58">
        <f t="shared" si="139"/>
        <v>269.98333333333335</v>
      </c>
      <c r="R671" s="66">
        <f t="shared" si="140"/>
        <v>31.750040000000002</v>
      </c>
      <c r="S671" s="64">
        <f t="shared" si="141"/>
        <v>150</v>
      </c>
      <c r="T671" s="66">
        <f t="shared" si="142"/>
        <v>1996.0380399999999</v>
      </c>
      <c r="U671" s="68">
        <f t="shared" si="143"/>
        <v>49.900950999999999</v>
      </c>
      <c r="V671" s="68">
        <f t="shared" si="144"/>
        <v>445.54420535714291</v>
      </c>
      <c r="W671" s="68">
        <f t="shared" si="145"/>
        <v>297.02947023809526</v>
      </c>
    </row>
    <row r="672" spans="1:23" x14ac:dyDescent="0.25">
      <c r="A672" s="169" t="s">
        <v>891</v>
      </c>
      <c r="B672" s="61" t="s">
        <v>397</v>
      </c>
      <c r="C672" s="61" t="s">
        <v>591</v>
      </c>
      <c r="D672" s="61" t="s">
        <v>594</v>
      </c>
      <c r="E672" s="1" t="s">
        <v>363</v>
      </c>
      <c r="F672" s="62" t="str">
        <f t="shared" si="146"/>
        <v>64514</v>
      </c>
      <c r="G672" s="1">
        <v>10620030</v>
      </c>
      <c r="H672" s="1" t="s">
        <v>388</v>
      </c>
      <c r="I672" s="61">
        <v>40</v>
      </c>
      <c r="J672" s="61">
        <v>3.1</v>
      </c>
      <c r="K672" s="61">
        <v>8.1</v>
      </c>
      <c r="L672" s="69">
        <f t="shared" si="135"/>
        <v>1.24</v>
      </c>
      <c r="M672" s="69">
        <f t="shared" si="136"/>
        <v>3.24</v>
      </c>
      <c r="N672" s="56">
        <f>INDEX(Rate_Chart!$A$1:$AK$127,MATCH(Data!J672,Rate_Chart!$A$1:$A$127,0),MATCH(Data!K672,Rate_Chart!$A$1:$AK$1,0))</f>
        <v>35.446125899999998</v>
      </c>
      <c r="O672" s="57">
        <f t="shared" si="137"/>
        <v>1417.8450359999999</v>
      </c>
      <c r="P672" s="58">
        <f t="shared" si="138"/>
        <v>417.01324588235298</v>
      </c>
      <c r="Q672" s="58">
        <f t="shared" si="139"/>
        <v>278.0088305882353</v>
      </c>
      <c r="R672" s="66">
        <f t="shared" si="140"/>
        <v>24.812288130000002</v>
      </c>
      <c r="S672" s="64">
        <f t="shared" si="141"/>
        <v>150</v>
      </c>
      <c r="T672" s="66">
        <f t="shared" si="142"/>
        <v>1592.65732413</v>
      </c>
      <c r="U672" s="68">
        <f t="shared" si="143"/>
        <v>39.816433103249999</v>
      </c>
      <c r="V672" s="68">
        <f t="shared" si="144"/>
        <v>468.42862474411766</v>
      </c>
      <c r="W672" s="68">
        <f t="shared" si="145"/>
        <v>312.28574982941177</v>
      </c>
    </row>
    <row r="673" spans="1:23" x14ac:dyDescent="0.25">
      <c r="A673" s="169" t="s">
        <v>892</v>
      </c>
      <c r="B673" s="61" t="s">
        <v>396</v>
      </c>
      <c r="C673" s="61" t="s">
        <v>591</v>
      </c>
      <c r="D673" s="61" t="s">
        <v>594</v>
      </c>
      <c r="E673" s="1" t="s">
        <v>363</v>
      </c>
      <c r="F673" s="62" t="str">
        <f t="shared" si="146"/>
        <v>64514</v>
      </c>
      <c r="G673" s="1">
        <v>10620030</v>
      </c>
      <c r="H673" s="1" t="s">
        <v>387</v>
      </c>
      <c r="I673" s="61">
        <v>72</v>
      </c>
      <c r="J673" s="61">
        <v>6.5</v>
      </c>
      <c r="K673" s="61">
        <v>8.8000000000000007</v>
      </c>
      <c r="L673" s="69">
        <f t="shared" si="135"/>
        <v>4.68</v>
      </c>
      <c r="M673" s="69">
        <f t="shared" si="136"/>
        <v>6.3360000000000003</v>
      </c>
      <c r="N673" s="56">
        <f>INDEX(Rate_Chart!$A$1:$AK$127,MATCH(Data!J673,Rate_Chart!$A$1:$A$127,0),MATCH(Data!K673,Rate_Chart!$A$1:$AK$1,0))</f>
        <v>53.732250000000001</v>
      </c>
      <c r="O673" s="57">
        <f t="shared" si="137"/>
        <v>3868.7220000000002</v>
      </c>
      <c r="P673" s="58">
        <f t="shared" si="138"/>
        <v>434.49258760107813</v>
      </c>
      <c r="Q673" s="58">
        <f t="shared" si="139"/>
        <v>289.66172506738542</v>
      </c>
      <c r="R673" s="66">
        <f t="shared" si="140"/>
        <v>67.702635000000015</v>
      </c>
      <c r="S673" s="64">
        <f t="shared" si="141"/>
        <v>270</v>
      </c>
      <c r="T673" s="66">
        <f t="shared" si="142"/>
        <v>4206.4246350000003</v>
      </c>
      <c r="U673" s="68">
        <f t="shared" si="143"/>
        <v>58.422564375000007</v>
      </c>
      <c r="V673" s="68">
        <f t="shared" si="144"/>
        <v>472.41965801886795</v>
      </c>
      <c r="W673" s="68">
        <f t="shared" si="145"/>
        <v>314.94643867924532</v>
      </c>
    </row>
    <row r="674" spans="1:23" x14ac:dyDescent="0.25">
      <c r="A674" s="169" t="s">
        <v>892</v>
      </c>
      <c r="B674" s="61" t="s">
        <v>396</v>
      </c>
      <c r="C674" s="61" t="s">
        <v>591</v>
      </c>
      <c r="D674" s="61" t="s">
        <v>594</v>
      </c>
      <c r="E674" s="1" t="s">
        <v>363</v>
      </c>
      <c r="F674" s="62" t="str">
        <f t="shared" si="146"/>
        <v>64514</v>
      </c>
      <c r="G674" s="1">
        <v>10620030</v>
      </c>
      <c r="H674" s="1" t="s">
        <v>388</v>
      </c>
      <c r="I674" s="61">
        <v>33</v>
      </c>
      <c r="J674" s="61">
        <v>3.1</v>
      </c>
      <c r="K674" s="61">
        <v>8.1</v>
      </c>
      <c r="L674" s="69">
        <f t="shared" si="135"/>
        <v>1.0229999999999999</v>
      </c>
      <c r="M674" s="69">
        <f t="shared" si="136"/>
        <v>2.673</v>
      </c>
      <c r="N674" s="56">
        <f>INDEX(Rate_Chart!$A$1:$AK$127,MATCH(Data!J674,Rate_Chart!$A$1:$A$127,0),MATCH(Data!K674,Rate_Chart!$A$1:$AK$1,0))</f>
        <v>35.446125899999998</v>
      </c>
      <c r="O674" s="57">
        <f t="shared" si="137"/>
        <v>1169.7221546999999</v>
      </c>
      <c r="P674" s="58">
        <f t="shared" si="138"/>
        <v>417.01324588235298</v>
      </c>
      <c r="Q674" s="58">
        <f t="shared" si="139"/>
        <v>278.0088305882353</v>
      </c>
      <c r="R674" s="66">
        <f t="shared" si="140"/>
        <v>20.47013770725</v>
      </c>
      <c r="S674" s="64">
        <f t="shared" si="141"/>
        <v>123.75</v>
      </c>
      <c r="T674" s="66">
        <f t="shared" si="142"/>
        <v>1313.9422924072499</v>
      </c>
      <c r="U674" s="68">
        <f t="shared" si="143"/>
        <v>39.816433103249999</v>
      </c>
      <c r="V674" s="68">
        <f t="shared" si="144"/>
        <v>468.42862474411766</v>
      </c>
      <c r="W674" s="68">
        <f t="shared" si="145"/>
        <v>312.28574982941177</v>
      </c>
    </row>
    <row r="675" spans="1:23" x14ac:dyDescent="0.25">
      <c r="A675" s="169" t="s">
        <v>892</v>
      </c>
      <c r="B675" s="61" t="s">
        <v>397</v>
      </c>
      <c r="C675" s="61" t="s">
        <v>591</v>
      </c>
      <c r="D675" s="61" t="s">
        <v>594</v>
      </c>
      <c r="E675" s="1" t="s">
        <v>363</v>
      </c>
      <c r="F675" s="62" t="str">
        <f t="shared" si="146"/>
        <v>64514</v>
      </c>
      <c r="G675" s="1">
        <v>10620030</v>
      </c>
      <c r="H675" s="1" t="s">
        <v>387</v>
      </c>
      <c r="I675" s="61">
        <v>56</v>
      </c>
      <c r="J675" s="61">
        <v>5.6</v>
      </c>
      <c r="K675" s="61">
        <v>8.4</v>
      </c>
      <c r="L675" s="69">
        <f t="shared" si="135"/>
        <v>3.1359999999999997</v>
      </c>
      <c r="M675" s="69">
        <f t="shared" si="136"/>
        <v>4.7040000000000006</v>
      </c>
      <c r="N675" s="56">
        <f>INDEX(Rate_Chart!$A$1:$AK$127,MATCH(Data!J675,Rate_Chart!$A$1:$A$127,0),MATCH(Data!K675,Rate_Chart!$A$1:$AK$1,0))</f>
        <v>45.357199999999999</v>
      </c>
      <c r="O675" s="57">
        <f t="shared" si="137"/>
        <v>2540.0032000000001</v>
      </c>
      <c r="P675" s="58">
        <f t="shared" si="138"/>
        <v>404.97500000000002</v>
      </c>
      <c r="Q675" s="58">
        <f t="shared" si="139"/>
        <v>269.98333333333335</v>
      </c>
      <c r="R675" s="66">
        <f t="shared" si="140"/>
        <v>44.450056000000004</v>
      </c>
      <c r="S675" s="64">
        <f t="shared" si="141"/>
        <v>210</v>
      </c>
      <c r="T675" s="66">
        <f t="shared" si="142"/>
        <v>2794.4532560000002</v>
      </c>
      <c r="U675" s="68">
        <f t="shared" si="143"/>
        <v>49.900951000000006</v>
      </c>
      <c r="V675" s="68">
        <f t="shared" si="144"/>
        <v>445.54420535714297</v>
      </c>
      <c r="W675" s="68">
        <f t="shared" si="145"/>
        <v>297.02947023809531</v>
      </c>
    </row>
    <row r="676" spans="1:23" x14ac:dyDescent="0.25">
      <c r="A676" s="169" t="s">
        <v>892</v>
      </c>
      <c r="B676" s="61" t="s">
        <v>397</v>
      </c>
      <c r="C676" s="61" t="s">
        <v>591</v>
      </c>
      <c r="D676" s="61" t="s">
        <v>594</v>
      </c>
      <c r="E676" s="1" t="s">
        <v>363</v>
      </c>
      <c r="F676" s="62" t="str">
        <f t="shared" si="146"/>
        <v>64514</v>
      </c>
      <c r="G676" s="1">
        <v>10620030</v>
      </c>
      <c r="H676" s="1" t="s">
        <v>388</v>
      </c>
      <c r="I676" s="61">
        <v>41</v>
      </c>
      <c r="J676" s="61">
        <v>3.1</v>
      </c>
      <c r="K676" s="61">
        <v>8.1</v>
      </c>
      <c r="L676" s="69">
        <f t="shared" si="135"/>
        <v>1.2710000000000001</v>
      </c>
      <c r="M676" s="69">
        <f t="shared" si="136"/>
        <v>3.3209999999999997</v>
      </c>
      <c r="N676" s="56">
        <f>INDEX(Rate_Chart!$A$1:$AK$127,MATCH(Data!J676,Rate_Chart!$A$1:$A$127,0),MATCH(Data!K676,Rate_Chart!$A$1:$AK$1,0))</f>
        <v>35.446125899999998</v>
      </c>
      <c r="O676" s="57">
        <f t="shared" si="137"/>
        <v>1453.2911618999999</v>
      </c>
      <c r="P676" s="58">
        <f t="shared" si="138"/>
        <v>417.01324588235298</v>
      </c>
      <c r="Q676" s="58">
        <f t="shared" si="139"/>
        <v>278.0088305882353</v>
      </c>
      <c r="R676" s="66">
        <f t="shared" si="140"/>
        <v>25.432595333249999</v>
      </c>
      <c r="S676" s="64">
        <f t="shared" si="141"/>
        <v>153.75</v>
      </c>
      <c r="T676" s="66">
        <f t="shared" si="142"/>
        <v>1632.4737572332499</v>
      </c>
      <c r="U676" s="68">
        <f t="shared" si="143"/>
        <v>39.816433103249999</v>
      </c>
      <c r="V676" s="68">
        <f t="shared" si="144"/>
        <v>468.42862474411766</v>
      </c>
      <c r="W676" s="68">
        <f t="shared" si="145"/>
        <v>312.28574982941177</v>
      </c>
    </row>
    <row r="677" spans="1:23" x14ac:dyDescent="0.25">
      <c r="A677" s="169" t="s">
        <v>893</v>
      </c>
      <c r="B677" s="61" t="s">
        <v>396</v>
      </c>
      <c r="C677" s="61" t="s">
        <v>591</v>
      </c>
      <c r="D677" s="61" t="s">
        <v>594</v>
      </c>
      <c r="E677" s="1" t="s">
        <v>363</v>
      </c>
      <c r="F677" s="62" t="str">
        <f t="shared" si="146"/>
        <v>64514</v>
      </c>
      <c r="G677" s="1">
        <v>10620030</v>
      </c>
      <c r="H677" s="1" t="s">
        <v>387</v>
      </c>
      <c r="I677" s="61">
        <v>61</v>
      </c>
      <c r="J677" s="61">
        <v>6.2</v>
      </c>
      <c r="K677" s="61">
        <v>8.8000000000000007</v>
      </c>
      <c r="L677" s="69">
        <f t="shared" si="135"/>
        <v>3.782</v>
      </c>
      <c r="M677" s="69">
        <f t="shared" si="136"/>
        <v>5.3680000000000003</v>
      </c>
      <c r="N677" s="56">
        <f>INDEX(Rate_Chart!$A$1:$AK$127,MATCH(Data!J677,Rate_Chart!$A$1:$A$127,0),MATCH(Data!K677,Rate_Chart!$A$1:$AK$1,0))</f>
        <v>51.252300000000005</v>
      </c>
      <c r="O677" s="57">
        <f t="shared" si="137"/>
        <v>3126.3903000000005</v>
      </c>
      <c r="P677" s="58">
        <f t="shared" si="138"/>
        <v>424.74281767955802</v>
      </c>
      <c r="Q677" s="58">
        <f t="shared" si="139"/>
        <v>283.1618784530387</v>
      </c>
      <c r="R677" s="66">
        <f t="shared" si="140"/>
        <v>54.711830250000013</v>
      </c>
      <c r="S677" s="64">
        <f t="shared" si="141"/>
        <v>228.75</v>
      </c>
      <c r="T677" s="66">
        <f t="shared" si="142"/>
        <v>3409.8521302500003</v>
      </c>
      <c r="U677" s="68">
        <f t="shared" si="143"/>
        <v>55.899215250000005</v>
      </c>
      <c r="V677" s="68">
        <f t="shared" si="144"/>
        <v>463.25316505524864</v>
      </c>
      <c r="W677" s="68">
        <f t="shared" si="145"/>
        <v>308.83544337016576</v>
      </c>
    </row>
    <row r="678" spans="1:23" x14ac:dyDescent="0.25">
      <c r="A678" s="169" t="s">
        <v>893</v>
      </c>
      <c r="B678" s="61" t="s">
        <v>396</v>
      </c>
      <c r="C678" s="61" t="s">
        <v>591</v>
      </c>
      <c r="D678" s="61" t="s">
        <v>594</v>
      </c>
      <c r="E678" s="1" t="s">
        <v>363</v>
      </c>
      <c r="F678" s="62" t="str">
        <f t="shared" si="146"/>
        <v>64514</v>
      </c>
      <c r="G678" s="1">
        <v>10620030</v>
      </c>
      <c r="H678" s="1" t="s">
        <v>388</v>
      </c>
      <c r="I678" s="61">
        <v>38</v>
      </c>
      <c r="J678" s="61">
        <v>3.2</v>
      </c>
      <c r="K678" s="61">
        <v>8.1</v>
      </c>
      <c r="L678" s="69">
        <f t="shared" si="135"/>
        <v>1.2160000000000002</v>
      </c>
      <c r="M678" s="69">
        <f t="shared" si="136"/>
        <v>3.0780000000000003</v>
      </c>
      <c r="N678" s="56">
        <f>INDEX(Rate_Chart!$A$1:$AK$127,MATCH(Data!J678,Rate_Chart!$A$1:$A$127,0),MATCH(Data!K678,Rate_Chart!$A$1:$AK$1,0))</f>
        <v>35.8631259</v>
      </c>
      <c r="O678" s="57">
        <f t="shared" si="137"/>
        <v>1362.7987842</v>
      </c>
      <c r="P678" s="58">
        <f t="shared" si="138"/>
        <v>417.01309186046512</v>
      </c>
      <c r="Q678" s="58">
        <f t="shared" si="139"/>
        <v>278.00872790697673</v>
      </c>
      <c r="R678" s="66">
        <f t="shared" si="140"/>
        <v>23.848978723500004</v>
      </c>
      <c r="S678" s="64">
        <f t="shared" si="141"/>
        <v>142.5</v>
      </c>
      <c r="T678" s="66">
        <f t="shared" si="142"/>
        <v>1529.1477629235001</v>
      </c>
      <c r="U678" s="68">
        <f t="shared" si="143"/>
        <v>40.24073060325</v>
      </c>
      <c r="V678" s="68">
        <f t="shared" si="144"/>
        <v>467.91547213081401</v>
      </c>
      <c r="W678" s="68">
        <f t="shared" si="145"/>
        <v>311.94364808720934</v>
      </c>
    </row>
    <row r="679" spans="1:23" x14ac:dyDescent="0.25">
      <c r="A679" s="169" t="s">
        <v>893</v>
      </c>
      <c r="B679" s="61" t="s">
        <v>397</v>
      </c>
      <c r="C679" s="61" t="s">
        <v>591</v>
      </c>
      <c r="D679" s="61" t="s">
        <v>594</v>
      </c>
      <c r="E679" s="1" t="s">
        <v>363</v>
      </c>
      <c r="F679" s="62" t="str">
        <f t="shared" si="146"/>
        <v>64514</v>
      </c>
      <c r="G679" s="1">
        <v>10620030</v>
      </c>
      <c r="H679" s="1" t="s">
        <v>388</v>
      </c>
      <c r="I679" s="61">
        <v>90</v>
      </c>
      <c r="J679" s="61">
        <v>3.6</v>
      </c>
      <c r="K679" s="61">
        <v>8.1</v>
      </c>
      <c r="L679" s="69">
        <f t="shared" si="135"/>
        <v>3.24</v>
      </c>
      <c r="M679" s="69">
        <f t="shared" si="136"/>
        <v>7.29</v>
      </c>
      <c r="N679" s="56">
        <f>INDEX(Rate_Chart!$A$1:$AK$127,MATCH(Data!J679,Rate_Chart!$A$1:$A$127,0),MATCH(Data!K679,Rate_Chart!$A$1:$AK$1,0))</f>
        <v>37.531125900000006</v>
      </c>
      <c r="O679" s="57">
        <f t="shared" si="137"/>
        <v>3377.8013310000006</v>
      </c>
      <c r="P679" s="58">
        <f t="shared" si="138"/>
        <v>417.01251000000008</v>
      </c>
      <c r="Q679" s="58">
        <f t="shared" si="139"/>
        <v>278.00834000000003</v>
      </c>
      <c r="R679" s="66">
        <f t="shared" si="140"/>
        <v>59.111523292500017</v>
      </c>
      <c r="S679" s="64">
        <f t="shared" si="141"/>
        <v>337.5</v>
      </c>
      <c r="T679" s="66">
        <f t="shared" si="142"/>
        <v>3774.4128542925005</v>
      </c>
      <c r="U679" s="68">
        <f t="shared" si="143"/>
        <v>41.937920603250006</v>
      </c>
      <c r="V679" s="68">
        <f t="shared" si="144"/>
        <v>465.97689559166673</v>
      </c>
      <c r="W679" s="68">
        <f t="shared" si="145"/>
        <v>310.6512637277778</v>
      </c>
    </row>
    <row r="680" spans="1:23" x14ac:dyDescent="0.25">
      <c r="A680" s="169" t="s">
        <v>894</v>
      </c>
      <c r="B680" s="61" t="s">
        <v>396</v>
      </c>
      <c r="C680" s="61" t="s">
        <v>591</v>
      </c>
      <c r="D680" s="61" t="s">
        <v>594</v>
      </c>
      <c r="E680" s="1" t="s">
        <v>363</v>
      </c>
      <c r="F680" s="62" t="str">
        <f t="shared" si="146"/>
        <v>64514</v>
      </c>
      <c r="G680" s="1">
        <v>10620030</v>
      </c>
      <c r="H680" s="1" t="s">
        <v>387</v>
      </c>
      <c r="I680" s="61">
        <v>70</v>
      </c>
      <c r="J680" s="61">
        <v>5.8</v>
      </c>
      <c r="K680" s="61">
        <v>8.4</v>
      </c>
      <c r="L680" s="69">
        <f t="shared" si="135"/>
        <v>4.0599999999999996</v>
      </c>
      <c r="M680" s="69">
        <f t="shared" si="136"/>
        <v>5.88</v>
      </c>
      <c r="N680" s="56">
        <f>INDEX(Rate_Chart!$A$1:$AK$127,MATCH(Data!J680,Rate_Chart!$A$1:$A$127,0),MATCH(Data!K680,Rate_Chart!$A$1:$AK$1,0))</f>
        <v>46.9771</v>
      </c>
      <c r="O680" s="57">
        <f t="shared" si="137"/>
        <v>3288.3969999999999</v>
      </c>
      <c r="P680" s="58">
        <f t="shared" si="138"/>
        <v>412.07982456140354</v>
      </c>
      <c r="Q680" s="58">
        <f t="shared" si="139"/>
        <v>274.71988304093571</v>
      </c>
      <c r="R680" s="66">
        <f t="shared" si="140"/>
        <v>57.546947500000002</v>
      </c>
      <c r="S680" s="64">
        <f t="shared" si="141"/>
        <v>262.5</v>
      </c>
      <c r="T680" s="66">
        <f t="shared" si="142"/>
        <v>3608.4439474999999</v>
      </c>
      <c r="U680" s="68">
        <f t="shared" si="143"/>
        <v>51.549199250000001</v>
      </c>
      <c r="V680" s="68">
        <f t="shared" si="144"/>
        <v>452.18595833333336</v>
      </c>
      <c r="W680" s="68">
        <f t="shared" si="145"/>
        <v>301.45730555555559</v>
      </c>
    </row>
    <row r="681" spans="1:23" x14ac:dyDescent="0.25">
      <c r="A681" s="169" t="s">
        <v>894</v>
      </c>
      <c r="B681" s="61" t="s">
        <v>396</v>
      </c>
      <c r="C681" s="61" t="s">
        <v>591</v>
      </c>
      <c r="D681" s="61" t="s">
        <v>594</v>
      </c>
      <c r="E681" s="1" t="s">
        <v>363</v>
      </c>
      <c r="F681" s="62" t="str">
        <f t="shared" si="146"/>
        <v>64514</v>
      </c>
      <c r="G681" s="1">
        <v>10620030</v>
      </c>
      <c r="H681" s="1" t="s">
        <v>388</v>
      </c>
      <c r="I681" s="61">
        <v>38</v>
      </c>
      <c r="J681" s="61">
        <v>3</v>
      </c>
      <c r="K681" s="61">
        <v>8</v>
      </c>
      <c r="L681" s="69">
        <f t="shared" si="135"/>
        <v>1.1399999999999999</v>
      </c>
      <c r="M681" s="69">
        <f t="shared" si="136"/>
        <v>3.04</v>
      </c>
      <c r="N681" s="56">
        <f>INDEX(Rate_Chart!$A$1:$AK$127,MATCH(Data!J681,Rate_Chart!$A$1:$A$127,0),MATCH(Data!K681,Rate_Chart!$A$1:$AK$1,0))</f>
        <v>34.751112000000006</v>
      </c>
      <c r="O681" s="57">
        <f t="shared" si="137"/>
        <v>1320.5422560000002</v>
      </c>
      <c r="P681" s="58">
        <f t="shared" si="138"/>
        <v>417.01334400000002</v>
      </c>
      <c r="Q681" s="58">
        <f t="shared" si="139"/>
        <v>278.00889599999999</v>
      </c>
      <c r="R681" s="66">
        <f t="shared" si="140"/>
        <v>23.109489480000004</v>
      </c>
      <c r="S681" s="64">
        <f t="shared" si="141"/>
        <v>142.5</v>
      </c>
      <c r="T681" s="66">
        <f t="shared" si="142"/>
        <v>1486.1517454800003</v>
      </c>
      <c r="U681" s="68">
        <f t="shared" si="143"/>
        <v>39.109256460000005</v>
      </c>
      <c r="V681" s="68">
        <f t="shared" si="144"/>
        <v>469.31107752000003</v>
      </c>
      <c r="W681" s="68">
        <f t="shared" si="145"/>
        <v>312.87405168000004</v>
      </c>
    </row>
    <row r="682" spans="1:23" x14ac:dyDescent="0.25">
      <c r="A682" s="169" t="s">
        <v>894</v>
      </c>
      <c r="B682" s="61" t="s">
        <v>397</v>
      </c>
      <c r="C682" s="61" t="s">
        <v>591</v>
      </c>
      <c r="D682" s="61" t="s">
        <v>594</v>
      </c>
      <c r="E682" s="1" t="s">
        <v>363</v>
      </c>
      <c r="F682" s="62" t="str">
        <f t="shared" si="146"/>
        <v>64514</v>
      </c>
      <c r="G682" s="1">
        <v>10620030</v>
      </c>
      <c r="H682" s="1" t="s">
        <v>387</v>
      </c>
      <c r="I682" s="61">
        <v>55</v>
      </c>
      <c r="J682" s="61">
        <v>5.6</v>
      </c>
      <c r="K682" s="61">
        <v>8.4</v>
      </c>
      <c r="L682" s="69">
        <f t="shared" si="135"/>
        <v>3.08</v>
      </c>
      <c r="M682" s="69">
        <f t="shared" si="136"/>
        <v>4.62</v>
      </c>
      <c r="N682" s="56">
        <f>INDEX(Rate_Chart!$A$1:$AK$127,MATCH(Data!J682,Rate_Chart!$A$1:$A$127,0),MATCH(Data!K682,Rate_Chart!$A$1:$AK$1,0))</f>
        <v>45.357199999999999</v>
      </c>
      <c r="O682" s="57">
        <f t="shared" si="137"/>
        <v>2494.6459999999997</v>
      </c>
      <c r="P682" s="58">
        <f t="shared" si="138"/>
        <v>404.97500000000002</v>
      </c>
      <c r="Q682" s="58">
        <f t="shared" si="139"/>
        <v>269.98333333333335</v>
      </c>
      <c r="R682" s="66">
        <f t="shared" si="140"/>
        <v>43.656304999999996</v>
      </c>
      <c r="S682" s="64">
        <f t="shared" si="141"/>
        <v>206.25</v>
      </c>
      <c r="T682" s="66">
        <f t="shared" si="142"/>
        <v>2744.5523049999997</v>
      </c>
      <c r="U682" s="68">
        <f t="shared" si="143"/>
        <v>49.900950999999992</v>
      </c>
      <c r="V682" s="68">
        <f t="shared" si="144"/>
        <v>445.54420535714286</v>
      </c>
      <c r="W682" s="68">
        <f t="shared" si="145"/>
        <v>297.02947023809526</v>
      </c>
    </row>
    <row r="683" spans="1:23" x14ac:dyDescent="0.25">
      <c r="A683" s="169" t="s">
        <v>894</v>
      </c>
      <c r="B683" s="61" t="s">
        <v>397</v>
      </c>
      <c r="C683" s="61" t="s">
        <v>591</v>
      </c>
      <c r="D683" s="61" t="s">
        <v>594</v>
      </c>
      <c r="E683" s="1" t="s">
        <v>363</v>
      </c>
      <c r="F683" s="62" t="str">
        <f t="shared" si="146"/>
        <v>64514</v>
      </c>
      <c r="G683" s="1">
        <v>10620030</v>
      </c>
      <c r="H683" s="1" t="s">
        <v>388</v>
      </c>
      <c r="I683" s="61">
        <v>34</v>
      </c>
      <c r="J683" s="61">
        <v>3.1</v>
      </c>
      <c r="K683" s="61">
        <v>8.1</v>
      </c>
      <c r="L683" s="69">
        <f t="shared" si="135"/>
        <v>1.054</v>
      </c>
      <c r="M683" s="69">
        <f t="shared" si="136"/>
        <v>2.7539999999999996</v>
      </c>
      <c r="N683" s="56">
        <f>INDEX(Rate_Chart!$A$1:$AK$127,MATCH(Data!J683,Rate_Chart!$A$1:$A$127,0),MATCH(Data!K683,Rate_Chart!$A$1:$AK$1,0))</f>
        <v>35.446125899999998</v>
      </c>
      <c r="O683" s="57">
        <f t="shared" si="137"/>
        <v>1205.1682805999999</v>
      </c>
      <c r="P683" s="58">
        <f t="shared" si="138"/>
        <v>417.01324588235298</v>
      </c>
      <c r="Q683" s="58">
        <f t="shared" si="139"/>
        <v>278.0088305882353</v>
      </c>
      <c r="R683" s="66">
        <f t="shared" si="140"/>
        <v>21.0904449105</v>
      </c>
      <c r="S683" s="64">
        <f t="shared" si="141"/>
        <v>127.5</v>
      </c>
      <c r="T683" s="66">
        <f t="shared" si="142"/>
        <v>1353.7587255105</v>
      </c>
      <c r="U683" s="68">
        <f t="shared" si="143"/>
        <v>39.816433103249999</v>
      </c>
      <c r="V683" s="68">
        <f t="shared" si="144"/>
        <v>468.42862474411766</v>
      </c>
      <c r="W683" s="68">
        <f t="shared" si="145"/>
        <v>312.28574982941177</v>
      </c>
    </row>
    <row r="684" spans="1:23" x14ac:dyDescent="0.25">
      <c r="A684" s="169" t="s">
        <v>888</v>
      </c>
      <c r="B684" s="61" t="s">
        <v>396</v>
      </c>
      <c r="C684" s="61" t="s">
        <v>591</v>
      </c>
      <c r="D684" s="61" t="s">
        <v>595</v>
      </c>
      <c r="E684" s="1" t="s">
        <v>364</v>
      </c>
      <c r="F684" s="62" t="str">
        <f t="shared" si="146"/>
        <v>64515</v>
      </c>
      <c r="G684" s="1">
        <v>10620012</v>
      </c>
      <c r="H684" s="1" t="s">
        <v>387</v>
      </c>
      <c r="I684" s="61">
        <v>60</v>
      </c>
      <c r="J684" s="61">
        <v>6.4</v>
      </c>
      <c r="K684" s="61">
        <v>8.8000000000000007</v>
      </c>
      <c r="L684" s="69">
        <f t="shared" si="135"/>
        <v>3.84</v>
      </c>
      <c r="M684" s="69">
        <f t="shared" si="136"/>
        <v>5.28</v>
      </c>
      <c r="N684" s="56">
        <f>INDEX(Rate_Chart!$A$1:$AK$127,MATCH(Data!J684,Rate_Chart!$A$1:$A$127,0),MATCH(Data!K684,Rate_Chart!$A$1:$AK$1,0))</f>
        <v>52.9056</v>
      </c>
      <c r="O684" s="57">
        <f t="shared" si="137"/>
        <v>3174.3359999999998</v>
      </c>
      <c r="P684" s="58">
        <f t="shared" si="138"/>
        <v>431.29565217391303</v>
      </c>
      <c r="Q684" s="58">
        <f t="shared" si="139"/>
        <v>287.53043478260867</v>
      </c>
      <c r="R684" s="66">
        <f t="shared" si="140"/>
        <v>55.550879999999999</v>
      </c>
      <c r="S684" s="64">
        <f t="shared" si="141"/>
        <v>225</v>
      </c>
      <c r="T684" s="66">
        <f t="shared" si="142"/>
        <v>3454.88688</v>
      </c>
      <c r="U684" s="68">
        <f t="shared" si="143"/>
        <v>57.581448000000002</v>
      </c>
      <c r="V684" s="68">
        <f t="shared" si="144"/>
        <v>469.41397826086956</v>
      </c>
      <c r="W684" s="68">
        <f t="shared" si="145"/>
        <v>312.94265217391302</v>
      </c>
    </row>
    <row r="685" spans="1:23" x14ac:dyDescent="0.25">
      <c r="A685" s="169" t="s">
        <v>888</v>
      </c>
      <c r="B685" s="61" t="s">
        <v>396</v>
      </c>
      <c r="C685" s="61" t="s">
        <v>591</v>
      </c>
      <c r="D685" s="61" t="s">
        <v>595</v>
      </c>
      <c r="E685" s="1" t="s">
        <v>364</v>
      </c>
      <c r="F685" s="62" t="str">
        <f t="shared" si="146"/>
        <v>64515</v>
      </c>
      <c r="G685" s="1">
        <v>10620012</v>
      </c>
      <c r="H685" s="1" t="s">
        <v>388</v>
      </c>
      <c r="I685" s="61">
        <v>24</v>
      </c>
      <c r="J685" s="61">
        <v>3.7</v>
      </c>
      <c r="K685" s="61">
        <v>8</v>
      </c>
      <c r="L685" s="69">
        <f t="shared" si="135"/>
        <v>0.88800000000000012</v>
      </c>
      <c r="M685" s="69">
        <f t="shared" si="136"/>
        <v>1.92</v>
      </c>
      <c r="N685" s="56">
        <f>INDEX(Rate_Chart!$A$1:$AK$127,MATCH(Data!J685,Rate_Chart!$A$1:$A$127,0),MATCH(Data!K685,Rate_Chart!$A$1:$AK$1,0))</f>
        <v>37.670112000000003</v>
      </c>
      <c r="O685" s="57">
        <f t="shared" si="137"/>
        <v>904.08268800000008</v>
      </c>
      <c r="P685" s="58">
        <f t="shared" si="138"/>
        <v>417.0123099630996</v>
      </c>
      <c r="Q685" s="58">
        <f t="shared" si="139"/>
        <v>278.0082066420664</v>
      </c>
      <c r="R685" s="66">
        <f t="shared" si="140"/>
        <v>15.821447040000002</v>
      </c>
      <c r="S685" s="64">
        <f t="shared" si="141"/>
        <v>90</v>
      </c>
      <c r="T685" s="66">
        <f t="shared" si="142"/>
        <v>1009.90413504</v>
      </c>
      <c r="U685" s="68">
        <f t="shared" si="143"/>
        <v>42.079338960000001</v>
      </c>
      <c r="V685" s="68">
        <f t="shared" si="144"/>
        <v>465.82294051660512</v>
      </c>
      <c r="W685" s="68">
        <f t="shared" si="145"/>
        <v>310.5486270110701</v>
      </c>
    </row>
    <row r="686" spans="1:23" x14ac:dyDescent="0.25">
      <c r="A686" s="169" t="s">
        <v>888</v>
      </c>
      <c r="B686" s="61" t="s">
        <v>397</v>
      </c>
      <c r="C686" s="61" t="s">
        <v>591</v>
      </c>
      <c r="D686" s="61" t="s">
        <v>595</v>
      </c>
      <c r="E686" s="1" t="s">
        <v>364</v>
      </c>
      <c r="F686" s="62" t="str">
        <f t="shared" si="146"/>
        <v>64515</v>
      </c>
      <c r="G686" s="1">
        <v>10620012</v>
      </c>
      <c r="H686" s="1" t="s">
        <v>387</v>
      </c>
      <c r="I686" s="61">
        <v>33</v>
      </c>
      <c r="J686" s="61">
        <v>5.9</v>
      </c>
      <c r="K686" s="61">
        <v>8.6</v>
      </c>
      <c r="L686" s="69">
        <f t="shared" si="135"/>
        <v>1.9470000000000001</v>
      </c>
      <c r="M686" s="69">
        <f t="shared" si="136"/>
        <v>2.8380000000000001</v>
      </c>
      <c r="N686" s="56">
        <f>INDEX(Rate_Chart!$A$1:$AK$127,MATCH(Data!J686,Rate_Chart!$A$1:$A$127,0),MATCH(Data!K686,Rate_Chart!$A$1:$AK$1,0))</f>
        <v>48.279699999999998</v>
      </c>
      <c r="O686" s="57">
        <f t="shared" si="137"/>
        <v>1593.2301</v>
      </c>
      <c r="P686" s="58">
        <f t="shared" si="138"/>
        <v>415.01174785100284</v>
      </c>
      <c r="Q686" s="58">
        <f t="shared" si="139"/>
        <v>276.67449856733521</v>
      </c>
      <c r="R686" s="66">
        <f t="shared" si="140"/>
        <v>27.881526750000003</v>
      </c>
      <c r="S686" s="64">
        <f t="shared" si="141"/>
        <v>123.75</v>
      </c>
      <c r="T686" s="66">
        <f t="shared" si="142"/>
        <v>1744.8616267499999</v>
      </c>
      <c r="U686" s="68">
        <f t="shared" si="143"/>
        <v>52.87459475</v>
      </c>
      <c r="V686" s="68">
        <f t="shared" si="144"/>
        <v>454.50941045845275</v>
      </c>
      <c r="W686" s="68">
        <f t="shared" si="145"/>
        <v>303.00627363896848</v>
      </c>
    </row>
    <row r="687" spans="1:23" x14ac:dyDescent="0.25">
      <c r="A687" s="169" t="s">
        <v>888</v>
      </c>
      <c r="B687" s="61" t="s">
        <v>397</v>
      </c>
      <c r="C687" s="61" t="s">
        <v>591</v>
      </c>
      <c r="D687" s="61" t="s">
        <v>595</v>
      </c>
      <c r="E687" s="1" t="s">
        <v>364</v>
      </c>
      <c r="F687" s="62" t="str">
        <f t="shared" si="146"/>
        <v>64515</v>
      </c>
      <c r="G687" s="1">
        <v>10620012</v>
      </c>
      <c r="H687" s="1" t="s">
        <v>388</v>
      </c>
      <c r="I687" s="61">
        <v>21</v>
      </c>
      <c r="J687" s="61">
        <v>3</v>
      </c>
      <c r="K687" s="61">
        <v>8</v>
      </c>
      <c r="L687" s="69">
        <f t="shared" si="135"/>
        <v>0.63</v>
      </c>
      <c r="M687" s="69">
        <f t="shared" si="136"/>
        <v>1.68</v>
      </c>
      <c r="N687" s="56">
        <f>INDEX(Rate_Chart!$A$1:$AK$127,MATCH(Data!J687,Rate_Chart!$A$1:$A$127,0),MATCH(Data!K687,Rate_Chart!$A$1:$AK$1,0))</f>
        <v>34.751112000000006</v>
      </c>
      <c r="O687" s="57">
        <f t="shared" si="137"/>
        <v>729.77335200000016</v>
      </c>
      <c r="P687" s="58">
        <f t="shared" si="138"/>
        <v>417.01334400000002</v>
      </c>
      <c r="Q687" s="58">
        <f t="shared" si="139"/>
        <v>278.00889599999999</v>
      </c>
      <c r="R687" s="66">
        <f t="shared" si="140"/>
        <v>12.771033660000004</v>
      </c>
      <c r="S687" s="64">
        <f t="shared" si="141"/>
        <v>78.75</v>
      </c>
      <c r="T687" s="66">
        <f t="shared" si="142"/>
        <v>821.29438566000022</v>
      </c>
      <c r="U687" s="68">
        <f t="shared" si="143"/>
        <v>39.109256460000012</v>
      </c>
      <c r="V687" s="68">
        <f t="shared" si="144"/>
        <v>469.31107752000008</v>
      </c>
      <c r="W687" s="68">
        <f t="shared" si="145"/>
        <v>312.87405168000004</v>
      </c>
    </row>
    <row r="688" spans="1:23" x14ac:dyDescent="0.25">
      <c r="A688" s="169" t="s">
        <v>889</v>
      </c>
      <c r="B688" s="61" t="s">
        <v>396</v>
      </c>
      <c r="C688" s="61" t="s">
        <v>591</v>
      </c>
      <c r="D688" s="61" t="s">
        <v>595</v>
      </c>
      <c r="E688" s="1" t="s">
        <v>364</v>
      </c>
      <c r="F688" s="62" t="str">
        <f t="shared" si="146"/>
        <v>64515</v>
      </c>
      <c r="G688" s="1">
        <v>10620012</v>
      </c>
      <c r="H688" s="1" t="s">
        <v>387</v>
      </c>
      <c r="I688" s="61">
        <v>57</v>
      </c>
      <c r="J688" s="61">
        <v>6.3</v>
      </c>
      <c r="K688" s="61">
        <v>8.8000000000000007</v>
      </c>
      <c r="L688" s="69">
        <f t="shared" ref="L688:L751" si="147">J688*I688/100</f>
        <v>3.5909999999999997</v>
      </c>
      <c r="M688" s="69">
        <f t="shared" ref="M688:M751" si="148">K688*I688/100</f>
        <v>5.016</v>
      </c>
      <c r="N688" s="56">
        <f>INDEX(Rate_Chart!$A$1:$AK$127,MATCH(Data!J688,Rate_Chart!$A$1:$A$127,0),MATCH(Data!K688,Rate_Chart!$A$1:$AK$1,0))</f>
        <v>52.078949999999999</v>
      </c>
      <c r="O688" s="57">
        <f t="shared" ref="O688:O751" si="149">N688*I688</f>
        <v>2968.5001499999998</v>
      </c>
      <c r="P688" s="58">
        <f t="shared" ref="P688:P751" si="150">N688/(J688%+K688%*2/3)</f>
        <v>428.04616438356163</v>
      </c>
      <c r="Q688" s="58">
        <f t="shared" ref="Q688:Q751" si="151">P688*2/3</f>
        <v>285.36410958904111</v>
      </c>
      <c r="R688" s="66">
        <f t="shared" ref="R688:R751" si="152">O688*1.75%</f>
        <v>51.948752625000004</v>
      </c>
      <c r="S688" s="64">
        <f t="shared" ref="S688:S751" si="153">I688*3.75</f>
        <v>213.75</v>
      </c>
      <c r="T688" s="66">
        <f t="shared" ref="T688:T751" si="154">R688+S688+O688</f>
        <v>3234.1989026249998</v>
      </c>
      <c r="U688" s="68">
        <f t="shared" ref="U688:U751" si="155">T688/I688</f>
        <v>56.740331624999996</v>
      </c>
      <c r="V688" s="68">
        <f t="shared" ref="V688:V751" si="156">U688/(J688%+K688%*2/3)</f>
        <v>466.35889006849311</v>
      </c>
      <c r="W688" s="68">
        <f t="shared" ref="W688:W751" si="157">V688*2/3</f>
        <v>310.90592671232872</v>
      </c>
    </row>
    <row r="689" spans="1:23" x14ac:dyDescent="0.25">
      <c r="A689" s="169" t="s">
        <v>889</v>
      </c>
      <c r="B689" s="61" t="s">
        <v>396</v>
      </c>
      <c r="C689" s="61" t="s">
        <v>591</v>
      </c>
      <c r="D689" s="61" t="s">
        <v>595</v>
      </c>
      <c r="E689" s="1" t="s">
        <v>364</v>
      </c>
      <c r="F689" s="62" t="str">
        <f t="shared" si="146"/>
        <v>64515</v>
      </c>
      <c r="G689" s="1">
        <v>10620012</v>
      </c>
      <c r="H689" s="1" t="s">
        <v>388</v>
      </c>
      <c r="I689" s="61">
        <v>34</v>
      </c>
      <c r="J689" s="61">
        <v>3.6</v>
      </c>
      <c r="K689" s="61">
        <v>8.1</v>
      </c>
      <c r="L689" s="69">
        <f t="shared" si="147"/>
        <v>1.224</v>
      </c>
      <c r="M689" s="69">
        <f t="shared" si="148"/>
        <v>2.7539999999999996</v>
      </c>
      <c r="N689" s="56">
        <f>INDEX(Rate_Chart!$A$1:$AK$127,MATCH(Data!J689,Rate_Chart!$A$1:$A$127,0),MATCH(Data!K689,Rate_Chart!$A$1:$AK$1,0))</f>
        <v>37.531125900000006</v>
      </c>
      <c r="O689" s="57">
        <f t="shared" si="149"/>
        <v>1276.0582806000002</v>
      </c>
      <c r="P689" s="58">
        <f t="shared" si="150"/>
        <v>417.01251000000008</v>
      </c>
      <c r="Q689" s="58">
        <f t="shared" si="151"/>
        <v>278.00834000000003</v>
      </c>
      <c r="R689" s="66">
        <f t="shared" si="152"/>
        <v>22.331019910500007</v>
      </c>
      <c r="S689" s="64">
        <f t="shared" si="153"/>
        <v>127.5</v>
      </c>
      <c r="T689" s="66">
        <f t="shared" si="154"/>
        <v>1425.8893005105001</v>
      </c>
      <c r="U689" s="68">
        <f t="shared" si="155"/>
        <v>41.937920603250006</v>
      </c>
      <c r="V689" s="68">
        <f t="shared" si="156"/>
        <v>465.97689559166673</v>
      </c>
      <c r="W689" s="68">
        <f t="shared" si="157"/>
        <v>310.6512637277778</v>
      </c>
    </row>
    <row r="690" spans="1:23" x14ac:dyDescent="0.25">
      <c r="A690" s="169" t="s">
        <v>889</v>
      </c>
      <c r="B690" s="61" t="s">
        <v>397</v>
      </c>
      <c r="C690" s="61" t="s">
        <v>591</v>
      </c>
      <c r="D690" s="61" t="s">
        <v>595</v>
      </c>
      <c r="E690" s="1" t="s">
        <v>364</v>
      </c>
      <c r="F690" s="62" t="str">
        <f t="shared" si="146"/>
        <v>64515</v>
      </c>
      <c r="G690" s="1">
        <v>10620012</v>
      </c>
      <c r="H690" s="1" t="s">
        <v>387</v>
      </c>
      <c r="I690" s="61">
        <v>30</v>
      </c>
      <c r="J690" s="61">
        <v>6</v>
      </c>
      <c r="K690" s="61">
        <v>8.6</v>
      </c>
      <c r="L690" s="69">
        <f t="shared" si="147"/>
        <v>1.8</v>
      </c>
      <c r="M690" s="69">
        <f t="shared" si="148"/>
        <v>2.58</v>
      </c>
      <c r="N690" s="56">
        <f>INDEX(Rate_Chart!$A$1:$AK$127,MATCH(Data!J690,Rate_Chart!$A$1:$A$127,0),MATCH(Data!K690,Rate_Chart!$A$1:$AK$1,0))</f>
        <v>49.097999999999999</v>
      </c>
      <c r="O690" s="57">
        <f t="shared" si="149"/>
        <v>1472.94</v>
      </c>
      <c r="P690" s="58">
        <f t="shared" si="150"/>
        <v>418.44886363636368</v>
      </c>
      <c r="Q690" s="58">
        <f t="shared" si="151"/>
        <v>278.96590909090912</v>
      </c>
      <c r="R690" s="66">
        <f t="shared" si="152"/>
        <v>25.776450000000004</v>
      </c>
      <c r="S690" s="64">
        <f t="shared" si="153"/>
        <v>112.5</v>
      </c>
      <c r="T690" s="66">
        <f t="shared" si="154"/>
        <v>1611.2164500000001</v>
      </c>
      <c r="U690" s="68">
        <f t="shared" si="155"/>
        <v>53.707215000000005</v>
      </c>
      <c r="V690" s="68">
        <f t="shared" si="156"/>
        <v>457.73194602272736</v>
      </c>
      <c r="W690" s="68">
        <f t="shared" si="157"/>
        <v>305.15463068181822</v>
      </c>
    </row>
    <row r="691" spans="1:23" x14ac:dyDescent="0.25">
      <c r="A691" s="169" t="s">
        <v>889</v>
      </c>
      <c r="B691" s="61" t="s">
        <v>397</v>
      </c>
      <c r="C691" s="61" t="s">
        <v>591</v>
      </c>
      <c r="D691" s="61" t="s">
        <v>595</v>
      </c>
      <c r="E691" s="1" t="s">
        <v>364</v>
      </c>
      <c r="F691" s="62" t="str">
        <f t="shared" si="146"/>
        <v>64515</v>
      </c>
      <c r="G691" s="1">
        <v>10620012</v>
      </c>
      <c r="H691" s="1" t="s">
        <v>388</v>
      </c>
      <c r="I691" s="61">
        <v>28</v>
      </c>
      <c r="J691" s="61">
        <v>3.2</v>
      </c>
      <c r="K691" s="61">
        <v>8</v>
      </c>
      <c r="L691" s="69">
        <f t="shared" si="147"/>
        <v>0.89600000000000013</v>
      </c>
      <c r="M691" s="69">
        <f t="shared" si="148"/>
        <v>2.2400000000000002</v>
      </c>
      <c r="N691" s="56">
        <f>INDEX(Rate_Chart!$A$1:$AK$127,MATCH(Data!J691,Rate_Chart!$A$1:$A$127,0),MATCH(Data!K691,Rate_Chart!$A$1:$AK$1,0))</f>
        <v>35.585112000000002</v>
      </c>
      <c r="O691" s="57">
        <f t="shared" si="149"/>
        <v>996.38313600000004</v>
      </c>
      <c r="P691" s="58">
        <f t="shared" si="150"/>
        <v>417.01303124999998</v>
      </c>
      <c r="Q691" s="58">
        <f t="shared" si="151"/>
        <v>278.00868750000001</v>
      </c>
      <c r="R691" s="66">
        <f t="shared" si="152"/>
        <v>17.436704880000001</v>
      </c>
      <c r="S691" s="64">
        <f t="shared" si="153"/>
        <v>105</v>
      </c>
      <c r="T691" s="66">
        <f t="shared" si="154"/>
        <v>1118.8198408800001</v>
      </c>
      <c r="U691" s="68">
        <f t="shared" si="155"/>
        <v>39.957851460000008</v>
      </c>
      <c r="V691" s="68">
        <f t="shared" si="156"/>
        <v>468.25607179687501</v>
      </c>
      <c r="W691" s="68">
        <f t="shared" si="157"/>
        <v>312.17071453124998</v>
      </c>
    </row>
    <row r="692" spans="1:23" x14ac:dyDescent="0.25">
      <c r="A692" s="169" t="s">
        <v>890</v>
      </c>
      <c r="B692" s="61" t="s">
        <v>396</v>
      </c>
      <c r="C692" s="61" t="s">
        <v>591</v>
      </c>
      <c r="D692" s="61" t="s">
        <v>595</v>
      </c>
      <c r="E692" s="1" t="s">
        <v>364</v>
      </c>
      <c r="F692" s="62" t="str">
        <f t="shared" si="146"/>
        <v>64515</v>
      </c>
      <c r="G692" s="1">
        <v>10620012</v>
      </c>
      <c r="H692" s="1" t="s">
        <v>387</v>
      </c>
      <c r="I692" s="61">
        <v>62</v>
      </c>
      <c r="J692" s="61">
        <v>6.7</v>
      </c>
      <c r="K692" s="61">
        <v>8.8000000000000007</v>
      </c>
      <c r="L692" s="69">
        <f t="shared" si="147"/>
        <v>4.1539999999999999</v>
      </c>
      <c r="M692" s="69">
        <f t="shared" si="148"/>
        <v>5.4560000000000004</v>
      </c>
      <c r="N692" s="56">
        <f>INDEX(Rate_Chart!$A$1:$AK$127,MATCH(Data!J692,Rate_Chart!$A$1:$A$127,0),MATCH(Data!K692,Rate_Chart!$A$1:$AK$1,0))</f>
        <v>55.385550000000002</v>
      </c>
      <c r="O692" s="57">
        <f t="shared" si="149"/>
        <v>3433.9041000000002</v>
      </c>
      <c r="P692" s="58">
        <f t="shared" si="150"/>
        <v>440.73381962864721</v>
      </c>
      <c r="Q692" s="58">
        <f t="shared" si="151"/>
        <v>293.82254641909816</v>
      </c>
      <c r="R692" s="66">
        <f t="shared" si="152"/>
        <v>60.093321750000008</v>
      </c>
      <c r="S692" s="64">
        <f t="shared" si="153"/>
        <v>232.5</v>
      </c>
      <c r="T692" s="66">
        <f t="shared" si="154"/>
        <v>3726.4974217500003</v>
      </c>
      <c r="U692" s="68">
        <f t="shared" si="155"/>
        <v>60.104797125000005</v>
      </c>
      <c r="V692" s="68">
        <f t="shared" si="156"/>
        <v>478.28751027851456</v>
      </c>
      <c r="W692" s="68">
        <f t="shared" si="157"/>
        <v>318.85834018567635</v>
      </c>
    </row>
    <row r="693" spans="1:23" x14ac:dyDescent="0.25">
      <c r="A693" s="169" t="s">
        <v>890</v>
      </c>
      <c r="B693" s="61" t="s">
        <v>396</v>
      </c>
      <c r="C693" s="61" t="s">
        <v>591</v>
      </c>
      <c r="D693" s="61" t="s">
        <v>595</v>
      </c>
      <c r="E693" s="1" t="s">
        <v>364</v>
      </c>
      <c r="F693" s="62" t="str">
        <f t="shared" si="146"/>
        <v>64515</v>
      </c>
      <c r="G693" s="1">
        <v>10620012</v>
      </c>
      <c r="H693" s="1" t="s">
        <v>388</v>
      </c>
      <c r="I693" s="61">
        <v>40</v>
      </c>
      <c r="J693" s="61">
        <v>3.3</v>
      </c>
      <c r="K693" s="61">
        <v>8</v>
      </c>
      <c r="L693" s="69">
        <f t="shared" si="147"/>
        <v>1.32</v>
      </c>
      <c r="M693" s="69">
        <f t="shared" si="148"/>
        <v>3.2</v>
      </c>
      <c r="N693" s="56">
        <f>INDEX(Rate_Chart!$A$1:$AK$127,MATCH(Data!J693,Rate_Chart!$A$1:$A$127,0),MATCH(Data!K693,Rate_Chart!$A$1:$AK$1,0))</f>
        <v>36.002112000000004</v>
      </c>
      <c r="O693" s="57">
        <f t="shared" si="149"/>
        <v>1440.0844800000002</v>
      </c>
      <c r="P693" s="58">
        <f t="shared" si="150"/>
        <v>417.01288030888031</v>
      </c>
      <c r="Q693" s="58">
        <f t="shared" si="151"/>
        <v>278.00858687258687</v>
      </c>
      <c r="R693" s="66">
        <f t="shared" si="152"/>
        <v>25.201478400000006</v>
      </c>
      <c r="S693" s="64">
        <f t="shared" si="153"/>
        <v>150</v>
      </c>
      <c r="T693" s="66">
        <f t="shared" si="154"/>
        <v>1615.2859584000003</v>
      </c>
      <c r="U693" s="68">
        <f t="shared" si="155"/>
        <v>40.382148960000009</v>
      </c>
      <c r="V693" s="68">
        <f t="shared" si="156"/>
        <v>467.74689915057917</v>
      </c>
      <c r="W693" s="68">
        <f t="shared" si="157"/>
        <v>311.83126610038613</v>
      </c>
    </row>
    <row r="694" spans="1:23" x14ac:dyDescent="0.25">
      <c r="A694" s="169" t="s">
        <v>890</v>
      </c>
      <c r="B694" s="61" t="s">
        <v>397</v>
      </c>
      <c r="C694" s="61" t="s">
        <v>591</v>
      </c>
      <c r="D694" s="61" t="s">
        <v>595</v>
      </c>
      <c r="E694" s="1" t="s">
        <v>364</v>
      </c>
      <c r="F694" s="62" t="str">
        <f t="shared" si="146"/>
        <v>64515</v>
      </c>
      <c r="G694" s="1">
        <v>10620012</v>
      </c>
      <c r="H694" s="1" t="s">
        <v>387</v>
      </c>
      <c r="I694" s="61">
        <v>28</v>
      </c>
      <c r="J694" s="61">
        <v>6.5</v>
      </c>
      <c r="K694" s="61">
        <v>8.8000000000000007</v>
      </c>
      <c r="L694" s="69">
        <f t="shared" si="147"/>
        <v>1.82</v>
      </c>
      <c r="M694" s="69">
        <f t="shared" si="148"/>
        <v>2.4640000000000004</v>
      </c>
      <c r="N694" s="56">
        <f>INDEX(Rate_Chart!$A$1:$AK$127,MATCH(Data!J694,Rate_Chart!$A$1:$A$127,0),MATCH(Data!K694,Rate_Chart!$A$1:$AK$1,0))</f>
        <v>53.732250000000001</v>
      </c>
      <c r="O694" s="57">
        <f t="shared" si="149"/>
        <v>1504.5029999999999</v>
      </c>
      <c r="P694" s="58">
        <f t="shared" si="150"/>
        <v>434.49258760107813</v>
      </c>
      <c r="Q694" s="58">
        <f t="shared" si="151"/>
        <v>289.66172506738542</v>
      </c>
      <c r="R694" s="66">
        <f t="shared" si="152"/>
        <v>26.328802500000002</v>
      </c>
      <c r="S694" s="64">
        <f t="shared" si="153"/>
        <v>105</v>
      </c>
      <c r="T694" s="66">
        <f t="shared" si="154"/>
        <v>1635.8318024999999</v>
      </c>
      <c r="U694" s="68">
        <f t="shared" si="155"/>
        <v>58.422564374999993</v>
      </c>
      <c r="V694" s="68">
        <f t="shared" si="156"/>
        <v>472.41965801886784</v>
      </c>
      <c r="W694" s="68">
        <f t="shared" si="157"/>
        <v>314.9464386792452</v>
      </c>
    </row>
    <row r="695" spans="1:23" x14ac:dyDescent="0.25">
      <c r="A695" s="169" t="s">
        <v>890</v>
      </c>
      <c r="B695" s="61" t="s">
        <v>397</v>
      </c>
      <c r="C695" s="61" t="s">
        <v>591</v>
      </c>
      <c r="D695" s="61" t="s">
        <v>595</v>
      </c>
      <c r="E695" s="1" t="s">
        <v>364</v>
      </c>
      <c r="F695" s="62" t="str">
        <f t="shared" si="146"/>
        <v>64515</v>
      </c>
      <c r="G695" s="1">
        <v>10620012</v>
      </c>
      <c r="H695" s="1" t="s">
        <v>388</v>
      </c>
      <c r="I695" s="61">
        <v>31</v>
      </c>
      <c r="J695" s="61">
        <v>3.1</v>
      </c>
      <c r="K695" s="61">
        <v>8.1</v>
      </c>
      <c r="L695" s="69">
        <f t="shared" si="147"/>
        <v>0.96100000000000008</v>
      </c>
      <c r="M695" s="69">
        <f t="shared" si="148"/>
        <v>2.5110000000000001</v>
      </c>
      <c r="N695" s="56">
        <f>INDEX(Rate_Chart!$A$1:$AK$127,MATCH(Data!J695,Rate_Chart!$A$1:$A$127,0),MATCH(Data!K695,Rate_Chart!$A$1:$AK$1,0))</f>
        <v>35.446125899999998</v>
      </c>
      <c r="O695" s="57">
        <f t="shared" si="149"/>
        <v>1098.8299029</v>
      </c>
      <c r="P695" s="58">
        <f t="shared" si="150"/>
        <v>417.01324588235298</v>
      </c>
      <c r="Q695" s="58">
        <f t="shared" si="151"/>
        <v>278.0088305882353</v>
      </c>
      <c r="R695" s="66">
        <f t="shared" si="152"/>
        <v>19.229523300750003</v>
      </c>
      <c r="S695" s="64">
        <f t="shared" si="153"/>
        <v>116.25</v>
      </c>
      <c r="T695" s="66">
        <f t="shared" si="154"/>
        <v>1234.3094262007501</v>
      </c>
      <c r="U695" s="68">
        <f t="shared" si="155"/>
        <v>39.816433103249999</v>
      </c>
      <c r="V695" s="68">
        <f t="shared" si="156"/>
        <v>468.42862474411766</v>
      </c>
      <c r="W695" s="68">
        <f t="shared" si="157"/>
        <v>312.28574982941177</v>
      </c>
    </row>
    <row r="696" spans="1:23" x14ac:dyDescent="0.25">
      <c r="A696" s="169" t="s">
        <v>891</v>
      </c>
      <c r="B696" s="61" t="s">
        <v>396</v>
      </c>
      <c r="C696" s="61" t="s">
        <v>591</v>
      </c>
      <c r="D696" s="61" t="s">
        <v>595</v>
      </c>
      <c r="E696" s="1" t="s">
        <v>364</v>
      </c>
      <c r="F696" s="62" t="str">
        <f t="shared" si="146"/>
        <v>64515</v>
      </c>
      <c r="G696" s="1">
        <v>10620012</v>
      </c>
      <c r="H696" s="1" t="s">
        <v>387</v>
      </c>
      <c r="I696" s="61">
        <v>62</v>
      </c>
      <c r="J696" s="61">
        <v>6.6</v>
      </c>
      <c r="K696" s="61">
        <v>8.8000000000000007</v>
      </c>
      <c r="L696" s="69">
        <f t="shared" si="147"/>
        <v>4.0919999999999996</v>
      </c>
      <c r="M696" s="69">
        <f t="shared" si="148"/>
        <v>5.4560000000000004</v>
      </c>
      <c r="N696" s="56">
        <f>INDEX(Rate_Chart!$A$1:$AK$127,MATCH(Data!J696,Rate_Chart!$A$1:$A$127,0),MATCH(Data!K696,Rate_Chart!$A$1:$AK$1,0))</f>
        <v>54.558900000000001</v>
      </c>
      <c r="O696" s="57">
        <f t="shared" si="149"/>
        <v>3382.6518000000001</v>
      </c>
      <c r="P696" s="58">
        <f t="shared" si="150"/>
        <v>437.63823529411764</v>
      </c>
      <c r="Q696" s="58">
        <f t="shared" si="151"/>
        <v>291.75882352941176</v>
      </c>
      <c r="R696" s="66">
        <f t="shared" si="152"/>
        <v>59.196406500000009</v>
      </c>
      <c r="S696" s="64">
        <f t="shared" si="153"/>
        <v>232.5</v>
      </c>
      <c r="T696" s="66">
        <f t="shared" si="154"/>
        <v>3674.3482065000003</v>
      </c>
      <c r="U696" s="68">
        <f t="shared" si="155"/>
        <v>59.263680750000006</v>
      </c>
      <c r="V696" s="68">
        <f t="shared" si="156"/>
        <v>475.37711831550803</v>
      </c>
      <c r="W696" s="68">
        <f t="shared" si="157"/>
        <v>316.91807887700537</v>
      </c>
    </row>
    <row r="697" spans="1:23" x14ac:dyDescent="0.25">
      <c r="A697" s="169" t="s">
        <v>891</v>
      </c>
      <c r="B697" s="61" t="s">
        <v>396</v>
      </c>
      <c r="C697" s="61" t="s">
        <v>591</v>
      </c>
      <c r="D697" s="61" t="s">
        <v>595</v>
      </c>
      <c r="E697" s="1" t="s">
        <v>364</v>
      </c>
      <c r="F697" s="62" t="str">
        <f t="shared" si="146"/>
        <v>64515</v>
      </c>
      <c r="G697" s="1">
        <v>10620012</v>
      </c>
      <c r="H697" s="1" t="s">
        <v>388</v>
      </c>
      <c r="I697" s="61">
        <v>35</v>
      </c>
      <c r="J697" s="61">
        <v>3.9</v>
      </c>
      <c r="K697" s="61">
        <v>8.1999999999999993</v>
      </c>
      <c r="L697" s="69">
        <f t="shared" si="147"/>
        <v>1.365</v>
      </c>
      <c r="M697" s="69">
        <f t="shared" si="148"/>
        <v>2.87</v>
      </c>
      <c r="N697" s="56">
        <f>INDEX(Rate_Chart!$A$1:$AK$127,MATCH(Data!J697,Rate_Chart!$A$1:$A$127,0),MATCH(Data!K697,Rate_Chart!$A$1:$AK$1,0))</f>
        <v>39.060139800000002</v>
      </c>
      <c r="O697" s="57">
        <f t="shared" si="149"/>
        <v>1367.1048930000002</v>
      </c>
      <c r="P697" s="58">
        <f t="shared" si="150"/>
        <v>417.01216868327407</v>
      </c>
      <c r="Q697" s="58">
        <f t="shared" si="151"/>
        <v>278.00811245551603</v>
      </c>
      <c r="R697" s="66">
        <f t="shared" si="152"/>
        <v>23.924335627500007</v>
      </c>
      <c r="S697" s="64">
        <f t="shared" si="153"/>
        <v>131.25</v>
      </c>
      <c r="T697" s="66">
        <f t="shared" si="154"/>
        <v>1522.2792286275003</v>
      </c>
      <c r="U697" s="68">
        <f t="shared" si="155"/>
        <v>43.493692246500011</v>
      </c>
      <c r="V697" s="68">
        <f t="shared" si="156"/>
        <v>464.34546882384353</v>
      </c>
      <c r="W697" s="68">
        <f t="shared" si="157"/>
        <v>309.56364588256235</v>
      </c>
    </row>
    <row r="698" spans="1:23" x14ac:dyDescent="0.25">
      <c r="A698" s="169" t="s">
        <v>891</v>
      </c>
      <c r="B698" s="61" t="s">
        <v>397</v>
      </c>
      <c r="C698" s="61" t="s">
        <v>591</v>
      </c>
      <c r="D698" s="61" t="s">
        <v>595</v>
      </c>
      <c r="E698" s="1" t="s">
        <v>364</v>
      </c>
      <c r="F698" s="62" t="str">
        <f t="shared" si="146"/>
        <v>64515</v>
      </c>
      <c r="G698" s="1">
        <v>10620012</v>
      </c>
      <c r="H698" s="1" t="s">
        <v>387</v>
      </c>
      <c r="I698" s="61">
        <v>34</v>
      </c>
      <c r="J698" s="61">
        <v>6.2</v>
      </c>
      <c r="K698" s="61">
        <v>8.8000000000000007</v>
      </c>
      <c r="L698" s="69">
        <f t="shared" si="147"/>
        <v>2.1080000000000001</v>
      </c>
      <c r="M698" s="69">
        <f t="shared" si="148"/>
        <v>2.9920000000000004</v>
      </c>
      <c r="N698" s="56">
        <f>INDEX(Rate_Chart!$A$1:$AK$127,MATCH(Data!J698,Rate_Chart!$A$1:$A$127,0),MATCH(Data!K698,Rate_Chart!$A$1:$AK$1,0))</f>
        <v>51.252300000000005</v>
      </c>
      <c r="O698" s="57">
        <f t="shared" si="149"/>
        <v>1742.5782000000002</v>
      </c>
      <c r="P698" s="58">
        <f t="shared" si="150"/>
        <v>424.74281767955802</v>
      </c>
      <c r="Q698" s="58">
        <f t="shared" si="151"/>
        <v>283.1618784530387</v>
      </c>
      <c r="R698" s="66">
        <f t="shared" si="152"/>
        <v>30.495118500000004</v>
      </c>
      <c r="S698" s="64">
        <f t="shared" si="153"/>
        <v>127.5</v>
      </c>
      <c r="T698" s="66">
        <f t="shared" si="154"/>
        <v>1900.5733185000001</v>
      </c>
      <c r="U698" s="68">
        <f t="shared" si="155"/>
        <v>55.899215250000005</v>
      </c>
      <c r="V698" s="68">
        <f t="shared" si="156"/>
        <v>463.25316505524864</v>
      </c>
      <c r="W698" s="68">
        <f t="shared" si="157"/>
        <v>308.83544337016576</v>
      </c>
    </row>
    <row r="699" spans="1:23" x14ac:dyDescent="0.25">
      <c r="A699" s="169" t="s">
        <v>891</v>
      </c>
      <c r="B699" s="61" t="s">
        <v>397</v>
      </c>
      <c r="C699" s="61" t="s">
        <v>591</v>
      </c>
      <c r="D699" s="61" t="s">
        <v>595</v>
      </c>
      <c r="E699" s="1" t="s">
        <v>364</v>
      </c>
      <c r="F699" s="62" t="str">
        <f t="shared" si="146"/>
        <v>64515</v>
      </c>
      <c r="G699" s="1">
        <v>10620012</v>
      </c>
      <c r="H699" s="1" t="s">
        <v>388</v>
      </c>
      <c r="I699" s="61">
        <v>35</v>
      </c>
      <c r="J699" s="61">
        <v>3.2</v>
      </c>
      <c r="K699" s="61">
        <v>8.1</v>
      </c>
      <c r="L699" s="69">
        <f t="shared" si="147"/>
        <v>1.1200000000000001</v>
      </c>
      <c r="M699" s="69">
        <f t="shared" si="148"/>
        <v>2.835</v>
      </c>
      <c r="N699" s="56">
        <f>INDEX(Rate_Chart!$A$1:$AK$127,MATCH(Data!J699,Rate_Chart!$A$1:$A$127,0),MATCH(Data!K699,Rate_Chart!$A$1:$AK$1,0))</f>
        <v>35.8631259</v>
      </c>
      <c r="O699" s="57">
        <f t="shared" si="149"/>
        <v>1255.2094065000001</v>
      </c>
      <c r="P699" s="58">
        <f t="shared" si="150"/>
        <v>417.01309186046512</v>
      </c>
      <c r="Q699" s="58">
        <f t="shared" si="151"/>
        <v>278.00872790697673</v>
      </c>
      <c r="R699" s="66">
        <f t="shared" si="152"/>
        <v>21.966164613750003</v>
      </c>
      <c r="S699" s="64">
        <f t="shared" si="153"/>
        <v>131.25</v>
      </c>
      <c r="T699" s="66">
        <f t="shared" si="154"/>
        <v>1408.42557111375</v>
      </c>
      <c r="U699" s="68">
        <f t="shared" si="155"/>
        <v>40.24073060325</v>
      </c>
      <c r="V699" s="68">
        <f t="shared" si="156"/>
        <v>467.91547213081401</v>
      </c>
      <c r="W699" s="68">
        <f t="shared" si="157"/>
        <v>311.94364808720934</v>
      </c>
    </row>
    <row r="700" spans="1:23" x14ac:dyDescent="0.25">
      <c r="A700" s="169" t="s">
        <v>892</v>
      </c>
      <c r="B700" s="61" t="s">
        <v>396</v>
      </c>
      <c r="C700" s="61" t="s">
        <v>591</v>
      </c>
      <c r="D700" s="61" t="s">
        <v>595</v>
      </c>
      <c r="E700" s="1" t="s">
        <v>364</v>
      </c>
      <c r="F700" s="62" t="str">
        <f t="shared" si="146"/>
        <v>64515</v>
      </c>
      <c r="G700" s="1">
        <v>10620012</v>
      </c>
      <c r="H700" s="1" t="s">
        <v>387</v>
      </c>
      <c r="I700" s="61">
        <v>63</v>
      </c>
      <c r="J700" s="61">
        <v>6.2</v>
      </c>
      <c r="K700" s="61">
        <v>8.8000000000000007</v>
      </c>
      <c r="L700" s="69">
        <f t="shared" si="147"/>
        <v>3.9060000000000001</v>
      </c>
      <c r="M700" s="69">
        <f t="shared" si="148"/>
        <v>5.5440000000000005</v>
      </c>
      <c r="N700" s="56">
        <f>INDEX(Rate_Chart!$A$1:$AK$127,MATCH(Data!J700,Rate_Chart!$A$1:$A$127,0),MATCH(Data!K700,Rate_Chart!$A$1:$AK$1,0))</f>
        <v>51.252300000000005</v>
      </c>
      <c r="O700" s="57">
        <f t="shared" si="149"/>
        <v>3228.8949000000002</v>
      </c>
      <c r="P700" s="58">
        <f t="shared" si="150"/>
        <v>424.74281767955802</v>
      </c>
      <c r="Q700" s="58">
        <f t="shared" si="151"/>
        <v>283.1618784530387</v>
      </c>
      <c r="R700" s="66">
        <f t="shared" si="152"/>
        <v>56.505660750000011</v>
      </c>
      <c r="S700" s="64">
        <f t="shared" si="153"/>
        <v>236.25</v>
      </c>
      <c r="T700" s="66">
        <f t="shared" si="154"/>
        <v>3521.6505607500003</v>
      </c>
      <c r="U700" s="68">
        <f t="shared" si="155"/>
        <v>55.899215250000005</v>
      </c>
      <c r="V700" s="68">
        <f t="shared" si="156"/>
        <v>463.25316505524864</v>
      </c>
      <c r="W700" s="68">
        <f t="shared" si="157"/>
        <v>308.83544337016576</v>
      </c>
    </row>
    <row r="701" spans="1:23" x14ac:dyDescent="0.25">
      <c r="A701" s="169" t="s">
        <v>892</v>
      </c>
      <c r="B701" s="61" t="s">
        <v>396</v>
      </c>
      <c r="C701" s="61" t="s">
        <v>591</v>
      </c>
      <c r="D701" s="61" t="s">
        <v>595</v>
      </c>
      <c r="E701" s="1" t="s">
        <v>364</v>
      </c>
      <c r="F701" s="62" t="str">
        <f t="shared" si="146"/>
        <v>64515</v>
      </c>
      <c r="G701" s="1">
        <v>10620012</v>
      </c>
      <c r="H701" s="1" t="s">
        <v>388</v>
      </c>
      <c r="I701" s="61">
        <v>38</v>
      </c>
      <c r="J701" s="61">
        <v>3.6</v>
      </c>
      <c r="K701" s="61">
        <v>8.1</v>
      </c>
      <c r="L701" s="69">
        <f t="shared" si="147"/>
        <v>1.3680000000000001</v>
      </c>
      <c r="M701" s="69">
        <f t="shared" si="148"/>
        <v>3.0780000000000003</v>
      </c>
      <c r="N701" s="56">
        <f>INDEX(Rate_Chart!$A$1:$AK$127,MATCH(Data!J701,Rate_Chart!$A$1:$A$127,0),MATCH(Data!K701,Rate_Chart!$A$1:$AK$1,0))</f>
        <v>37.531125900000006</v>
      </c>
      <c r="O701" s="57">
        <f t="shared" si="149"/>
        <v>1426.1827842000002</v>
      </c>
      <c r="P701" s="58">
        <f t="shared" si="150"/>
        <v>417.01251000000008</v>
      </c>
      <c r="Q701" s="58">
        <f t="shared" si="151"/>
        <v>278.00834000000003</v>
      </c>
      <c r="R701" s="66">
        <f t="shared" si="152"/>
        <v>24.958198723500008</v>
      </c>
      <c r="S701" s="64">
        <f t="shared" si="153"/>
        <v>142.5</v>
      </c>
      <c r="T701" s="66">
        <f t="shared" si="154"/>
        <v>1593.6409829235004</v>
      </c>
      <c r="U701" s="68">
        <f t="shared" si="155"/>
        <v>41.937920603250006</v>
      </c>
      <c r="V701" s="68">
        <f t="shared" si="156"/>
        <v>465.97689559166673</v>
      </c>
      <c r="W701" s="68">
        <f t="shared" si="157"/>
        <v>310.6512637277778</v>
      </c>
    </row>
    <row r="702" spans="1:23" x14ac:dyDescent="0.25">
      <c r="A702" s="169" t="s">
        <v>892</v>
      </c>
      <c r="B702" s="61" t="s">
        <v>397</v>
      </c>
      <c r="C702" s="61" t="s">
        <v>591</v>
      </c>
      <c r="D702" s="61" t="s">
        <v>595</v>
      </c>
      <c r="E702" s="1" t="s">
        <v>364</v>
      </c>
      <c r="F702" s="62" t="str">
        <f t="shared" si="146"/>
        <v>64515</v>
      </c>
      <c r="G702" s="1">
        <v>10620012</v>
      </c>
      <c r="H702" s="1" t="s">
        <v>387</v>
      </c>
      <c r="I702" s="61">
        <v>31</v>
      </c>
      <c r="J702" s="61">
        <v>6</v>
      </c>
      <c r="K702" s="61">
        <v>8.8000000000000007</v>
      </c>
      <c r="L702" s="69">
        <f t="shared" si="147"/>
        <v>1.86</v>
      </c>
      <c r="M702" s="69">
        <f t="shared" si="148"/>
        <v>2.7280000000000002</v>
      </c>
      <c r="N702" s="56">
        <f>INDEX(Rate_Chart!$A$1:$AK$127,MATCH(Data!J702,Rate_Chart!$A$1:$A$127,0),MATCH(Data!K702,Rate_Chart!$A$1:$AK$1,0))</f>
        <v>49.599000000000004</v>
      </c>
      <c r="O702" s="57">
        <f t="shared" si="149"/>
        <v>1537.5690000000002</v>
      </c>
      <c r="P702" s="58">
        <f t="shared" si="150"/>
        <v>417.96910112359552</v>
      </c>
      <c r="Q702" s="58">
        <f t="shared" si="151"/>
        <v>278.64606741573033</v>
      </c>
      <c r="R702" s="66">
        <f t="shared" si="152"/>
        <v>26.907457500000007</v>
      </c>
      <c r="S702" s="64">
        <f t="shared" si="153"/>
        <v>116.25</v>
      </c>
      <c r="T702" s="66">
        <f t="shared" si="154"/>
        <v>1680.7264575000002</v>
      </c>
      <c r="U702" s="68">
        <f t="shared" si="155"/>
        <v>54.216982500000007</v>
      </c>
      <c r="V702" s="68">
        <f t="shared" si="156"/>
        <v>456.8846839887641</v>
      </c>
      <c r="W702" s="68">
        <f t="shared" si="157"/>
        <v>304.58978932584273</v>
      </c>
    </row>
    <row r="703" spans="1:23" x14ac:dyDescent="0.25">
      <c r="A703" s="169" t="s">
        <v>892</v>
      </c>
      <c r="B703" s="61" t="s">
        <v>397</v>
      </c>
      <c r="C703" s="61" t="s">
        <v>591</v>
      </c>
      <c r="D703" s="61" t="s">
        <v>595</v>
      </c>
      <c r="E703" s="1" t="s">
        <v>364</v>
      </c>
      <c r="F703" s="62" t="str">
        <f t="shared" si="146"/>
        <v>64515</v>
      </c>
      <c r="G703" s="1">
        <v>10620012</v>
      </c>
      <c r="H703" s="1" t="s">
        <v>388</v>
      </c>
      <c r="I703" s="61">
        <v>41</v>
      </c>
      <c r="J703" s="61">
        <v>3</v>
      </c>
      <c r="K703" s="61">
        <v>8</v>
      </c>
      <c r="L703" s="69">
        <f t="shared" si="147"/>
        <v>1.23</v>
      </c>
      <c r="M703" s="69">
        <f t="shared" si="148"/>
        <v>3.28</v>
      </c>
      <c r="N703" s="56">
        <f>INDEX(Rate_Chart!$A$1:$AK$127,MATCH(Data!J703,Rate_Chart!$A$1:$A$127,0),MATCH(Data!K703,Rate_Chart!$A$1:$AK$1,0))</f>
        <v>34.751112000000006</v>
      </c>
      <c r="O703" s="57">
        <f t="shared" si="149"/>
        <v>1424.7955920000002</v>
      </c>
      <c r="P703" s="58">
        <f t="shared" si="150"/>
        <v>417.01334400000002</v>
      </c>
      <c r="Q703" s="58">
        <f t="shared" si="151"/>
        <v>278.00889599999999</v>
      </c>
      <c r="R703" s="66">
        <f t="shared" si="152"/>
        <v>24.933922860000006</v>
      </c>
      <c r="S703" s="64">
        <f t="shared" si="153"/>
        <v>153.75</v>
      </c>
      <c r="T703" s="66">
        <f t="shared" si="154"/>
        <v>1603.4795148600001</v>
      </c>
      <c r="U703" s="68">
        <f t="shared" si="155"/>
        <v>39.109256460000005</v>
      </c>
      <c r="V703" s="68">
        <f t="shared" si="156"/>
        <v>469.31107752000003</v>
      </c>
      <c r="W703" s="68">
        <f t="shared" si="157"/>
        <v>312.87405168000004</v>
      </c>
    </row>
    <row r="704" spans="1:23" x14ac:dyDescent="0.25">
      <c r="A704" s="169" t="s">
        <v>893</v>
      </c>
      <c r="B704" s="61" t="s">
        <v>396</v>
      </c>
      <c r="C704" s="61" t="s">
        <v>591</v>
      </c>
      <c r="D704" s="61" t="s">
        <v>595</v>
      </c>
      <c r="E704" s="1" t="s">
        <v>364</v>
      </c>
      <c r="F704" s="62" t="str">
        <f t="shared" si="146"/>
        <v>64515</v>
      </c>
      <c r="G704" s="1">
        <v>10620012</v>
      </c>
      <c r="H704" s="1" t="s">
        <v>387</v>
      </c>
      <c r="I704" s="61">
        <v>60</v>
      </c>
      <c r="J704" s="61">
        <v>6.9</v>
      </c>
      <c r="K704" s="61">
        <v>8.8000000000000007</v>
      </c>
      <c r="L704" s="69">
        <f t="shared" si="147"/>
        <v>4.1399999999999997</v>
      </c>
      <c r="M704" s="69">
        <f t="shared" si="148"/>
        <v>5.28</v>
      </c>
      <c r="N704" s="56">
        <f>INDEX(Rate_Chart!$A$1:$AK$127,MATCH(Data!J704,Rate_Chart!$A$1:$A$127,0),MATCH(Data!K704,Rate_Chart!$A$1:$AK$1,0))</f>
        <v>57.038850000000004</v>
      </c>
      <c r="O704" s="57">
        <f t="shared" si="149"/>
        <v>3422.3310000000001</v>
      </c>
      <c r="P704" s="58">
        <f t="shared" si="150"/>
        <v>446.77950391644907</v>
      </c>
      <c r="Q704" s="58">
        <f t="shared" si="151"/>
        <v>297.85300261096603</v>
      </c>
      <c r="R704" s="66">
        <f t="shared" si="152"/>
        <v>59.890792500000011</v>
      </c>
      <c r="S704" s="64">
        <f t="shared" si="153"/>
        <v>225</v>
      </c>
      <c r="T704" s="66">
        <f t="shared" si="154"/>
        <v>3707.2217925</v>
      </c>
      <c r="U704" s="68">
        <f t="shared" si="155"/>
        <v>61.787029875000002</v>
      </c>
      <c r="V704" s="68">
        <f t="shared" si="156"/>
        <v>483.97151338120102</v>
      </c>
      <c r="W704" s="68">
        <f t="shared" si="157"/>
        <v>322.64767558746735</v>
      </c>
    </row>
    <row r="705" spans="1:23" x14ac:dyDescent="0.25">
      <c r="A705" s="169" t="s">
        <v>893</v>
      </c>
      <c r="B705" s="61" t="s">
        <v>396</v>
      </c>
      <c r="C705" s="61" t="s">
        <v>591</v>
      </c>
      <c r="D705" s="61" t="s">
        <v>595</v>
      </c>
      <c r="E705" s="1" t="s">
        <v>364</v>
      </c>
      <c r="F705" s="62" t="str">
        <f t="shared" si="146"/>
        <v>64515</v>
      </c>
      <c r="G705" s="1">
        <v>10620012</v>
      </c>
      <c r="H705" s="1" t="s">
        <v>388</v>
      </c>
      <c r="I705" s="61">
        <v>41</v>
      </c>
      <c r="J705" s="61">
        <v>3.6</v>
      </c>
      <c r="K705" s="61">
        <v>8.1</v>
      </c>
      <c r="L705" s="69">
        <f t="shared" si="147"/>
        <v>1.476</v>
      </c>
      <c r="M705" s="69">
        <f t="shared" si="148"/>
        <v>3.3209999999999997</v>
      </c>
      <c r="N705" s="56">
        <f>INDEX(Rate_Chart!$A$1:$AK$127,MATCH(Data!J705,Rate_Chart!$A$1:$A$127,0),MATCH(Data!K705,Rate_Chart!$A$1:$AK$1,0))</f>
        <v>37.531125900000006</v>
      </c>
      <c r="O705" s="57">
        <f t="shared" si="149"/>
        <v>1538.7761619000003</v>
      </c>
      <c r="P705" s="58">
        <f t="shared" si="150"/>
        <v>417.01251000000008</v>
      </c>
      <c r="Q705" s="58">
        <f t="shared" si="151"/>
        <v>278.00834000000003</v>
      </c>
      <c r="R705" s="66">
        <f t="shared" si="152"/>
        <v>26.928582833250008</v>
      </c>
      <c r="S705" s="64">
        <f t="shared" si="153"/>
        <v>153.75</v>
      </c>
      <c r="T705" s="66">
        <f t="shared" si="154"/>
        <v>1719.4547447332502</v>
      </c>
      <c r="U705" s="68">
        <f t="shared" si="155"/>
        <v>41.937920603250006</v>
      </c>
      <c r="V705" s="68">
        <f t="shared" si="156"/>
        <v>465.97689559166673</v>
      </c>
      <c r="W705" s="68">
        <f t="shared" si="157"/>
        <v>310.6512637277778</v>
      </c>
    </row>
    <row r="706" spans="1:23" x14ac:dyDescent="0.25">
      <c r="A706" s="169" t="s">
        <v>893</v>
      </c>
      <c r="B706" s="61" t="s">
        <v>397</v>
      </c>
      <c r="C706" s="61" t="s">
        <v>591</v>
      </c>
      <c r="D706" s="61" t="s">
        <v>595</v>
      </c>
      <c r="E706" s="1" t="s">
        <v>364</v>
      </c>
      <c r="F706" s="62" t="str">
        <f t="shared" si="146"/>
        <v>64515</v>
      </c>
      <c r="G706" s="1">
        <v>10620012</v>
      </c>
      <c r="H706" s="1" t="s">
        <v>387</v>
      </c>
      <c r="I706" s="61">
        <v>33</v>
      </c>
      <c r="J706" s="61">
        <v>6</v>
      </c>
      <c r="K706" s="61">
        <v>8.6</v>
      </c>
      <c r="L706" s="69">
        <f t="shared" si="147"/>
        <v>1.98</v>
      </c>
      <c r="M706" s="69">
        <f t="shared" si="148"/>
        <v>2.8380000000000001</v>
      </c>
      <c r="N706" s="56">
        <f>INDEX(Rate_Chart!$A$1:$AK$127,MATCH(Data!J706,Rate_Chart!$A$1:$A$127,0),MATCH(Data!K706,Rate_Chart!$A$1:$AK$1,0))</f>
        <v>49.097999999999999</v>
      </c>
      <c r="O706" s="57">
        <f t="shared" si="149"/>
        <v>1620.2339999999999</v>
      </c>
      <c r="P706" s="58">
        <f t="shared" si="150"/>
        <v>418.44886363636368</v>
      </c>
      <c r="Q706" s="58">
        <f t="shared" si="151"/>
        <v>278.96590909090912</v>
      </c>
      <c r="R706" s="66">
        <f t="shared" si="152"/>
        <v>28.354095000000001</v>
      </c>
      <c r="S706" s="64">
        <f t="shared" si="153"/>
        <v>123.75</v>
      </c>
      <c r="T706" s="66">
        <f t="shared" si="154"/>
        <v>1772.3380949999998</v>
      </c>
      <c r="U706" s="68">
        <f t="shared" si="155"/>
        <v>53.707214999999998</v>
      </c>
      <c r="V706" s="68">
        <f t="shared" si="156"/>
        <v>457.7319460227273</v>
      </c>
      <c r="W706" s="68">
        <f t="shared" si="157"/>
        <v>305.15463068181822</v>
      </c>
    </row>
    <row r="707" spans="1:23" x14ac:dyDescent="0.25">
      <c r="A707" s="169" t="s">
        <v>893</v>
      </c>
      <c r="B707" s="61" t="s">
        <v>397</v>
      </c>
      <c r="C707" s="61" t="s">
        <v>591</v>
      </c>
      <c r="D707" s="61" t="s">
        <v>595</v>
      </c>
      <c r="E707" s="1" t="s">
        <v>364</v>
      </c>
      <c r="F707" s="62" t="str">
        <f t="shared" si="146"/>
        <v>64515</v>
      </c>
      <c r="G707" s="1">
        <v>10620012</v>
      </c>
      <c r="H707" s="1" t="s">
        <v>388</v>
      </c>
      <c r="I707" s="61">
        <v>39</v>
      </c>
      <c r="J707" s="61">
        <v>3</v>
      </c>
      <c r="K707" s="61">
        <v>8</v>
      </c>
      <c r="L707" s="69">
        <f t="shared" si="147"/>
        <v>1.17</v>
      </c>
      <c r="M707" s="69">
        <f t="shared" si="148"/>
        <v>3.12</v>
      </c>
      <c r="N707" s="56">
        <f>INDEX(Rate_Chart!$A$1:$AK$127,MATCH(Data!J707,Rate_Chart!$A$1:$A$127,0),MATCH(Data!K707,Rate_Chart!$A$1:$AK$1,0))</f>
        <v>34.751112000000006</v>
      </c>
      <c r="O707" s="57">
        <f t="shared" si="149"/>
        <v>1355.2933680000003</v>
      </c>
      <c r="P707" s="58">
        <f t="shared" si="150"/>
        <v>417.01334400000002</v>
      </c>
      <c r="Q707" s="58">
        <f t="shared" si="151"/>
        <v>278.00889599999999</v>
      </c>
      <c r="R707" s="66">
        <f t="shared" si="152"/>
        <v>23.71763394000001</v>
      </c>
      <c r="S707" s="64">
        <f t="shared" si="153"/>
        <v>146.25</v>
      </c>
      <c r="T707" s="66">
        <f t="shared" si="154"/>
        <v>1525.2610019400004</v>
      </c>
      <c r="U707" s="68">
        <f t="shared" si="155"/>
        <v>39.109256460000012</v>
      </c>
      <c r="V707" s="68">
        <f t="shared" si="156"/>
        <v>469.31107752000008</v>
      </c>
      <c r="W707" s="68">
        <f t="shared" si="157"/>
        <v>312.87405168000004</v>
      </c>
    </row>
    <row r="708" spans="1:23" x14ac:dyDescent="0.25">
      <c r="A708" s="169" t="s">
        <v>894</v>
      </c>
      <c r="B708" s="61" t="s">
        <v>396</v>
      </c>
      <c r="C708" s="61" t="s">
        <v>591</v>
      </c>
      <c r="D708" s="61" t="s">
        <v>595</v>
      </c>
      <c r="E708" s="1" t="s">
        <v>364</v>
      </c>
      <c r="F708" s="62" t="str">
        <f t="shared" si="146"/>
        <v>64515</v>
      </c>
      <c r="G708" s="1">
        <v>10620012</v>
      </c>
      <c r="H708" s="1" t="s">
        <v>387</v>
      </c>
      <c r="I708" s="61">
        <v>63</v>
      </c>
      <c r="J708" s="61">
        <v>6.6</v>
      </c>
      <c r="K708" s="61">
        <v>8.8000000000000007</v>
      </c>
      <c r="L708" s="69">
        <f t="shared" si="147"/>
        <v>4.1579999999999995</v>
      </c>
      <c r="M708" s="69">
        <f t="shared" si="148"/>
        <v>5.5440000000000005</v>
      </c>
      <c r="N708" s="56">
        <f>INDEX(Rate_Chart!$A$1:$AK$127,MATCH(Data!J708,Rate_Chart!$A$1:$A$127,0),MATCH(Data!K708,Rate_Chart!$A$1:$AK$1,0))</f>
        <v>54.558900000000001</v>
      </c>
      <c r="O708" s="57">
        <f t="shared" si="149"/>
        <v>3437.2107000000001</v>
      </c>
      <c r="P708" s="58">
        <f t="shared" si="150"/>
        <v>437.63823529411764</v>
      </c>
      <c r="Q708" s="58">
        <f t="shared" si="151"/>
        <v>291.75882352941176</v>
      </c>
      <c r="R708" s="66">
        <f t="shared" si="152"/>
        <v>60.151187250000007</v>
      </c>
      <c r="S708" s="64">
        <f t="shared" si="153"/>
        <v>236.25</v>
      </c>
      <c r="T708" s="66">
        <f t="shared" si="154"/>
        <v>3733.6118872500001</v>
      </c>
      <c r="U708" s="68">
        <f t="shared" si="155"/>
        <v>59.263680749999999</v>
      </c>
      <c r="V708" s="68">
        <f t="shared" si="156"/>
        <v>475.37711831550797</v>
      </c>
      <c r="W708" s="68">
        <f t="shared" si="157"/>
        <v>316.91807887700531</v>
      </c>
    </row>
    <row r="709" spans="1:23" x14ac:dyDescent="0.25">
      <c r="A709" s="169" t="s">
        <v>894</v>
      </c>
      <c r="B709" s="61" t="s">
        <v>396</v>
      </c>
      <c r="C709" s="61" t="s">
        <v>591</v>
      </c>
      <c r="D709" s="61" t="s">
        <v>595</v>
      </c>
      <c r="E709" s="1" t="s">
        <v>364</v>
      </c>
      <c r="F709" s="62" t="str">
        <f t="shared" ref="F709:F772" si="158">MID(E709,2,5)</f>
        <v>64515</v>
      </c>
      <c r="G709" s="1">
        <v>10620012</v>
      </c>
      <c r="H709" s="1" t="s">
        <v>388</v>
      </c>
      <c r="I709" s="61">
        <v>40</v>
      </c>
      <c r="J709" s="61">
        <v>3.6</v>
      </c>
      <c r="K709" s="61">
        <v>8.1</v>
      </c>
      <c r="L709" s="69">
        <f t="shared" si="147"/>
        <v>1.44</v>
      </c>
      <c r="M709" s="69">
        <f t="shared" si="148"/>
        <v>3.24</v>
      </c>
      <c r="N709" s="56">
        <f>INDEX(Rate_Chart!$A$1:$AK$127,MATCH(Data!J709,Rate_Chart!$A$1:$A$127,0),MATCH(Data!K709,Rate_Chart!$A$1:$AK$1,0))</f>
        <v>37.531125900000006</v>
      </c>
      <c r="O709" s="57">
        <f t="shared" si="149"/>
        <v>1501.2450360000003</v>
      </c>
      <c r="P709" s="58">
        <f t="shared" si="150"/>
        <v>417.01251000000008</v>
      </c>
      <c r="Q709" s="58">
        <f t="shared" si="151"/>
        <v>278.00834000000003</v>
      </c>
      <c r="R709" s="66">
        <f t="shared" si="152"/>
        <v>26.271788130000008</v>
      </c>
      <c r="S709" s="64">
        <f t="shared" si="153"/>
        <v>150</v>
      </c>
      <c r="T709" s="66">
        <f t="shared" si="154"/>
        <v>1677.5168241300003</v>
      </c>
      <c r="U709" s="68">
        <f t="shared" si="155"/>
        <v>41.937920603250006</v>
      </c>
      <c r="V709" s="68">
        <f t="shared" si="156"/>
        <v>465.97689559166673</v>
      </c>
      <c r="W709" s="68">
        <f t="shared" si="157"/>
        <v>310.6512637277778</v>
      </c>
    </row>
    <row r="710" spans="1:23" x14ac:dyDescent="0.25">
      <c r="A710" s="169" t="s">
        <v>894</v>
      </c>
      <c r="B710" s="61" t="s">
        <v>397</v>
      </c>
      <c r="C710" s="61" t="s">
        <v>591</v>
      </c>
      <c r="D710" s="61" t="s">
        <v>595</v>
      </c>
      <c r="E710" s="1" t="s">
        <v>364</v>
      </c>
      <c r="F710" s="62" t="str">
        <f t="shared" si="158"/>
        <v>64515</v>
      </c>
      <c r="G710" s="1">
        <v>10620012</v>
      </c>
      <c r="H710" s="1" t="s">
        <v>388</v>
      </c>
      <c r="I710" s="61">
        <v>35</v>
      </c>
      <c r="J710" s="61">
        <v>4.2</v>
      </c>
      <c r="K710" s="61">
        <v>8.1</v>
      </c>
      <c r="L710" s="69">
        <f t="shared" si="147"/>
        <v>1.47</v>
      </c>
      <c r="M710" s="69">
        <f t="shared" si="148"/>
        <v>2.835</v>
      </c>
      <c r="N710" s="56">
        <f>INDEX(Rate_Chart!$A$1:$AK$127,MATCH(Data!J710,Rate_Chart!$A$1:$A$127,0),MATCH(Data!K710,Rate_Chart!$A$1:$AK$1,0))</f>
        <v>40.033125900000002</v>
      </c>
      <c r="O710" s="57">
        <f t="shared" si="149"/>
        <v>1401.1594065000002</v>
      </c>
      <c r="P710" s="58">
        <f t="shared" si="150"/>
        <v>417.01172812499999</v>
      </c>
      <c r="Q710" s="58">
        <f t="shared" si="151"/>
        <v>278.00781875000001</v>
      </c>
      <c r="R710" s="66">
        <f t="shared" si="152"/>
        <v>24.520289613750005</v>
      </c>
      <c r="S710" s="64">
        <f t="shared" si="153"/>
        <v>131.25</v>
      </c>
      <c r="T710" s="66">
        <f t="shared" si="154"/>
        <v>1556.9296961137502</v>
      </c>
      <c r="U710" s="68">
        <f t="shared" si="155"/>
        <v>44.483705603250009</v>
      </c>
      <c r="V710" s="68">
        <f t="shared" si="156"/>
        <v>463.37193336718758</v>
      </c>
      <c r="W710" s="68">
        <f t="shared" si="157"/>
        <v>308.9146222447917</v>
      </c>
    </row>
    <row r="711" spans="1:23" x14ac:dyDescent="0.25">
      <c r="A711" s="169" t="s">
        <v>888</v>
      </c>
      <c r="B711" s="61" t="s">
        <v>396</v>
      </c>
      <c r="C711" s="61" t="s">
        <v>591</v>
      </c>
      <c r="D711" s="61" t="s">
        <v>593</v>
      </c>
      <c r="E711" s="1" t="s">
        <v>365</v>
      </c>
      <c r="F711" s="62" t="str">
        <f t="shared" si="158"/>
        <v>64517</v>
      </c>
      <c r="G711" s="1">
        <v>10620049</v>
      </c>
      <c r="H711" s="1" t="s">
        <v>387</v>
      </c>
      <c r="I711" s="61">
        <v>20</v>
      </c>
      <c r="J711" s="61">
        <v>6.7</v>
      </c>
      <c r="K711" s="61">
        <v>8.8000000000000007</v>
      </c>
      <c r="L711" s="69">
        <f t="shared" si="147"/>
        <v>1.34</v>
      </c>
      <c r="M711" s="69">
        <f t="shared" si="148"/>
        <v>1.76</v>
      </c>
      <c r="N711" s="56">
        <f>INDEX(Rate_Chart!$A$1:$AK$127,MATCH(Data!J711,Rate_Chart!$A$1:$A$127,0),MATCH(Data!K711,Rate_Chart!$A$1:$AK$1,0))</f>
        <v>55.385550000000002</v>
      </c>
      <c r="O711" s="57">
        <f t="shared" si="149"/>
        <v>1107.711</v>
      </c>
      <c r="P711" s="58">
        <f t="shared" si="150"/>
        <v>440.73381962864721</v>
      </c>
      <c r="Q711" s="58">
        <f t="shared" si="151"/>
        <v>293.82254641909816</v>
      </c>
      <c r="R711" s="66">
        <f t="shared" si="152"/>
        <v>19.384942500000001</v>
      </c>
      <c r="S711" s="64">
        <f t="shared" si="153"/>
        <v>75</v>
      </c>
      <c r="T711" s="66">
        <f t="shared" si="154"/>
        <v>1202.0959425000001</v>
      </c>
      <c r="U711" s="68">
        <f t="shared" si="155"/>
        <v>60.104797125000005</v>
      </c>
      <c r="V711" s="68">
        <f t="shared" si="156"/>
        <v>478.28751027851456</v>
      </c>
      <c r="W711" s="68">
        <f t="shared" si="157"/>
        <v>318.85834018567635</v>
      </c>
    </row>
    <row r="712" spans="1:23" x14ac:dyDescent="0.25">
      <c r="A712" s="169" t="s">
        <v>888</v>
      </c>
      <c r="B712" s="61" t="s">
        <v>396</v>
      </c>
      <c r="C712" s="61" t="s">
        <v>591</v>
      </c>
      <c r="D712" s="61" t="s">
        <v>593</v>
      </c>
      <c r="E712" s="1" t="s">
        <v>365</v>
      </c>
      <c r="F712" s="62" t="str">
        <f t="shared" si="158"/>
        <v>64517</v>
      </c>
      <c r="G712" s="1">
        <v>10620049</v>
      </c>
      <c r="H712" s="1" t="s">
        <v>388</v>
      </c>
      <c r="I712" s="61">
        <v>30</v>
      </c>
      <c r="J712" s="61">
        <v>3.4</v>
      </c>
      <c r="K712" s="61">
        <v>8</v>
      </c>
      <c r="L712" s="69">
        <f t="shared" si="147"/>
        <v>1.02</v>
      </c>
      <c r="M712" s="69">
        <f t="shared" si="148"/>
        <v>2.4</v>
      </c>
      <c r="N712" s="56">
        <f>INDEX(Rate_Chart!$A$1:$AK$127,MATCH(Data!J712,Rate_Chart!$A$1:$A$127,0),MATCH(Data!K712,Rate_Chart!$A$1:$AK$1,0))</f>
        <v>36.419112000000005</v>
      </c>
      <c r="O712" s="57">
        <f t="shared" si="149"/>
        <v>1092.5733600000001</v>
      </c>
      <c r="P712" s="58">
        <f t="shared" si="150"/>
        <v>417.01273282442747</v>
      </c>
      <c r="Q712" s="58">
        <f t="shared" si="151"/>
        <v>278.00848854961833</v>
      </c>
      <c r="R712" s="66">
        <f t="shared" si="152"/>
        <v>19.120033800000005</v>
      </c>
      <c r="S712" s="64">
        <f t="shared" si="153"/>
        <v>112.5</v>
      </c>
      <c r="T712" s="66">
        <f t="shared" si="154"/>
        <v>1224.1933938000002</v>
      </c>
      <c r="U712" s="68">
        <f t="shared" si="155"/>
        <v>40.806446460000004</v>
      </c>
      <c r="V712" s="68">
        <f t="shared" si="156"/>
        <v>467.24938694656487</v>
      </c>
      <c r="W712" s="68">
        <f t="shared" si="157"/>
        <v>311.49959129770991</v>
      </c>
    </row>
    <row r="713" spans="1:23" x14ac:dyDescent="0.25">
      <c r="A713" s="169" t="s">
        <v>888</v>
      </c>
      <c r="B713" s="61" t="s">
        <v>397</v>
      </c>
      <c r="C713" s="61" t="s">
        <v>591</v>
      </c>
      <c r="D713" s="61" t="s">
        <v>593</v>
      </c>
      <c r="E713" s="1" t="s">
        <v>365</v>
      </c>
      <c r="F713" s="62" t="str">
        <f t="shared" si="158"/>
        <v>64517</v>
      </c>
      <c r="G713" s="1">
        <v>10620049</v>
      </c>
      <c r="H713" s="1" t="s">
        <v>387</v>
      </c>
      <c r="I713" s="61">
        <v>8</v>
      </c>
      <c r="J713" s="61">
        <v>5.8</v>
      </c>
      <c r="K713" s="61">
        <v>8.6</v>
      </c>
      <c r="L713" s="69">
        <f t="shared" si="147"/>
        <v>0.46399999999999997</v>
      </c>
      <c r="M713" s="69">
        <f t="shared" si="148"/>
        <v>0.68799999999999994</v>
      </c>
      <c r="N713" s="56">
        <f>INDEX(Rate_Chart!$A$1:$AK$127,MATCH(Data!J713,Rate_Chart!$A$1:$A$127,0),MATCH(Data!K713,Rate_Chart!$A$1:$AK$1,0))</f>
        <v>47.461399999999998</v>
      </c>
      <c r="O713" s="57">
        <f t="shared" si="149"/>
        <v>379.69119999999998</v>
      </c>
      <c r="P713" s="58">
        <f t="shared" si="150"/>
        <v>411.51502890173413</v>
      </c>
      <c r="Q713" s="58">
        <f t="shared" si="151"/>
        <v>274.34335260115608</v>
      </c>
      <c r="R713" s="66">
        <f t="shared" si="152"/>
        <v>6.6445959999999999</v>
      </c>
      <c r="S713" s="64">
        <f t="shared" si="153"/>
        <v>30</v>
      </c>
      <c r="T713" s="66">
        <f t="shared" si="154"/>
        <v>416.33579599999996</v>
      </c>
      <c r="U713" s="68">
        <f t="shared" si="155"/>
        <v>52.041974499999995</v>
      </c>
      <c r="V713" s="68">
        <f t="shared" si="156"/>
        <v>451.23099277456652</v>
      </c>
      <c r="W713" s="68">
        <f t="shared" si="157"/>
        <v>300.82066184971103</v>
      </c>
    </row>
    <row r="714" spans="1:23" x14ac:dyDescent="0.25">
      <c r="A714" s="169" t="s">
        <v>888</v>
      </c>
      <c r="B714" s="61" t="s">
        <v>397</v>
      </c>
      <c r="C714" s="61" t="s">
        <v>591</v>
      </c>
      <c r="D714" s="61" t="s">
        <v>593</v>
      </c>
      <c r="E714" s="1" t="s">
        <v>365</v>
      </c>
      <c r="F714" s="62" t="str">
        <f t="shared" si="158"/>
        <v>64517</v>
      </c>
      <c r="G714" s="1">
        <v>10620049</v>
      </c>
      <c r="H714" s="1" t="s">
        <v>388</v>
      </c>
      <c r="I714" s="61">
        <v>20</v>
      </c>
      <c r="J714" s="61">
        <v>3</v>
      </c>
      <c r="K714" s="61">
        <v>8</v>
      </c>
      <c r="L714" s="69">
        <f t="shared" si="147"/>
        <v>0.6</v>
      </c>
      <c r="M714" s="69">
        <f t="shared" si="148"/>
        <v>1.6</v>
      </c>
      <c r="N714" s="56">
        <f>INDEX(Rate_Chart!$A$1:$AK$127,MATCH(Data!J714,Rate_Chart!$A$1:$A$127,0),MATCH(Data!K714,Rate_Chart!$A$1:$AK$1,0))</f>
        <v>34.751112000000006</v>
      </c>
      <c r="O714" s="57">
        <f t="shared" si="149"/>
        <v>695.02224000000012</v>
      </c>
      <c r="P714" s="58">
        <f t="shared" si="150"/>
        <v>417.01334400000002</v>
      </c>
      <c r="Q714" s="58">
        <f t="shared" si="151"/>
        <v>278.00889599999999</v>
      </c>
      <c r="R714" s="66">
        <f t="shared" si="152"/>
        <v>12.162889200000004</v>
      </c>
      <c r="S714" s="64">
        <f t="shared" si="153"/>
        <v>75</v>
      </c>
      <c r="T714" s="66">
        <f t="shared" si="154"/>
        <v>782.18512920000012</v>
      </c>
      <c r="U714" s="68">
        <f t="shared" si="155"/>
        <v>39.109256460000005</v>
      </c>
      <c r="V714" s="68">
        <f t="shared" si="156"/>
        <v>469.31107752000003</v>
      </c>
      <c r="W714" s="68">
        <f t="shared" si="157"/>
        <v>312.87405168000004</v>
      </c>
    </row>
    <row r="715" spans="1:23" x14ac:dyDescent="0.25">
      <c r="A715" s="169" t="s">
        <v>889</v>
      </c>
      <c r="B715" s="61" t="s">
        <v>396</v>
      </c>
      <c r="C715" s="61" t="s">
        <v>591</v>
      </c>
      <c r="D715" s="61" t="s">
        <v>593</v>
      </c>
      <c r="E715" s="1" t="s">
        <v>365</v>
      </c>
      <c r="F715" s="62" t="str">
        <f t="shared" si="158"/>
        <v>64517</v>
      </c>
      <c r="G715" s="1">
        <v>10620049</v>
      </c>
      <c r="H715" s="1" t="s">
        <v>387</v>
      </c>
      <c r="I715" s="61">
        <v>17</v>
      </c>
      <c r="J715" s="61">
        <v>6.5</v>
      </c>
      <c r="K715" s="61">
        <v>8.8000000000000007</v>
      </c>
      <c r="L715" s="69">
        <f t="shared" si="147"/>
        <v>1.105</v>
      </c>
      <c r="M715" s="69">
        <f t="shared" si="148"/>
        <v>1.4960000000000002</v>
      </c>
      <c r="N715" s="56">
        <f>INDEX(Rate_Chart!$A$1:$AK$127,MATCH(Data!J715,Rate_Chart!$A$1:$A$127,0),MATCH(Data!K715,Rate_Chart!$A$1:$AK$1,0))</f>
        <v>53.732250000000001</v>
      </c>
      <c r="O715" s="57">
        <f t="shared" si="149"/>
        <v>913.44825000000003</v>
      </c>
      <c r="P715" s="58">
        <f t="shared" si="150"/>
        <v>434.49258760107813</v>
      </c>
      <c r="Q715" s="58">
        <f t="shared" si="151"/>
        <v>289.66172506738542</v>
      </c>
      <c r="R715" s="66">
        <f t="shared" si="152"/>
        <v>15.985344375000002</v>
      </c>
      <c r="S715" s="64">
        <f t="shared" si="153"/>
        <v>63.75</v>
      </c>
      <c r="T715" s="66">
        <f t="shared" si="154"/>
        <v>993.18359437499998</v>
      </c>
      <c r="U715" s="68">
        <f t="shared" si="155"/>
        <v>58.422564375</v>
      </c>
      <c r="V715" s="68">
        <f t="shared" si="156"/>
        <v>472.41965801886789</v>
      </c>
      <c r="W715" s="68">
        <f t="shared" si="157"/>
        <v>314.94643867924526</v>
      </c>
    </row>
    <row r="716" spans="1:23" x14ac:dyDescent="0.25">
      <c r="A716" s="169" t="s">
        <v>889</v>
      </c>
      <c r="B716" s="61" t="s">
        <v>396</v>
      </c>
      <c r="C716" s="61" t="s">
        <v>591</v>
      </c>
      <c r="D716" s="61" t="s">
        <v>593</v>
      </c>
      <c r="E716" s="1" t="s">
        <v>365</v>
      </c>
      <c r="F716" s="62" t="str">
        <f t="shared" si="158"/>
        <v>64517</v>
      </c>
      <c r="G716" s="1">
        <v>10620049</v>
      </c>
      <c r="H716" s="1" t="s">
        <v>388</v>
      </c>
      <c r="I716" s="61">
        <v>34</v>
      </c>
      <c r="J716" s="61">
        <v>3.4</v>
      </c>
      <c r="K716" s="61">
        <v>8</v>
      </c>
      <c r="L716" s="69">
        <f t="shared" si="147"/>
        <v>1.1559999999999999</v>
      </c>
      <c r="M716" s="69">
        <f t="shared" si="148"/>
        <v>2.72</v>
      </c>
      <c r="N716" s="56">
        <f>INDEX(Rate_Chart!$A$1:$AK$127,MATCH(Data!J716,Rate_Chart!$A$1:$A$127,0),MATCH(Data!K716,Rate_Chart!$A$1:$AK$1,0))</f>
        <v>36.419112000000005</v>
      </c>
      <c r="O716" s="57">
        <f t="shared" si="149"/>
        <v>1238.2498080000003</v>
      </c>
      <c r="P716" s="58">
        <f t="shared" si="150"/>
        <v>417.01273282442747</v>
      </c>
      <c r="Q716" s="58">
        <f t="shared" si="151"/>
        <v>278.00848854961833</v>
      </c>
      <c r="R716" s="66">
        <f t="shared" si="152"/>
        <v>21.669371640000005</v>
      </c>
      <c r="S716" s="64">
        <f t="shared" si="153"/>
        <v>127.5</v>
      </c>
      <c r="T716" s="66">
        <f t="shared" si="154"/>
        <v>1387.4191796400003</v>
      </c>
      <c r="U716" s="68">
        <f t="shared" si="155"/>
        <v>40.806446460000011</v>
      </c>
      <c r="V716" s="68">
        <f t="shared" si="156"/>
        <v>467.24938694656493</v>
      </c>
      <c r="W716" s="68">
        <f t="shared" si="157"/>
        <v>311.49959129770997</v>
      </c>
    </row>
    <row r="717" spans="1:23" x14ac:dyDescent="0.25">
      <c r="A717" s="169" t="s">
        <v>889</v>
      </c>
      <c r="B717" s="61" t="s">
        <v>397</v>
      </c>
      <c r="C717" s="61" t="s">
        <v>591</v>
      </c>
      <c r="D717" s="61" t="s">
        <v>593</v>
      </c>
      <c r="E717" s="1" t="s">
        <v>365</v>
      </c>
      <c r="F717" s="62" t="str">
        <f t="shared" si="158"/>
        <v>64517</v>
      </c>
      <c r="G717" s="1">
        <v>10620049</v>
      </c>
      <c r="H717" s="1" t="s">
        <v>387</v>
      </c>
      <c r="I717" s="61">
        <v>5</v>
      </c>
      <c r="J717" s="61">
        <v>7</v>
      </c>
      <c r="K717" s="61">
        <v>8.8000000000000007</v>
      </c>
      <c r="L717" s="69">
        <f t="shared" si="147"/>
        <v>0.35</v>
      </c>
      <c r="M717" s="69">
        <f t="shared" si="148"/>
        <v>0.44</v>
      </c>
      <c r="N717" s="56">
        <f>INDEX(Rate_Chart!$A$1:$AK$127,MATCH(Data!J717,Rate_Chart!$A$1:$A$127,0),MATCH(Data!K717,Rate_Chart!$A$1:$AK$1,0))</f>
        <v>57.865500000000004</v>
      </c>
      <c r="O717" s="57">
        <f t="shared" si="149"/>
        <v>289.32750000000004</v>
      </c>
      <c r="P717" s="58">
        <f t="shared" si="150"/>
        <v>449.73186528497411</v>
      </c>
      <c r="Q717" s="58">
        <f t="shared" si="151"/>
        <v>299.82124352331607</v>
      </c>
      <c r="R717" s="66">
        <f t="shared" si="152"/>
        <v>5.0632312500000012</v>
      </c>
      <c r="S717" s="64">
        <f t="shared" si="153"/>
        <v>18.75</v>
      </c>
      <c r="T717" s="66">
        <f t="shared" si="154"/>
        <v>313.14073125000004</v>
      </c>
      <c r="U717" s="68">
        <f t="shared" si="155"/>
        <v>62.628146250000007</v>
      </c>
      <c r="V717" s="68">
        <f t="shared" si="156"/>
        <v>486.74725064766841</v>
      </c>
      <c r="W717" s="68">
        <f t="shared" si="157"/>
        <v>324.49816709844561</v>
      </c>
    </row>
    <row r="718" spans="1:23" x14ac:dyDescent="0.25">
      <c r="A718" s="169" t="s">
        <v>889</v>
      </c>
      <c r="B718" s="61" t="s">
        <v>397</v>
      </c>
      <c r="C718" s="61" t="s">
        <v>591</v>
      </c>
      <c r="D718" s="61" t="s">
        <v>593</v>
      </c>
      <c r="E718" s="1" t="s">
        <v>365</v>
      </c>
      <c r="F718" s="62" t="str">
        <f t="shared" si="158"/>
        <v>64517</v>
      </c>
      <c r="G718" s="1">
        <v>10620049</v>
      </c>
      <c r="H718" s="1" t="s">
        <v>388</v>
      </c>
      <c r="I718" s="61">
        <v>21</v>
      </c>
      <c r="J718" s="61">
        <v>3.1</v>
      </c>
      <c r="K718" s="61">
        <v>8.1</v>
      </c>
      <c r="L718" s="69">
        <f t="shared" si="147"/>
        <v>0.65100000000000013</v>
      </c>
      <c r="M718" s="69">
        <f t="shared" si="148"/>
        <v>1.7009999999999998</v>
      </c>
      <c r="N718" s="56">
        <f>INDEX(Rate_Chart!$A$1:$AK$127,MATCH(Data!J718,Rate_Chart!$A$1:$A$127,0),MATCH(Data!K718,Rate_Chart!$A$1:$AK$1,0))</f>
        <v>35.446125899999998</v>
      </c>
      <c r="O718" s="57">
        <f t="shared" si="149"/>
        <v>744.36864389999994</v>
      </c>
      <c r="P718" s="58">
        <f t="shared" si="150"/>
        <v>417.01324588235298</v>
      </c>
      <c r="Q718" s="58">
        <f t="shared" si="151"/>
        <v>278.0088305882353</v>
      </c>
      <c r="R718" s="66">
        <f t="shared" si="152"/>
        <v>13.02645126825</v>
      </c>
      <c r="S718" s="64">
        <f t="shared" si="153"/>
        <v>78.75</v>
      </c>
      <c r="T718" s="66">
        <f t="shared" si="154"/>
        <v>836.1450951682499</v>
      </c>
      <c r="U718" s="68">
        <f t="shared" si="155"/>
        <v>39.816433103249992</v>
      </c>
      <c r="V718" s="68">
        <f t="shared" si="156"/>
        <v>468.4286247441176</v>
      </c>
      <c r="W718" s="68">
        <f t="shared" si="157"/>
        <v>312.28574982941171</v>
      </c>
    </row>
    <row r="719" spans="1:23" x14ac:dyDescent="0.25">
      <c r="A719" s="169" t="s">
        <v>890</v>
      </c>
      <c r="B719" s="61" t="s">
        <v>396</v>
      </c>
      <c r="C719" s="61" t="s">
        <v>591</v>
      </c>
      <c r="D719" s="61" t="s">
        <v>593</v>
      </c>
      <c r="E719" s="1" t="s">
        <v>365</v>
      </c>
      <c r="F719" s="62" t="str">
        <f t="shared" si="158"/>
        <v>64517</v>
      </c>
      <c r="G719" s="1">
        <v>10620049</v>
      </c>
      <c r="H719" s="1" t="s">
        <v>387</v>
      </c>
      <c r="I719" s="61">
        <v>19</v>
      </c>
      <c r="J719" s="61">
        <v>6.7</v>
      </c>
      <c r="K719" s="61">
        <v>8.8000000000000007</v>
      </c>
      <c r="L719" s="69">
        <f t="shared" si="147"/>
        <v>1.2729999999999999</v>
      </c>
      <c r="M719" s="69">
        <f t="shared" si="148"/>
        <v>1.6720000000000002</v>
      </c>
      <c r="N719" s="56">
        <f>INDEX(Rate_Chart!$A$1:$AK$127,MATCH(Data!J719,Rate_Chart!$A$1:$A$127,0),MATCH(Data!K719,Rate_Chart!$A$1:$AK$1,0))</f>
        <v>55.385550000000002</v>
      </c>
      <c r="O719" s="57">
        <f t="shared" si="149"/>
        <v>1052.32545</v>
      </c>
      <c r="P719" s="58">
        <f t="shared" si="150"/>
        <v>440.73381962864721</v>
      </c>
      <c r="Q719" s="58">
        <f t="shared" si="151"/>
        <v>293.82254641909816</v>
      </c>
      <c r="R719" s="66">
        <f t="shared" si="152"/>
        <v>18.415695375000002</v>
      </c>
      <c r="S719" s="64">
        <f t="shared" si="153"/>
        <v>71.25</v>
      </c>
      <c r="T719" s="66">
        <f t="shared" si="154"/>
        <v>1141.9911453750001</v>
      </c>
      <c r="U719" s="68">
        <f t="shared" si="155"/>
        <v>60.104797125000005</v>
      </c>
      <c r="V719" s="68">
        <f t="shared" si="156"/>
        <v>478.28751027851456</v>
      </c>
      <c r="W719" s="68">
        <f t="shared" si="157"/>
        <v>318.85834018567635</v>
      </c>
    </row>
    <row r="720" spans="1:23" x14ac:dyDescent="0.25">
      <c r="A720" s="169" t="s">
        <v>890</v>
      </c>
      <c r="B720" s="61" t="s">
        <v>396</v>
      </c>
      <c r="C720" s="61" t="s">
        <v>591</v>
      </c>
      <c r="D720" s="61" t="s">
        <v>593</v>
      </c>
      <c r="E720" s="1" t="s">
        <v>365</v>
      </c>
      <c r="F720" s="62" t="str">
        <f t="shared" si="158"/>
        <v>64517</v>
      </c>
      <c r="G720" s="1">
        <v>10620049</v>
      </c>
      <c r="H720" s="1" t="s">
        <v>388</v>
      </c>
      <c r="I720" s="61">
        <v>36</v>
      </c>
      <c r="J720" s="61">
        <v>3.3</v>
      </c>
      <c r="K720" s="61">
        <v>8</v>
      </c>
      <c r="L720" s="69">
        <f t="shared" si="147"/>
        <v>1.1879999999999999</v>
      </c>
      <c r="M720" s="69">
        <f t="shared" si="148"/>
        <v>2.88</v>
      </c>
      <c r="N720" s="56">
        <f>INDEX(Rate_Chart!$A$1:$AK$127,MATCH(Data!J720,Rate_Chart!$A$1:$A$127,0),MATCH(Data!K720,Rate_Chart!$A$1:$AK$1,0))</f>
        <v>36.002112000000004</v>
      </c>
      <c r="O720" s="57">
        <f t="shared" si="149"/>
        <v>1296.0760320000002</v>
      </c>
      <c r="P720" s="58">
        <f t="shared" si="150"/>
        <v>417.01288030888031</v>
      </c>
      <c r="Q720" s="58">
        <f t="shared" si="151"/>
        <v>278.00858687258687</v>
      </c>
      <c r="R720" s="66">
        <f t="shared" si="152"/>
        <v>22.681330560000006</v>
      </c>
      <c r="S720" s="64">
        <f t="shared" si="153"/>
        <v>135</v>
      </c>
      <c r="T720" s="66">
        <f t="shared" si="154"/>
        <v>1453.7573625600003</v>
      </c>
      <c r="U720" s="68">
        <f t="shared" si="155"/>
        <v>40.382148960000009</v>
      </c>
      <c r="V720" s="68">
        <f t="shared" si="156"/>
        <v>467.74689915057917</v>
      </c>
      <c r="W720" s="68">
        <f t="shared" si="157"/>
        <v>311.83126610038613</v>
      </c>
    </row>
    <row r="721" spans="1:23" x14ac:dyDescent="0.25">
      <c r="A721" s="169" t="s">
        <v>890</v>
      </c>
      <c r="B721" s="61" t="s">
        <v>397</v>
      </c>
      <c r="C721" s="61" t="s">
        <v>591</v>
      </c>
      <c r="D721" s="61" t="s">
        <v>593</v>
      </c>
      <c r="E721" s="1" t="s">
        <v>365</v>
      </c>
      <c r="F721" s="62" t="str">
        <f t="shared" si="158"/>
        <v>64517</v>
      </c>
      <c r="G721" s="1">
        <v>10620049</v>
      </c>
      <c r="H721" s="1" t="s">
        <v>388</v>
      </c>
      <c r="I721" s="61">
        <v>24</v>
      </c>
      <c r="J721" s="61">
        <v>4.2</v>
      </c>
      <c r="K721" s="61">
        <v>8.1999999999999993</v>
      </c>
      <c r="L721" s="69">
        <f t="shared" si="147"/>
        <v>1.008</v>
      </c>
      <c r="M721" s="69">
        <f t="shared" si="148"/>
        <v>1.9679999999999997</v>
      </c>
      <c r="N721" s="56">
        <f>INDEX(Rate_Chart!$A$1:$AK$127,MATCH(Data!J721,Rate_Chart!$A$1:$A$127,0),MATCH(Data!K721,Rate_Chart!$A$1:$AK$1,0))</f>
        <v>40.311139799999999</v>
      </c>
      <c r="O721" s="57">
        <f t="shared" si="149"/>
        <v>967.46735519999993</v>
      </c>
      <c r="P721" s="58">
        <f t="shared" si="150"/>
        <v>417.01179103448277</v>
      </c>
      <c r="Q721" s="58">
        <f t="shared" si="151"/>
        <v>278.00786068965516</v>
      </c>
      <c r="R721" s="66">
        <f t="shared" si="152"/>
        <v>16.930678715999999</v>
      </c>
      <c r="S721" s="64">
        <f t="shared" si="153"/>
        <v>90</v>
      </c>
      <c r="T721" s="66">
        <f t="shared" si="154"/>
        <v>1074.398033916</v>
      </c>
      <c r="U721" s="68">
        <f t="shared" si="155"/>
        <v>44.766584746500001</v>
      </c>
      <c r="V721" s="68">
        <f t="shared" si="156"/>
        <v>463.10260082586211</v>
      </c>
      <c r="W721" s="68">
        <f t="shared" si="157"/>
        <v>308.73506721724141</v>
      </c>
    </row>
    <row r="722" spans="1:23" x14ac:dyDescent="0.25">
      <c r="A722" s="169" t="s">
        <v>891</v>
      </c>
      <c r="B722" s="61" t="s">
        <v>396</v>
      </c>
      <c r="C722" s="61" t="s">
        <v>591</v>
      </c>
      <c r="D722" s="61" t="s">
        <v>593</v>
      </c>
      <c r="E722" s="1" t="s">
        <v>365</v>
      </c>
      <c r="F722" s="62" t="str">
        <f t="shared" si="158"/>
        <v>64517</v>
      </c>
      <c r="G722" s="1">
        <v>10620049</v>
      </c>
      <c r="H722" s="1" t="s">
        <v>387</v>
      </c>
      <c r="I722" s="61">
        <v>13</v>
      </c>
      <c r="J722" s="61">
        <v>6.6</v>
      </c>
      <c r="K722" s="61">
        <v>8.8000000000000007</v>
      </c>
      <c r="L722" s="69">
        <f t="shared" si="147"/>
        <v>0.85799999999999998</v>
      </c>
      <c r="M722" s="69">
        <f t="shared" si="148"/>
        <v>1.1440000000000001</v>
      </c>
      <c r="N722" s="56">
        <f>INDEX(Rate_Chart!$A$1:$AK$127,MATCH(Data!J722,Rate_Chart!$A$1:$A$127,0),MATCH(Data!K722,Rate_Chart!$A$1:$AK$1,0))</f>
        <v>54.558900000000001</v>
      </c>
      <c r="O722" s="57">
        <f t="shared" si="149"/>
        <v>709.26570000000004</v>
      </c>
      <c r="P722" s="58">
        <f t="shared" si="150"/>
        <v>437.63823529411764</v>
      </c>
      <c r="Q722" s="58">
        <f t="shared" si="151"/>
        <v>291.75882352941176</v>
      </c>
      <c r="R722" s="66">
        <f t="shared" si="152"/>
        <v>12.412149750000001</v>
      </c>
      <c r="S722" s="64">
        <f t="shared" si="153"/>
        <v>48.75</v>
      </c>
      <c r="T722" s="66">
        <f t="shared" si="154"/>
        <v>770.42784975000006</v>
      </c>
      <c r="U722" s="68">
        <f t="shared" si="155"/>
        <v>59.263680750000006</v>
      </c>
      <c r="V722" s="68">
        <f t="shared" si="156"/>
        <v>475.37711831550803</v>
      </c>
      <c r="W722" s="68">
        <f t="shared" si="157"/>
        <v>316.91807887700537</v>
      </c>
    </row>
    <row r="723" spans="1:23" x14ac:dyDescent="0.25">
      <c r="A723" s="169" t="s">
        <v>891</v>
      </c>
      <c r="B723" s="61" t="s">
        <v>396</v>
      </c>
      <c r="C723" s="61" t="s">
        <v>591</v>
      </c>
      <c r="D723" s="61" t="s">
        <v>593</v>
      </c>
      <c r="E723" s="1" t="s">
        <v>365</v>
      </c>
      <c r="F723" s="62" t="str">
        <f t="shared" si="158"/>
        <v>64517</v>
      </c>
      <c r="G723" s="1">
        <v>10620049</v>
      </c>
      <c r="H723" s="1" t="s">
        <v>388</v>
      </c>
      <c r="I723" s="61">
        <v>37</v>
      </c>
      <c r="J723" s="61">
        <v>3.3</v>
      </c>
      <c r="K723" s="61">
        <v>8.1</v>
      </c>
      <c r="L723" s="69">
        <f t="shared" si="147"/>
        <v>1.2209999999999999</v>
      </c>
      <c r="M723" s="69">
        <f t="shared" si="148"/>
        <v>2.9969999999999999</v>
      </c>
      <c r="N723" s="56">
        <f>INDEX(Rate_Chart!$A$1:$AK$127,MATCH(Data!J723,Rate_Chart!$A$1:$A$127,0),MATCH(Data!K723,Rate_Chart!$A$1:$AK$1,0))</f>
        <v>36.280125900000002</v>
      </c>
      <c r="O723" s="57">
        <f t="shared" si="149"/>
        <v>1342.3646583</v>
      </c>
      <c r="P723" s="58">
        <f t="shared" si="150"/>
        <v>417.0129413793104</v>
      </c>
      <c r="Q723" s="58">
        <f t="shared" si="151"/>
        <v>278.00862758620696</v>
      </c>
      <c r="R723" s="66">
        <f t="shared" si="152"/>
        <v>23.491381520250002</v>
      </c>
      <c r="S723" s="64">
        <f t="shared" si="153"/>
        <v>138.75</v>
      </c>
      <c r="T723" s="66">
        <f t="shared" si="154"/>
        <v>1504.6060398202499</v>
      </c>
      <c r="U723" s="68">
        <f t="shared" si="155"/>
        <v>40.665028103249995</v>
      </c>
      <c r="V723" s="68">
        <f t="shared" si="156"/>
        <v>467.41411612931034</v>
      </c>
      <c r="W723" s="68">
        <f t="shared" si="157"/>
        <v>311.60941075287354</v>
      </c>
    </row>
    <row r="724" spans="1:23" x14ac:dyDescent="0.25">
      <c r="A724" s="169" t="s">
        <v>891</v>
      </c>
      <c r="B724" s="61" t="s">
        <v>397</v>
      </c>
      <c r="C724" s="61" t="s">
        <v>591</v>
      </c>
      <c r="D724" s="61" t="s">
        <v>593</v>
      </c>
      <c r="E724" s="1" t="s">
        <v>365</v>
      </c>
      <c r="F724" s="62" t="str">
        <f t="shared" si="158"/>
        <v>64517</v>
      </c>
      <c r="G724" s="1">
        <v>10620049</v>
      </c>
      <c r="H724" s="1" t="s">
        <v>387</v>
      </c>
      <c r="I724" s="61">
        <v>10</v>
      </c>
      <c r="J724" s="61">
        <v>6.7</v>
      </c>
      <c r="K724" s="61">
        <v>8.8000000000000007</v>
      </c>
      <c r="L724" s="69">
        <f t="shared" si="147"/>
        <v>0.67</v>
      </c>
      <c r="M724" s="69">
        <f t="shared" si="148"/>
        <v>0.88</v>
      </c>
      <c r="N724" s="56">
        <f>INDEX(Rate_Chart!$A$1:$AK$127,MATCH(Data!J724,Rate_Chart!$A$1:$A$127,0),MATCH(Data!K724,Rate_Chart!$A$1:$AK$1,0))</f>
        <v>55.385550000000002</v>
      </c>
      <c r="O724" s="57">
        <f t="shared" si="149"/>
        <v>553.85550000000001</v>
      </c>
      <c r="P724" s="58">
        <f t="shared" si="150"/>
        <v>440.73381962864721</v>
      </c>
      <c r="Q724" s="58">
        <f t="shared" si="151"/>
        <v>293.82254641909816</v>
      </c>
      <c r="R724" s="66">
        <f t="shared" si="152"/>
        <v>9.6924712500000005</v>
      </c>
      <c r="S724" s="64">
        <f t="shared" si="153"/>
        <v>37.5</v>
      </c>
      <c r="T724" s="66">
        <f t="shared" si="154"/>
        <v>601.04797125000005</v>
      </c>
      <c r="U724" s="68">
        <f t="shared" si="155"/>
        <v>60.104797125000005</v>
      </c>
      <c r="V724" s="68">
        <f t="shared" si="156"/>
        <v>478.28751027851456</v>
      </c>
      <c r="W724" s="68">
        <f t="shared" si="157"/>
        <v>318.85834018567635</v>
      </c>
    </row>
    <row r="725" spans="1:23" x14ac:dyDescent="0.25">
      <c r="A725" s="169" t="s">
        <v>891</v>
      </c>
      <c r="B725" s="61" t="s">
        <v>397</v>
      </c>
      <c r="C725" s="61" t="s">
        <v>591</v>
      </c>
      <c r="D725" s="61" t="s">
        <v>593</v>
      </c>
      <c r="E725" s="1" t="s">
        <v>365</v>
      </c>
      <c r="F725" s="62" t="str">
        <f t="shared" si="158"/>
        <v>64517</v>
      </c>
      <c r="G725" s="1">
        <v>10620049</v>
      </c>
      <c r="H725" s="1" t="s">
        <v>388</v>
      </c>
      <c r="I725" s="61">
        <v>27</v>
      </c>
      <c r="J725" s="61">
        <v>3.3</v>
      </c>
      <c r="K725" s="61">
        <v>8.1</v>
      </c>
      <c r="L725" s="69">
        <f t="shared" si="147"/>
        <v>0.8909999999999999</v>
      </c>
      <c r="M725" s="69">
        <f t="shared" si="148"/>
        <v>2.1869999999999998</v>
      </c>
      <c r="N725" s="56">
        <f>INDEX(Rate_Chart!$A$1:$AK$127,MATCH(Data!J725,Rate_Chart!$A$1:$A$127,0),MATCH(Data!K725,Rate_Chart!$A$1:$AK$1,0))</f>
        <v>36.280125900000002</v>
      </c>
      <c r="O725" s="57">
        <f t="shared" si="149"/>
        <v>979.56339930000001</v>
      </c>
      <c r="P725" s="58">
        <f t="shared" si="150"/>
        <v>417.0129413793104</v>
      </c>
      <c r="Q725" s="58">
        <f t="shared" si="151"/>
        <v>278.00862758620696</v>
      </c>
      <c r="R725" s="66">
        <f t="shared" si="152"/>
        <v>17.142359487750003</v>
      </c>
      <c r="S725" s="64">
        <f t="shared" si="153"/>
        <v>101.25</v>
      </c>
      <c r="T725" s="66">
        <f t="shared" si="154"/>
        <v>1097.95575878775</v>
      </c>
      <c r="U725" s="68">
        <f t="shared" si="155"/>
        <v>40.665028103250002</v>
      </c>
      <c r="V725" s="68">
        <f t="shared" si="156"/>
        <v>467.4141161293104</v>
      </c>
      <c r="W725" s="68">
        <f t="shared" si="157"/>
        <v>311.6094107528736</v>
      </c>
    </row>
    <row r="726" spans="1:23" x14ac:dyDescent="0.25">
      <c r="A726" s="169" t="s">
        <v>892</v>
      </c>
      <c r="B726" s="61" t="s">
        <v>396</v>
      </c>
      <c r="C726" s="61" t="s">
        <v>591</v>
      </c>
      <c r="D726" s="61" t="s">
        <v>593</v>
      </c>
      <c r="E726" s="1" t="s">
        <v>365</v>
      </c>
      <c r="F726" s="62" t="str">
        <f t="shared" si="158"/>
        <v>64517</v>
      </c>
      <c r="G726" s="1">
        <v>10620049</v>
      </c>
      <c r="H726" s="1" t="s">
        <v>387</v>
      </c>
      <c r="I726" s="61">
        <v>16</v>
      </c>
      <c r="J726" s="61">
        <v>6.7</v>
      </c>
      <c r="K726" s="61">
        <v>8.8000000000000007</v>
      </c>
      <c r="L726" s="69">
        <f t="shared" si="147"/>
        <v>1.0720000000000001</v>
      </c>
      <c r="M726" s="69">
        <f t="shared" si="148"/>
        <v>1.4080000000000001</v>
      </c>
      <c r="N726" s="56">
        <f>INDEX(Rate_Chart!$A$1:$AK$127,MATCH(Data!J726,Rate_Chart!$A$1:$A$127,0),MATCH(Data!K726,Rate_Chart!$A$1:$AK$1,0))</f>
        <v>55.385550000000002</v>
      </c>
      <c r="O726" s="57">
        <f t="shared" si="149"/>
        <v>886.16880000000003</v>
      </c>
      <c r="P726" s="58">
        <f t="shared" si="150"/>
        <v>440.73381962864721</v>
      </c>
      <c r="Q726" s="58">
        <f t="shared" si="151"/>
        <v>293.82254641909816</v>
      </c>
      <c r="R726" s="66">
        <f t="shared" si="152"/>
        <v>15.507954000000002</v>
      </c>
      <c r="S726" s="64">
        <f t="shared" si="153"/>
        <v>60</v>
      </c>
      <c r="T726" s="66">
        <f t="shared" si="154"/>
        <v>961.67675400000007</v>
      </c>
      <c r="U726" s="68">
        <f t="shared" si="155"/>
        <v>60.104797125000005</v>
      </c>
      <c r="V726" s="68">
        <f t="shared" si="156"/>
        <v>478.28751027851456</v>
      </c>
      <c r="W726" s="68">
        <f t="shared" si="157"/>
        <v>318.85834018567635</v>
      </c>
    </row>
    <row r="727" spans="1:23" x14ac:dyDescent="0.25">
      <c r="A727" s="169" t="s">
        <v>892</v>
      </c>
      <c r="B727" s="61" t="s">
        <v>396</v>
      </c>
      <c r="C727" s="61" t="s">
        <v>591</v>
      </c>
      <c r="D727" s="61" t="s">
        <v>593</v>
      </c>
      <c r="E727" s="1" t="s">
        <v>365</v>
      </c>
      <c r="F727" s="62" t="str">
        <f t="shared" si="158"/>
        <v>64517</v>
      </c>
      <c r="G727" s="1">
        <v>10620049</v>
      </c>
      <c r="H727" s="1" t="s">
        <v>388</v>
      </c>
      <c r="I727" s="61">
        <v>32</v>
      </c>
      <c r="J727" s="61">
        <v>3.6</v>
      </c>
      <c r="K727" s="61">
        <v>8.1</v>
      </c>
      <c r="L727" s="69">
        <f t="shared" si="147"/>
        <v>1.1520000000000001</v>
      </c>
      <c r="M727" s="69">
        <f t="shared" si="148"/>
        <v>2.5920000000000001</v>
      </c>
      <c r="N727" s="56">
        <f>INDEX(Rate_Chart!$A$1:$AK$127,MATCH(Data!J727,Rate_Chart!$A$1:$A$127,0),MATCH(Data!K727,Rate_Chart!$A$1:$AK$1,0))</f>
        <v>37.531125900000006</v>
      </c>
      <c r="O727" s="57">
        <f t="shared" si="149"/>
        <v>1200.9960288000002</v>
      </c>
      <c r="P727" s="58">
        <f t="shared" si="150"/>
        <v>417.01251000000008</v>
      </c>
      <c r="Q727" s="58">
        <f t="shared" si="151"/>
        <v>278.00834000000003</v>
      </c>
      <c r="R727" s="66">
        <f t="shared" si="152"/>
        <v>21.017430504000007</v>
      </c>
      <c r="S727" s="64">
        <f t="shared" si="153"/>
        <v>120</v>
      </c>
      <c r="T727" s="66">
        <f t="shared" si="154"/>
        <v>1342.0134593040002</v>
      </c>
      <c r="U727" s="68">
        <f t="shared" si="155"/>
        <v>41.937920603250006</v>
      </c>
      <c r="V727" s="68">
        <f t="shared" si="156"/>
        <v>465.97689559166673</v>
      </c>
      <c r="W727" s="68">
        <f t="shared" si="157"/>
        <v>310.6512637277778</v>
      </c>
    </row>
    <row r="728" spans="1:23" x14ac:dyDescent="0.25">
      <c r="A728" s="169" t="s">
        <v>892</v>
      </c>
      <c r="B728" s="61" t="s">
        <v>397</v>
      </c>
      <c r="C728" s="61" t="s">
        <v>591</v>
      </c>
      <c r="D728" s="61" t="s">
        <v>593</v>
      </c>
      <c r="E728" s="1" t="s">
        <v>365</v>
      </c>
      <c r="F728" s="62" t="str">
        <f t="shared" si="158"/>
        <v>64517</v>
      </c>
      <c r="G728" s="1">
        <v>10620049</v>
      </c>
      <c r="H728" s="1" t="s">
        <v>387</v>
      </c>
      <c r="I728" s="61">
        <v>6</v>
      </c>
      <c r="J728" s="61">
        <v>7</v>
      </c>
      <c r="K728" s="61">
        <v>8.8000000000000007</v>
      </c>
      <c r="L728" s="69">
        <f t="shared" si="147"/>
        <v>0.42</v>
      </c>
      <c r="M728" s="69">
        <f t="shared" si="148"/>
        <v>0.52800000000000002</v>
      </c>
      <c r="N728" s="56">
        <f>INDEX(Rate_Chart!$A$1:$AK$127,MATCH(Data!J728,Rate_Chart!$A$1:$A$127,0),MATCH(Data!K728,Rate_Chart!$A$1:$AK$1,0))</f>
        <v>57.865500000000004</v>
      </c>
      <c r="O728" s="57">
        <f t="shared" si="149"/>
        <v>347.19300000000004</v>
      </c>
      <c r="P728" s="58">
        <f t="shared" si="150"/>
        <v>449.73186528497411</v>
      </c>
      <c r="Q728" s="58">
        <f t="shared" si="151"/>
        <v>299.82124352331607</v>
      </c>
      <c r="R728" s="66">
        <f t="shared" si="152"/>
        <v>6.0758775000000016</v>
      </c>
      <c r="S728" s="64">
        <f t="shared" si="153"/>
        <v>22.5</v>
      </c>
      <c r="T728" s="66">
        <f t="shared" si="154"/>
        <v>375.76887750000003</v>
      </c>
      <c r="U728" s="68">
        <f t="shared" si="155"/>
        <v>62.628146250000007</v>
      </c>
      <c r="V728" s="68">
        <f t="shared" si="156"/>
        <v>486.74725064766841</v>
      </c>
      <c r="W728" s="68">
        <f t="shared" si="157"/>
        <v>324.49816709844561</v>
      </c>
    </row>
    <row r="729" spans="1:23" x14ac:dyDescent="0.25">
      <c r="A729" s="169" t="s">
        <v>892</v>
      </c>
      <c r="B729" s="61" t="s">
        <v>397</v>
      </c>
      <c r="C729" s="61" t="s">
        <v>591</v>
      </c>
      <c r="D729" s="61" t="s">
        <v>593</v>
      </c>
      <c r="E729" s="1" t="s">
        <v>365</v>
      </c>
      <c r="F729" s="62" t="str">
        <f t="shared" si="158"/>
        <v>64517</v>
      </c>
      <c r="G729" s="1">
        <v>10620049</v>
      </c>
      <c r="H729" s="1" t="s">
        <v>388</v>
      </c>
      <c r="I729" s="61">
        <v>21</v>
      </c>
      <c r="J729" s="61">
        <v>3.2</v>
      </c>
      <c r="K729" s="61">
        <v>8.1</v>
      </c>
      <c r="L729" s="69">
        <f t="shared" si="147"/>
        <v>0.67200000000000004</v>
      </c>
      <c r="M729" s="69">
        <f t="shared" si="148"/>
        <v>1.7009999999999998</v>
      </c>
      <c r="N729" s="56">
        <f>INDEX(Rate_Chart!$A$1:$AK$127,MATCH(Data!J729,Rate_Chart!$A$1:$A$127,0),MATCH(Data!K729,Rate_Chart!$A$1:$AK$1,0))</f>
        <v>35.8631259</v>
      </c>
      <c r="O729" s="57">
        <f t="shared" si="149"/>
        <v>753.1256439</v>
      </c>
      <c r="P729" s="58">
        <f t="shared" si="150"/>
        <v>417.01309186046512</v>
      </c>
      <c r="Q729" s="58">
        <f t="shared" si="151"/>
        <v>278.00872790697673</v>
      </c>
      <c r="R729" s="66">
        <f t="shared" si="152"/>
        <v>13.179698768250001</v>
      </c>
      <c r="S729" s="64">
        <f t="shared" si="153"/>
        <v>78.75</v>
      </c>
      <c r="T729" s="66">
        <f t="shared" si="154"/>
        <v>845.05534266824998</v>
      </c>
      <c r="U729" s="68">
        <f t="shared" si="155"/>
        <v>40.24073060325</v>
      </c>
      <c r="V729" s="68">
        <f t="shared" si="156"/>
        <v>467.91547213081401</v>
      </c>
      <c r="W729" s="68">
        <f t="shared" si="157"/>
        <v>311.94364808720934</v>
      </c>
    </row>
    <row r="730" spans="1:23" x14ac:dyDescent="0.25">
      <c r="A730" s="169" t="s">
        <v>893</v>
      </c>
      <c r="B730" s="61" t="s">
        <v>396</v>
      </c>
      <c r="C730" s="61" t="s">
        <v>591</v>
      </c>
      <c r="D730" s="61" t="s">
        <v>593</v>
      </c>
      <c r="E730" s="1" t="s">
        <v>365</v>
      </c>
      <c r="F730" s="62" t="str">
        <f t="shared" si="158"/>
        <v>64517</v>
      </c>
      <c r="G730" s="1">
        <v>10620049</v>
      </c>
      <c r="H730" s="1" t="s">
        <v>387</v>
      </c>
      <c r="I730" s="61">
        <v>16</v>
      </c>
      <c r="J730" s="61">
        <v>6.8</v>
      </c>
      <c r="K730" s="61">
        <v>8.8000000000000007</v>
      </c>
      <c r="L730" s="69">
        <f t="shared" si="147"/>
        <v>1.0880000000000001</v>
      </c>
      <c r="M730" s="69">
        <f t="shared" si="148"/>
        <v>1.4080000000000001</v>
      </c>
      <c r="N730" s="56">
        <f>INDEX(Rate_Chart!$A$1:$AK$127,MATCH(Data!J730,Rate_Chart!$A$1:$A$127,0),MATCH(Data!K730,Rate_Chart!$A$1:$AK$1,0))</f>
        <v>56.212200000000003</v>
      </c>
      <c r="O730" s="57">
        <f t="shared" si="149"/>
        <v>899.39520000000005</v>
      </c>
      <c r="P730" s="58">
        <f t="shared" si="150"/>
        <v>443.78052631578947</v>
      </c>
      <c r="Q730" s="58">
        <f t="shared" si="151"/>
        <v>295.8536842105263</v>
      </c>
      <c r="R730" s="66">
        <f t="shared" si="152"/>
        <v>15.739416000000002</v>
      </c>
      <c r="S730" s="64">
        <f t="shared" si="153"/>
        <v>60</v>
      </c>
      <c r="T730" s="66">
        <f t="shared" si="154"/>
        <v>975.13461600000005</v>
      </c>
      <c r="U730" s="68">
        <f t="shared" si="155"/>
        <v>60.945913500000003</v>
      </c>
      <c r="V730" s="68">
        <f t="shared" si="156"/>
        <v>481.15194868421054</v>
      </c>
      <c r="W730" s="68">
        <f t="shared" si="157"/>
        <v>320.76796578947369</v>
      </c>
    </row>
    <row r="731" spans="1:23" x14ac:dyDescent="0.25">
      <c r="A731" s="169" t="s">
        <v>893</v>
      </c>
      <c r="B731" s="61" t="s">
        <v>396</v>
      </c>
      <c r="C731" s="61" t="s">
        <v>591</v>
      </c>
      <c r="D731" s="61" t="s">
        <v>593</v>
      </c>
      <c r="E731" s="1" t="s">
        <v>365</v>
      </c>
      <c r="F731" s="62" t="str">
        <f t="shared" si="158"/>
        <v>64517</v>
      </c>
      <c r="G731" s="1">
        <v>10620049</v>
      </c>
      <c r="H731" s="1" t="s">
        <v>388</v>
      </c>
      <c r="I731" s="61">
        <v>35</v>
      </c>
      <c r="J731" s="61">
        <v>3.4</v>
      </c>
      <c r="K731" s="61">
        <v>8.1</v>
      </c>
      <c r="L731" s="69">
        <f t="shared" si="147"/>
        <v>1.19</v>
      </c>
      <c r="M731" s="69">
        <f t="shared" si="148"/>
        <v>2.835</v>
      </c>
      <c r="N731" s="56">
        <f>INDEX(Rate_Chart!$A$1:$AK$127,MATCH(Data!J731,Rate_Chart!$A$1:$A$127,0),MATCH(Data!K731,Rate_Chart!$A$1:$AK$1,0))</f>
        <v>36.697125900000003</v>
      </c>
      <c r="O731" s="57">
        <f t="shared" si="149"/>
        <v>1284.3994065000002</v>
      </c>
      <c r="P731" s="58">
        <f t="shared" si="150"/>
        <v>417.01279431818188</v>
      </c>
      <c r="Q731" s="58">
        <f t="shared" si="151"/>
        <v>278.00852954545456</v>
      </c>
      <c r="R731" s="66">
        <f t="shared" si="152"/>
        <v>22.476989613750003</v>
      </c>
      <c r="S731" s="64">
        <f t="shared" si="153"/>
        <v>131.25</v>
      </c>
      <c r="T731" s="66">
        <f t="shared" si="154"/>
        <v>1438.1263961137502</v>
      </c>
      <c r="U731" s="68">
        <f t="shared" si="155"/>
        <v>41.089325603250003</v>
      </c>
      <c r="V731" s="68">
        <f t="shared" si="156"/>
        <v>466.92415458238645</v>
      </c>
      <c r="W731" s="68">
        <f t="shared" si="157"/>
        <v>311.28276972159097</v>
      </c>
    </row>
    <row r="732" spans="1:23" x14ac:dyDescent="0.25">
      <c r="A732" s="169" t="s">
        <v>893</v>
      </c>
      <c r="B732" s="61" t="s">
        <v>397</v>
      </c>
      <c r="C732" s="61" t="s">
        <v>591</v>
      </c>
      <c r="D732" s="61" t="s">
        <v>593</v>
      </c>
      <c r="E732" s="1" t="s">
        <v>365</v>
      </c>
      <c r="F732" s="62" t="str">
        <f t="shared" si="158"/>
        <v>64517</v>
      </c>
      <c r="G732" s="1">
        <v>10620049</v>
      </c>
      <c r="H732" s="1" t="s">
        <v>388</v>
      </c>
      <c r="I732" s="61">
        <v>25</v>
      </c>
      <c r="J732" s="61">
        <v>3.4</v>
      </c>
      <c r="K732" s="61">
        <v>8.1</v>
      </c>
      <c r="L732" s="69">
        <f t="shared" si="147"/>
        <v>0.85</v>
      </c>
      <c r="M732" s="69">
        <f t="shared" si="148"/>
        <v>2.0249999999999999</v>
      </c>
      <c r="N732" s="56">
        <f>INDEX(Rate_Chart!$A$1:$AK$127,MATCH(Data!J732,Rate_Chart!$A$1:$A$127,0),MATCH(Data!K732,Rate_Chart!$A$1:$AK$1,0))</f>
        <v>36.697125900000003</v>
      </c>
      <c r="O732" s="57">
        <f t="shared" si="149"/>
        <v>917.42814750000002</v>
      </c>
      <c r="P732" s="58">
        <f t="shared" si="150"/>
        <v>417.01279431818188</v>
      </c>
      <c r="Q732" s="58">
        <f t="shared" si="151"/>
        <v>278.00852954545456</v>
      </c>
      <c r="R732" s="66">
        <f t="shared" si="152"/>
        <v>16.054992581250001</v>
      </c>
      <c r="S732" s="64">
        <f t="shared" si="153"/>
        <v>93.75</v>
      </c>
      <c r="T732" s="66">
        <f t="shared" si="154"/>
        <v>1027.23314008125</v>
      </c>
      <c r="U732" s="68">
        <f t="shared" si="155"/>
        <v>41.089325603249996</v>
      </c>
      <c r="V732" s="68">
        <f t="shared" si="156"/>
        <v>466.92415458238634</v>
      </c>
      <c r="W732" s="68">
        <f t="shared" si="157"/>
        <v>311.28276972159091</v>
      </c>
    </row>
    <row r="733" spans="1:23" x14ac:dyDescent="0.25">
      <c r="A733" s="169" t="s">
        <v>894</v>
      </c>
      <c r="B733" s="61" t="s">
        <v>396</v>
      </c>
      <c r="C733" s="61" t="s">
        <v>591</v>
      </c>
      <c r="D733" s="61" t="s">
        <v>593</v>
      </c>
      <c r="E733" s="1" t="s">
        <v>365</v>
      </c>
      <c r="F733" s="62" t="str">
        <f t="shared" si="158"/>
        <v>64517</v>
      </c>
      <c r="G733" s="1">
        <v>10620049</v>
      </c>
      <c r="H733" s="1" t="s">
        <v>387</v>
      </c>
      <c r="I733" s="61">
        <v>17</v>
      </c>
      <c r="J733" s="61">
        <v>6.7</v>
      </c>
      <c r="K733" s="61">
        <v>8.8000000000000007</v>
      </c>
      <c r="L733" s="69">
        <f t="shared" si="147"/>
        <v>1.139</v>
      </c>
      <c r="M733" s="69">
        <f t="shared" si="148"/>
        <v>1.4960000000000002</v>
      </c>
      <c r="N733" s="56">
        <f>INDEX(Rate_Chart!$A$1:$AK$127,MATCH(Data!J733,Rate_Chart!$A$1:$A$127,0),MATCH(Data!K733,Rate_Chart!$A$1:$AK$1,0))</f>
        <v>55.385550000000002</v>
      </c>
      <c r="O733" s="57">
        <f t="shared" si="149"/>
        <v>941.55435</v>
      </c>
      <c r="P733" s="58">
        <f t="shared" si="150"/>
        <v>440.73381962864721</v>
      </c>
      <c r="Q733" s="58">
        <f t="shared" si="151"/>
        <v>293.82254641909816</v>
      </c>
      <c r="R733" s="66">
        <f t="shared" si="152"/>
        <v>16.477201125000001</v>
      </c>
      <c r="S733" s="64">
        <f t="shared" si="153"/>
        <v>63.75</v>
      </c>
      <c r="T733" s="66">
        <f t="shared" si="154"/>
        <v>1021.781551125</v>
      </c>
      <c r="U733" s="68">
        <f t="shared" si="155"/>
        <v>60.104797124999997</v>
      </c>
      <c r="V733" s="68">
        <f t="shared" si="156"/>
        <v>478.2875102785145</v>
      </c>
      <c r="W733" s="68">
        <f t="shared" si="157"/>
        <v>318.85834018567635</v>
      </c>
    </row>
    <row r="734" spans="1:23" x14ac:dyDescent="0.25">
      <c r="A734" s="169" t="s">
        <v>894</v>
      </c>
      <c r="B734" s="61" t="s">
        <v>396</v>
      </c>
      <c r="C734" s="61" t="s">
        <v>591</v>
      </c>
      <c r="D734" s="61" t="s">
        <v>593</v>
      </c>
      <c r="E734" s="1" t="s">
        <v>365</v>
      </c>
      <c r="F734" s="62" t="str">
        <f t="shared" si="158"/>
        <v>64517</v>
      </c>
      <c r="G734" s="1">
        <v>10620049</v>
      </c>
      <c r="H734" s="1" t="s">
        <v>388</v>
      </c>
      <c r="I734" s="61">
        <v>41</v>
      </c>
      <c r="J734" s="61">
        <v>3.1</v>
      </c>
      <c r="K734" s="61">
        <v>8</v>
      </c>
      <c r="L734" s="69">
        <f t="shared" si="147"/>
        <v>1.2710000000000001</v>
      </c>
      <c r="M734" s="69">
        <f t="shared" si="148"/>
        <v>3.28</v>
      </c>
      <c r="N734" s="56">
        <f>INDEX(Rate_Chart!$A$1:$AK$127,MATCH(Data!J734,Rate_Chart!$A$1:$A$127,0),MATCH(Data!K734,Rate_Chart!$A$1:$AK$1,0))</f>
        <v>35.168112000000008</v>
      </c>
      <c r="O734" s="57">
        <f t="shared" si="149"/>
        <v>1441.8925920000004</v>
      </c>
      <c r="P734" s="58">
        <f t="shared" si="150"/>
        <v>417.01318577075102</v>
      </c>
      <c r="Q734" s="58">
        <f t="shared" si="151"/>
        <v>278.00879051383401</v>
      </c>
      <c r="R734" s="66">
        <f t="shared" si="152"/>
        <v>25.233120360000008</v>
      </c>
      <c r="S734" s="64">
        <f t="shared" si="153"/>
        <v>153.75</v>
      </c>
      <c r="T734" s="66">
        <f t="shared" si="154"/>
        <v>1620.8757123600003</v>
      </c>
      <c r="U734" s="68">
        <f t="shared" si="155"/>
        <v>39.533553960000006</v>
      </c>
      <c r="V734" s="68">
        <f t="shared" si="156"/>
        <v>468.77731968379447</v>
      </c>
      <c r="W734" s="68">
        <f t="shared" si="157"/>
        <v>312.51821312252963</v>
      </c>
    </row>
    <row r="735" spans="1:23" x14ac:dyDescent="0.25">
      <c r="A735" s="169" t="s">
        <v>894</v>
      </c>
      <c r="B735" s="61" t="s">
        <v>397</v>
      </c>
      <c r="C735" s="61" t="s">
        <v>591</v>
      </c>
      <c r="D735" s="61" t="s">
        <v>593</v>
      </c>
      <c r="E735" s="1" t="s">
        <v>365</v>
      </c>
      <c r="F735" s="62" t="str">
        <f t="shared" si="158"/>
        <v>64517</v>
      </c>
      <c r="G735" s="1">
        <v>10620049</v>
      </c>
      <c r="H735" s="1" t="s">
        <v>387</v>
      </c>
      <c r="I735" s="61">
        <v>6</v>
      </c>
      <c r="J735" s="61">
        <v>6.9</v>
      </c>
      <c r="K735" s="61">
        <v>8.8000000000000007</v>
      </c>
      <c r="L735" s="69">
        <f t="shared" si="147"/>
        <v>0.41400000000000003</v>
      </c>
      <c r="M735" s="69">
        <f t="shared" si="148"/>
        <v>0.52800000000000002</v>
      </c>
      <c r="N735" s="56">
        <f>INDEX(Rate_Chart!$A$1:$AK$127,MATCH(Data!J735,Rate_Chart!$A$1:$A$127,0),MATCH(Data!K735,Rate_Chart!$A$1:$AK$1,0))</f>
        <v>57.038850000000004</v>
      </c>
      <c r="O735" s="57">
        <f t="shared" si="149"/>
        <v>342.23310000000004</v>
      </c>
      <c r="P735" s="58">
        <f t="shared" si="150"/>
        <v>446.77950391644907</v>
      </c>
      <c r="Q735" s="58">
        <f t="shared" si="151"/>
        <v>297.85300261096603</v>
      </c>
      <c r="R735" s="66">
        <f t="shared" si="152"/>
        <v>5.9890792500000014</v>
      </c>
      <c r="S735" s="64">
        <f t="shared" si="153"/>
        <v>22.5</v>
      </c>
      <c r="T735" s="66">
        <f t="shared" si="154"/>
        <v>370.72217925000007</v>
      </c>
      <c r="U735" s="68">
        <f t="shared" si="155"/>
        <v>61.787029875000009</v>
      </c>
      <c r="V735" s="68">
        <f t="shared" si="156"/>
        <v>483.97151338120108</v>
      </c>
      <c r="W735" s="68">
        <f t="shared" si="157"/>
        <v>322.6476755874674</v>
      </c>
    </row>
    <row r="736" spans="1:23" x14ac:dyDescent="0.25">
      <c r="A736" s="169" t="s">
        <v>894</v>
      </c>
      <c r="B736" s="61" t="s">
        <v>397</v>
      </c>
      <c r="C736" s="61" t="s">
        <v>591</v>
      </c>
      <c r="D736" s="61" t="s">
        <v>593</v>
      </c>
      <c r="E736" s="1" t="s">
        <v>365</v>
      </c>
      <c r="F736" s="62" t="str">
        <f t="shared" si="158"/>
        <v>64517</v>
      </c>
      <c r="G736" s="1">
        <v>10620049</v>
      </c>
      <c r="H736" s="1" t="s">
        <v>388</v>
      </c>
      <c r="I736" s="61">
        <v>32</v>
      </c>
      <c r="J736" s="61">
        <v>3</v>
      </c>
      <c r="K736" s="61">
        <v>8</v>
      </c>
      <c r="L736" s="69">
        <f t="shared" si="147"/>
        <v>0.96</v>
      </c>
      <c r="M736" s="69">
        <f t="shared" si="148"/>
        <v>2.56</v>
      </c>
      <c r="N736" s="56">
        <f>INDEX(Rate_Chart!$A$1:$AK$127,MATCH(Data!J736,Rate_Chart!$A$1:$A$127,0),MATCH(Data!K736,Rate_Chart!$A$1:$AK$1,0))</f>
        <v>34.751112000000006</v>
      </c>
      <c r="O736" s="57">
        <f t="shared" si="149"/>
        <v>1112.0355840000002</v>
      </c>
      <c r="P736" s="58">
        <f t="shared" si="150"/>
        <v>417.01334400000002</v>
      </c>
      <c r="Q736" s="58">
        <f t="shared" si="151"/>
        <v>278.00889599999999</v>
      </c>
      <c r="R736" s="66">
        <f t="shared" si="152"/>
        <v>19.460622720000007</v>
      </c>
      <c r="S736" s="64">
        <f t="shared" si="153"/>
        <v>120</v>
      </c>
      <c r="T736" s="66">
        <f t="shared" si="154"/>
        <v>1251.4962067200001</v>
      </c>
      <c r="U736" s="68">
        <f t="shared" si="155"/>
        <v>39.109256460000005</v>
      </c>
      <c r="V736" s="68">
        <f t="shared" si="156"/>
        <v>469.31107752000003</v>
      </c>
      <c r="W736" s="68">
        <f t="shared" si="157"/>
        <v>312.87405168000004</v>
      </c>
    </row>
    <row r="737" spans="1:23" x14ac:dyDescent="0.25">
      <c r="A737" s="169" t="s">
        <v>888</v>
      </c>
      <c r="B737" s="61" t="s">
        <v>396</v>
      </c>
      <c r="C737" s="61" t="s">
        <v>591</v>
      </c>
      <c r="D737" s="61" t="s">
        <v>595</v>
      </c>
      <c r="E737" s="1" t="s">
        <v>366</v>
      </c>
      <c r="F737" s="62" t="str">
        <f t="shared" si="158"/>
        <v>64522</v>
      </c>
      <c r="G737" s="1">
        <v>10620016</v>
      </c>
      <c r="H737" s="1" t="s">
        <v>387</v>
      </c>
      <c r="I737" s="61">
        <v>32</v>
      </c>
      <c r="J737" s="61">
        <v>6.3</v>
      </c>
      <c r="K737" s="61">
        <v>8.8000000000000007</v>
      </c>
      <c r="L737" s="69">
        <f t="shared" si="147"/>
        <v>2.016</v>
      </c>
      <c r="M737" s="69">
        <f t="shared" si="148"/>
        <v>2.8160000000000003</v>
      </c>
      <c r="N737" s="56">
        <f>INDEX(Rate_Chart!$A$1:$AK$127,MATCH(Data!J737,Rate_Chart!$A$1:$A$127,0),MATCH(Data!K737,Rate_Chart!$A$1:$AK$1,0))</f>
        <v>52.078949999999999</v>
      </c>
      <c r="O737" s="57">
        <f t="shared" si="149"/>
        <v>1666.5264</v>
      </c>
      <c r="P737" s="58">
        <f t="shared" si="150"/>
        <v>428.04616438356163</v>
      </c>
      <c r="Q737" s="58">
        <f t="shared" si="151"/>
        <v>285.36410958904111</v>
      </c>
      <c r="R737" s="66">
        <f t="shared" si="152"/>
        <v>29.164212000000003</v>
      </c>
      <c r="S737" s="64">
        <f t="shared" si="153"/>
        <v>120</v>
      </c>
      <c r="T737" s="66">
        <f t="shared" si="154"/>
        <v>1815.6906119999999</v>
      </c>
      <c r="U737" s="68">
        <f t="shared" si="155"/>
        <v>56.740331624999996</v>
      </c>
      <c r="V737" s="68">
        <f t="shared" si="156"/>
        <v>466.35889006849311</v>
      </c>
      <c r="W737" s="68">
        <f t="shared" si="157"/>
        <v>310.90592671232872</v>
      </c>
    </row>
    <row r="738" spans="1:23" x14ac:dyDescent="0.25">
      <c r="A738" s="169" t="s">
        <v>888</v>
      </c>
      <c r="B738" s="61" t="s">
        <v>396</v>
      </c>
      <c r="C738" s="61" t="s">
        <v>591</v>
      </c>
      <c r="D738" s="61" t="s">
        <v>595</v>
      </c>
      <c r="E738" s="1" t="s">
        <v>366</v>
      </c>
      <c r="F738" s="62" t="str">
        <f t="shared" si="158"/>
        <v>64522</v>
      </c>
      <c r="G738" s="1">
        <v>10620016</v>
      </c>
      <c r="H738" s="1" t="s">
        <v>388</v>
      </c>
      <c r="I738" s="61">
        <v>13</v>
      </c>
      <c r="J738" s="61">
        <v>3.7</v>
      </c>
      <c r="K738" s="61">
        <v>8.1</v>
      </c>
      <c r="L738" s="69">
        <f t="shared" si="147"/>
        <v>0.48100000000000004</v>
      </c>
      <c r="M738" s="69">
        <f t="shared" si="148"/>
        <v>1.0529999999999999</v>
      </c>
      <c r="N738" s="56">
        <f>INDEX(Rate_Chart!$A$1:$AK$127,MATCH(Data!J738,Rate_Chart!$A$1:$A$127,0),MATCH(Data!K738,Rate_Chart!$A$1:$AK$1,0))</f>
        <v>37.948125900000008</v>
      </c>
      <c r="O738" s="57">
        <f t="shared" si="149"/>
        <v>493.32563670000013</v>
      </c>
      <c r="P738" s="58">
        <f t="shared" si="150"/>
        <v>417.01237252747262</v>
      </c>
      <c r="Q738" s="58">
        <f t="shared" si="151"/>
        <v>278.00824835164843</v>
      </c>
      <c r="R738" s="66">
        <f t="shared" si="152"/>
        <v>8.6331986422500027</v>
      </c>
      <c r="S738" s="64">
        <f t="shared" si="153"/>
        <v>48.75</v>
      </c>
      <c r="T738" s="66">
        <f t="shared" si="154"/>
        <v>550.70883534225015</v>
      </c>
      <c r="U738" s="68">
        <f t="shared" si="155"/>
        <v>42.362218103250015</v>
      </c>
      <c r="V738" s="68">
        <f t="shared" si="156"/>
        <v>465.51888025549471</v>
      </c>
      <c r="W738" s="68">
        <f t="shared" si="157"/>
        <v>310.3459201703298</v>
      </c>
    </row>
    <row r="739" spans="1:23" x14ac:dyDescent="0.25">
      <c r="A739" s="169" t="s">
        <v>888</v>
      </c>
      <c r="B739" s="61" t="s">
        <v>397</v>
      </c>
      <c r="C739" s="61" t="s">
        <v>591</v>
      </c>
      <c r="D739" s="61" t="s">
        <v>595</v>
      </c>
      <c r="E739" s="1" t="s">
        <v>366</v>
      </c>
      <c r="F739" s="62" t="str">
        <f t="shared" si="158"/>
        <v>64522</v>
      </c>
      <c r="G739" s="1">
        <v>10620016</v>
      </c>
      <c r="H739" s="1" t="s">
        <v>387</v>
      </c>
      <c r="I739" s="61">
        <v>16</v>
      </c>
      <c r="J739" s="61">
        <v>5.7</v>
      </c>
      <c r="K739" s="61">
        <v>8.5</v>
      </c>
      <c r="L739" s="69">
        <f t="shared" si="147"/>
        <v>0.91200000000000003</v>
      </c>
      <c r="M739" s="69">
        <f t="shared" si="148"/>
        <v>1.36</v>
      </c>
      <c r="N739" s="56">
        <f>INDEX(Rate_Chart!$A$1:$AK$127,MATCH(Data!J739,Rate_Chart!$A$1:$A$127,0),MATCH(Data!K739,Rate_Chart!$A$1:$AK$1,0))</f>
        <v>46.167149999999999</v>
      </c>
      <c r="O739" s="57">
        <f t="shared" si="149"/>
        <v>738.67439999999999</v>
      </c>
      <c r="P739" s="58">
        <f t="shared" si="150"/>
        <v>406.16260997067451</v>
      </c>
      <c r="Q739" s="58">
        <f t="shared" si="151"/>
        <v>270.77507331378303</v>
      </c>
      <c r="R739" s="66">
        <f t="shared" si="152"/>
        <v>12.926802</v>
      </c>
      <c r="S739" s="64">
        <f t="shared" si="153"/>
        <v>60</v>
      </c>
      <c r="T739" s="66">
        <f t="shared" si="154"/>
        <v>811.60120199999994</v>
      </c>
      <c r="U739" s="68">
        <f t="shared" si="155"/>
        <v>50.725075124999996</v>
      </c>
      <c r="V739" s="68">
        <f t="shared" si="156"/>
        <v>446.2616579912023</v>
      </c>
      <c r="W739" s="68">
        <f t="shared" si="157"/>
        <v>297.50777199413488</v>
      </c>
    </row>
    <row r="740" spans="1:23" x14ac:dyDescent="0.25">
      <c r="A740" s="169" t="s">
        <v>888</v>
      </c>
      <c r="B740" s="61" t="s">
        <v>397</v>
      </c>
      <c r="C740" s="61" t="s">
        <v>591</v>
      </c>
      <c r="D740" s="61" t="s">
        <v>595</v>
      </c>
      <c r="E740" s="1" t="s">
        <v>366</v>
      </c>
      <c r="F740" s="62" t="str">
        <f t="shared" si="158"/>
        <v>64522</v>
      </c>
      <c r="G740" s="1">
        <v>10620016</v>
      </c>
      <c r="H740" s="1" t="s">
        <v>388</v>
      </c>
      <c r="I740" s="61">
        <v>8</v>
      </c>
      <c r="J740" s="61">
        <v>3</v>
      </c>
      <c r="K740" s="61">
        <v>8</v>
      </c>
      <c r="L740" s="69">
        <f t="shared" si="147"/>
        <v>0.24</v>
      </c>
      <c r="M740" s="69">
        <f t="shared" si="148"/>
        <v>0.64</v>
      </c>
      <c r="N740" s="56">
        <f>INDEX(Rate_Chart!$A$1:$AK$127,MATCH(Data!J740,Rate_Chart!$A$1:$A$127,0),MATCH(Data!K740,Rate_Chart!$A$1:$AK$1,0))</f>
        <v>34.751112000000006</v>
      </c>
      <c r="O740" s="57">
        <f t="shared" si="149"/>
        <v>278.00889600000005</v>
      </c>
      <c r="P740" s="58">
        <f t="shared" si="150"/>
        <v>417.01334400000002</v>
      </c>
      <c r="Q740" s="58">
        <f t="shared" si="151"/>
        <v>278.00889599999999</v>
      </c>
      <c r="R740" s="66">
        <f t="shared" si="152"/>
        <v>4.8651556800000018</v>
      </c>
      <c r="S740" s="64">
        <f t="shared" si="153"/>
        <v>30</v>
      </c>
      <c r="T740" s="66">
        <f t="shared" si="154"/>
        <v>312.87405168000004</v>
      </c>
      <c r="U740" s="68">
        <f t="shared" si="155"/>
        <v>39.109256460000005</v>
      </c>
      <c r="V740" s="68">
        <f t="shared" si="156"/>
        <v>469.31107752000003</v>
      </c>
      <c r="W740" s="68">
        <f t="shared" si="157"/>
        <v>312.87405168000004</v>
      </c>
    </row>
    <row r="741" spans="1:23" x14ac:dyDescent="0.25">
      <c r="A741" s="169" t="s">
        <v>889</v>
      </c>
      <c r="B741" s="61" t="s">
        <v>396</v>
      </c>
      <c r="C741" s="61" t="s">
        <v>591</v>
      </c>
      <c r="D741" s="61" t="s">
        <v>595</v>
      </c>
      <c r="E741" s="1" t="s">
        <v>366</v>
      </c>
      <c r="F741" s="62" t="str">
        <f t="shared" si="158"/>
        <v>64522</v>
      </c>
      <c r="G741" s="1">
        <v>10620016</v>
      </c>
      <c r="H741" s="1" t="s">
        <v>387</v>
      </c>
      <c r="I741" s="61">
        <v>9</v>
      </c>
      <c r="J741" s="61">
        <v>7.4</v>
      </c>
      <c r="K741" s="61">
        <v>8.8000000000000007</v>
      </c>
      <c r="L741" s="69">
        <f t="shared" si="147"/>
        <v>0.66600000000000004</v>
      </c>
      <c r="M741" s="69">
        <f t="shared" si="148"/>
        <v>0.79200000000000004</v>
      </c>
      <c r="N741" s="56">
        <f>INDEX(Rate_Chart!$A$1:$AK$127,MATCH(Data!J741,Rate_Chart!$A$1:$A$127,0),MATCH(Data!K741,Rate_Chart!$A$1:$AK$1,0))</f>
        <v>61.172100000000007</v>
      </c>
      <c r="O741" s="57">
        <f t="shared" si="149"/>
        <v>550.54890000000012</v>
      </c>
      <c r="P741" s="58">
        <f t="shared" si="150"/>
        <v>461.09623115577887</v>
      </c>
      <c r="Q741" s="58">
        <f t="shared" si="151"/>
        <v>307.39748743718593</v>
      </c>
      <c r="R741" s="66">
        <f t="shared" si="152"/>
        <v>9.6346057500000022</v>
      </c>
      <c r="S741" s="64">
        <f t="shared" si="153"/>
        <v>33.75</v>
      </c>
      <c r="T741" s="66">
        <f t="shared" si="154"/>
        <v>593.93350575000011</v>
      </c>
      <c r="U741" s="68">
        <f t="shared" si="155"/>
        <v>65.992611750000009</v>
      </c>
      <c r="V741" s="68">
        <f t="shared" si="156"/>
        <v>497.43174685929648</v>
      </c>
      <c r="W741" s="68">
        <f t="shared" si="157"/>
        <v>331.6211645728643</v>
      </c>
    </row>
    <row r="742" spans="1:23" x14ac:dyDescent="0.25">
      <c r="A742" s="169" t="s">
        <v>889</v>
      </c>
      <c r="B742" s="61" t="s">
        <v>397</v>
      </c>
      <c r="C742" s="61" t="s">
        <v>591</v>
      </c>
      <c r="D742" s="61" t="s">
        <v>595</v>
      </c>
      <c r="E742" s="1" t="s">
        <v>366</v>
      </c>
      <c r="F742" s="62" t="str">
        <f t="shared" si="158"/>
        <v>64522</v>
      </c>
      <c r="G742" s="1">
        <v>10620016</v>
      </c>
      <c r="H742" s="1" t="s">
        <v>387</v>
      </c>
      <c r="I742" s="61">
        <v>12</v>
      </c>
      <c r="J742" s="61">
        <v>5.7</v>
      </c>
      <c r="K742" s="61">
        <v>8.6</v>
      </c>
      <c r="L742" s="69">
        <f t="shared" si="147"/>
        <v>0.68400000000000005</v>
      </c>
      <c r="M742" s="69">
        <f t="shared" si="148"/>
        <v>1.0319999999999998</v>
      </c>
      <c r="N742" s="56">
        <f>INDEX(Rate_Chart!$A$1:$AK$127,MATCH(Data!J742,Rate_Chart!$A$1:$A$127,0),MATCH(Data!K742,Rate_Chart!$A$1:$AK$1,0))</f>
        <v>46.643099999999997</v>
      </c>
      <c r="O742" s="57">
        <f t="shared" si="149"/>
        <v>559.71719999999993</v>
      </c>
      <c r="P742" s="58">
        <f t="shared" si="150"/>
        <v>407.95714285714286</v>
      </c>
      <c r="Q742" s="58">
        <f t="shared" si="151"/>
        <v>271.97142857142859</v>
      </c>
      <c r="R742" s="66">
        <f t="shared" si="152"/>
        <v>9.7950509999999991</v>
      </c>
      <c r="S742" s="64">
        <f t="shared" si="153"/>
        <v>45</v>
      </c>
      <c r="T742" s="66">
        <f t="shared" si="154"/>
        <v>614.51225099999988</v>
      </c>
      <c r="U742" s="68">
        <f t="shared" si="155"/>
        <v>51.20935424999999</v>
      </c>
      <c r="V742" s="68">
        <f t="shared" si="156"/>
        <v>447.89522667638477</v>
      </c>
      <c r="W742" s="68">
        <f t="shared" si="157"/>
        <v>298.59681778425653</v>
      </c>
    </row>
    <row r="743" spans="1:23" x14ac:dyDescent="0.25">
      <c r="A743" s="169" t="s">
        <v>889</v>
      </c>
      <c r="B743" s="61" t="s">
        <v>397</v>
      </c>
      <c r="C743" s="61" t="s">
        <v>591</v>
      </c>
      <c r="D743" s="61" t="s">
        <v>595</v>
      </c>
      <c r="E743" s="1" t="s">
        <v>366</v>
      </c>
      <c r="F743" s="62" t="str">
        <f t="shared" si="158"/>
        <v>64522</v>
      </c>
      <c r="G743" s="1">
        <v>10620016</v>
      </c>
      <c r="H743" s="1" t="s">
        <v>388</v>
      </c>
      <c r="I743" s="61">
        <v>8</v>
      </c>
      <c r="J743" s="61">
        <v>3</v>
      </c>
      <c r="K743" s="61">
        <v>8</v>
      </c>
      <c r="L743" s="69">
        <f t="shared" si="147"/>
        <v>0.24</v>
      </c>
      <c r="M743" s="69">
        <f t="shared" si="148"/>
        <v>0.64</v>
      </c>
      <c r="N743" s="56">
        <f>INDEX(Rate_Chart!$A$1:$AK$127,MATCH(Data!J743,Rate_Chart!$A$1:$A$127,0),MATCH(Data!K743,Rate_Chart!$A$1:$AK$1,0))</f>
        <v>34.751112000000006</v>
      </c>
      <c r="O743" s="57">
        <f t="shared" si="149"/>
        <v>278.00889600000005</v>
      </c>
      <c r="P743" s="58">
        <f t="shared" si="150"/>
        <v>417.01334400000002</v>
      </c>
      <c r="Q743" s="58">
        <f t="shared" si="151"/>
        <v>278.00889599999999</v>
      </c>
      <c r="R743" s="66">
        <f t="shared" si="152"/>
        <v>4.8651556800000018</v>
      </c>
      <c r="S743" s="64">
        <f t="shared" si="153"/>
        <v>30</v>
      </c>
      <c r="T743" s="66">
        <f t="shared" si="154"/>
        <v>312.87405168000004</v>
      </c>
      <c r="U743" s="68">
        <f t="shared" si="155"/>
        <v>39.109256460000005</v>
      </c>
      <c r="V743" s="68">
        <f t="shared" si="156"/>
        <v>469.31107752000003</v>
      </c>
      <c r="W743" s="68">
        <f t="shared" si="157"/>
        <v>312.87405168000004</v>
      </c>
    </row>
    <row r="744" spans="1:23" x14ac:dyDescent="0.25">
      <c r="A744" s="169" t="s">
        <v>890</v>
      </c>
      <c r="B744" s="61" t="s">
        <v>396</v>
      </c>
      <c r="C744" s="61" t="s">
        <v>591</v>
      </c>
      <c r="D744" s="61" t="s">
        <v>595</v>
      </c>
      <c r="E744" s="1" t="s">
        <v>366</v>
      </c>
      <c r="F744" s="62" t="str">
        <f t="shared" si="158"/>
        <v>64522</v>
      </c>
      <c r="G744" s="1">
        <v>10620016</v>
      </c>
      <c r="H744" s="1" t="s">
        <v>387</v>
      </c>
      <c r="I744" s="61">
        <v>5</v>
      </c>
      <c r="J744" s="61">
        <v>6.1</v>
      </c>
      <c r="K744" s="61">
        <v>8.8000000000000007</v>
      </c>
      <c r="L744" s="69">
        <f t="shared" si="147"/>
        <v>0.30499999999999999</v>
      </c>
      <c r="M744" s="69">
        <f t="shared" si="148"/>
        <v>0.44</v>
      </c>
      <c r="N744" s="56">
        <f>INDEX(Rate_Chart!$A$1:$AK$127,MATCH(Data!J744,Rate_Chart!$A$1:$A$127,0),MATCH(Data!K744,Rate_Chart!$A$1:$AK$1,0))</f>
        <v>50.425650000000005</v>
      </c>
      <c r="O744" s="57">
        <f t="shared" si="149"/>
        <v>252.12825000000004</v>
      </c>
      <c r="P744" s="58">
        <f t="shared" si="150"/>
        <v>421.38426183844012</v>
      </c>
      <c r="Q744" s="58">
        <f t="shared" si="151"/>
        <v>280.92284122562677</v>
      </c>
      <c r="R744" s="66">
        <f t="shared" si="152"/>
        <v>4.4122443750000011</v>
      </c>
      <c r="S744" s="64">
        <f t="shared" si="153"/>
        <v>18.75</v>
      </c>
      <c r="T744" s="66">
        <f t="shared" si="154"/>
        <v>275.29049437500004</v>
      </c>
      <c r="U744" s="68">
        <f t="shared" si="155"/>
        <v>55.058098875000006</v>
      </c>
      <c r="V744" s="68">
        <f t="shared" si="156"/>
        <v>460.09553377437328</v>
      </c>
      <c r="W744" s="68">
        <f t="shared" si="157"/>
        <v>306.73035584958217</v>
      </c>
    </row>
    <row r="745" spans="1:23" x14ac:dyDescent="0.25">
      <c r="A745" s="169" t="s">
        <v>890</v>
      </c>
      <c r="B745" s="61" t="s">
        <v>397</v>
      </c>
      <c r="C745" s="61" t="s">
        <v>591</v>
      </c>
      <c r="D745" s="61" t="s">
        <v>595</v>
      </c>
      <c r="E745" s="1" t="s">
        <v>366</v>
      </c>
      <c r="F745" s="62" t="str">
        <f t="shared" si="158"/>
        <v>64522</v>
      </c>
      <c r="G745" s="1">
        <v>10620016</v>
      </c>
      <c r="H745" s="1" t="s">
        <v>387</v>
      </c>
      <c r="I745" s="61">
        <v>8</v>
      </c>
      <c r="J745" s="61">
        <v>5.6</v>
      </c>
      <c r="K745" s="61">
        <v>8.4</v>
      </c>
      <c r="L745" s="69">
        <f t="shared" si="147"/>
        <v>0.44799999999999995</v>
      </c>
      <c r="M745" s="69">
        <f t="shared" si="148"/>
        <v>0.67200000000000004</v>
      </c>
      <c r="N745" s="56">
        <f>INDEX(Rate_Chart!$A$1:$AK$127,MATCH(Data!J745,Rate_Chart!$A$1:$A$127,0),MATCH(Data!K745,Rate_Chart!$A$1:$AK$1,0))</f>
        <v>45.357199999999999</v>
      </c>
      <c r="O745" s="57">
        <f t="shared" si="149"/>
        <v>362.85759999999999</v>
      </c>
      <c r="P745" s="58">
        <f t="shared" si="150"/>
        <v>404.97500000000002</v>
      </c>
      <c r="Q745" s="58">
        <f t="shared" si="151"/>
        <v>269.98333333333335</v>
      </c>
      <c r="R745" s="66">
        <f t="shared" si="152"/>
        <v>6.3500080000000008</v>
      </c>
      <c r="S745" s="64">
        <f t="shared" si="153"/>
        <v>30</v>
      </c>
      <c r="T745" s="66">
        <f t="shared" si="154"/>
        <v>399.20760799999999</v>
      </c>
      <c r="U745" s="68">
        <f t="shared" si="155"/>
        <v>49.900950999999999</v>
      </c>
      <c r="V745" s="68">
        <f t="shared" si="156"/>
        <v>445.54420535714291</v>
      </c>
      <c r="W745" s="68">
        <f t="shared" si="157"/>
        <v>297.02947023809526</v>
      </c>
    </row>
    <row r="746" spans="1:23" x14ac:dyDescent="0.25">
      <c r="A746" s="169" t="s">
        <v>890</v>
      </c>
      <c r="B746" s="61" t="s">
        <v>397</v>
      </c>
      <c r="C746" s="61" t="s">
        <v>591</v>
      </c>
      <c r="D746" s="61" t="s">
        <v>595</v>
      </c>
      <c r="E746" s="1" t="s">
        <v>366</v>
      </c>
      <c r="F746" s="62" t="str">
        <f t="shared" si="158"/>
        <v>64522</v>
      </c>
      <c r="G746" s="1">
        <v>10620016</v>
      </c>
      <c r="H746" s="1" t="s">
        <v>388</v>
      </c>
      <c r="I746" s="61">
        <v>6</v>
      </c>
      <c r="J746" s="61">
        <v>3</v>
      </c>
      <c r="K746" s="61">
        <v>8</v>
      </c>
      <c r="L746" s="69">
        <f t="shared" si="147"/>
        <v>0.18</v>
      </c>
      <c r="M746" s="69">
        <f t="shared" si="148"/>
        <v>0.48</v>
      </c>
      <c r="N746" s="56">
        <f>INDEX(Rate_Chart!$A$1:$AK$127,MATCH(Data!J746,Rate_Chart!$A$1:$A$127,0),MATCH(Data!K746,Rate_Chart!$A$1:$AK$1,0))</f>
        <v>34.751112000000006</v>
      </c>
      <c r="O746" s="57">
        <f t="shared" si="149"/>
        <v>208.50667200000004</v>
      </c>
      <c r="P746" s="58">
        <f t="shared" si="150"/>
        <v>417.01334400000002</v>
      </c>
      <c r="Q746" s="58">
        <f t="shared" si="151"/>
        <v>278.00889599999999</v>
      </c>
      <c r="R746" s="66">
        <f t="shared" si="152"/>
        <v>3.6488667600000011</v>
      </c>
      <c r="S746" s="64">
        <f t="shared" si="153"/>
        <v>22.5</v>
      </c>
      <c r="T746" s="66">
        <f t="shared" si="154"/>
        <v>234.65553876000004</v>
      </c>
      <c r="U746" s="68">
        <f t="shared" si="155"/>
        <v>39.109256460000005</v>
      </c>
      <c r="V746" s="68">
        <f t="shared" si="156"/>
        <v>469.31107752000003</v>
      </c>
      <c r="W746" s="68">
        <f t="shared" si="157"/>
        <v>312.87405168000004</v>
      </c>
    </row>
    <row r="747" spans="1:23" x14ac:dyDescent="0.25">
      <c r="A747" s="169" t="s">
        <v>891</v>
      </c>
      <c r="B747" s="61" t="s">
        <v>396</v>
      </c>
      <c r="C747" s="61" t="s">
        <v>591</v>
      </c>
      <c r="D747" s="61" t="s">
        <v>595</v>
      </c>
      <c r="E747" s="1" t="s">
        <v>366</v>
      </c>
      <c r="F747" s="62" t="str">
        <f t="shared" si="158"/>
        <v>64522</v>
      </c>
      <c r="G747" s="1">
        <v>10620016</v>
      </c>
      <c r="H747" s="1" t="s">
        <v>387</v>
      </c>
      <c r="I747" s="61">
        <v>38</v>
      </c>
      <c r="J747" s="61">
        <v>6.4</v>
      </c>
      <c r="K747" s="61">
        <v>8.8000000000000007</v>
      </c>
      <c r="L747" s="69">
        <f t="shared" si="147"/>
        <v>2.4320000000000004</v>
      </c>
      <c r="M747" s="69">
        <f t="shared" si="148"/>
        <v>3.3440000000000003</v>
      </c>
      <c r="N747" s="56">
        <f>INDEX(Rate_Chart!$A$1:$AK$127,MATCH(Data!J747,Rate_Chart!$A$1:$A$127,0),MATCH(Data!K747,Rate_Chart!$A$1:$AK$1,0))</f>
        <v>52.9056</v>
      </c>
      <c r="O747" s="57">
        <f t="shared" si="149"/>
        <v>2010.4128000000001</v>
      </c>
      <c r="P747" s="58">
        <f t="shared" si="150"/>
        <v>431.29565217391303</v>
      </c>
      <c r="Q747" s="58">
        <f t="shared" si="151"/>
        <v>287.53043478260867</v>
      </c>
      <c r="R747" s="66">
        <f t="shared" si="152"/>
        <v>35.182224000000005</v>
      </c>
      <c r="S747" s="64">
        <f t="shared" si="153"/>
        <v>142.5</v>
      </c>
      <c r="T747" s="66">
        <f t="shared" si="154"/>
        <v>2188.0950240000002</v>
      </c>
      <c r="U747" s="68">
        <f t="shared" si="155"/>
        <v>57.581448000000002</v>
      </c>
      <c r="V747" s="68">
        <f t="shared" si="156"/>
        <v>469.41397826086956</v>
      </c>
      <c r="W747" s="68">
        <f t="shared" si="157"/>
        <v>312.94265217391302</v>
      </c>
    </row>
    <row r="748" spans="1:23" x14ac:dyDescent="0.25">
      <c r="A748" s="169" t="s">
        <v>891</v>
      </c>
      <c r="B748" s="61" t="s">
        <v>396</v>
      </c>
      <c r="C748" s="61" t="s">
        <v>591</v>
      </c>
      <c r="D748" s="61" t="s">
        <v>595</v>
      </c>
      <c r="E748" s="1" t="s">
        <v>366</v>
      </c>
      <c r="F748" s="62" t="str">
        <f t="shared" si="158"/>
        <v>64522</v>
      </c>
      <c r="G748" s="1">
        <v>10620016</v>
      </c>
      <c r="H748" s="1" t="s">
        <v>388</v>
      </c>
      <c r="I748" s="61">
        <v>11</v>
      </c>
      <c r="J748" s="61">
        <v>4</v>
      </c>
      <c r="K748" s="61">
        <v>8.1999999999999993</v>
      </c>
      <c r="L748" s="69">
        <f t="shared" si="147"/>
        <v>0.44</v>
      </c>
      <c r="M748" s="69">
        <f t="shared" si="148"/>
        <v>0.90199999999999991</v>
      </c>
      <c r="N748" s="56">
        <f>INDEX(Rate_Chart!$A$1:$AK$127,MATCH(Data!J748,Rate_Chart!$A$1:$A$127,0),MATCH(Data!K748,Rate_Chart!$A$1:$AK$1,0))</f>
        <v>39.477139800000003</v>
      </c>
      <c r="O748" s="57">
        <f t="shared" si="149"/>
        <v>434.24853780000001</v>
      </c>
      <c r="P748" s="58">
        <f t="shared" si="150"/>
        <v>417.0120401408451</v>
      </c>
      <c r="Q748" s="58">
        <f t="shared" si="151"/>
        <v>278.00802676056338</v>
      </c>
      <c r="R748" s="66">
        <f t="shared" si="152"/>
        <v>7.5993494115000004</v>
      </c>
      <c r="S748" s="64">
        <f t="shared" si="153"/>
        <v>41.25</v>
      </c>
      <c r="T748" s="66">
        <f t="shared" si="154"/>
        <v>483.09788721149999</v>
      </c>
      <c r="U748" s="68">
        <f t="shared" si="155"/>
        <v>43.917989746499998</v>
      </c>
      <c r="V748" s="68">
        <f t="shared" si="156"/>
        <v>463.92242689964786</v>
      </c>
      <c r="W748" s="68">
        <f t="shared" si="157"/>
        <v>309.28161793309857</v>
      </c>
    </row>
    <row r="749" spans="1:23" x14ac:dyDescent="0.25">
      <c r="A749" s="169" t="s">
        <v>891</v>
      </c>
      <c r="B749" s="61" t="s">
        <v>397</v>
      </c>
      <c r="C749" s="61" t="s">
        <v>591</v>
      </c>
      <c r="D749" s="61" t="s">
        <v>595</v>
      </c>
      <c r="E749" s="1" t="s">
        <v>366</v>
      </c>
      <c r="F749" s="62" t="str">
        <f t="shared" si="158"/>
        <v>64522</v>
      </c>
      <c r="G749" s="1">
        <v>10620016</v>
      </c>
      <c r="H749" s="1" t="s">
        <v>387</v>
      </c>
      <c r="I749" s="61">
        <v>18</v>
      </c>
      <c r="J749" s="61">
        <v>5.8</v>
      </c>
      <c r="K749" s="61">
        <v>8.8000000000000007</v>
      </c>
      <c r="L749" s="69">
        <f t="shared" si="147"/>
        <v>1.0439999999999998</v>
      </c>
      <c r="M749" s="69">
        <f t="shared" si="148"/>
        <v>1.5840000000000001</v>
      </c>
      <c r="N749" s="56">
        <f>INDEX(Rate_Chart!$A$1:$AK$127,MATCH(Data!J749,Rate_Chart!$A$1:$A$127,0),MATCH(Data!K749,Rate_Chart!$A$1:$AK$1,0))</f>
        <v>47.945700000000002</v>
      </c>
      <c r="O749" s="57">
        <f t="shared" si="149"/>
        <v>863.02260000000001</v>
      </c>
      <c r="P749" s="58">
        <f t="shared" si="150"/>
        <v>410.96314285714288</v>
      </c>
      <c r="Q749" s="58">
        <f t="shared" si="151"/>
        <v>273.97542857142861</v>
      </c>
      <c r="R749" s="66">
        <f t="shared" si="152"/>
        <v>15.102895500000002</v>
      </c>
      <c r="S749" s="64">
        <f t="shared" si="153"/>
        <v>67.5</v>
      </c>
      <c r="T749" s="66">
        <f t="shared" si="154"/>
        <v>945.62549550000006</v>
      </c>
      <c r="U749" s="68">
        <f t="shared" si="155"/>
        <v>52.534749750000003</v>
      </c>
      <c r="V749" s="68">
        <f t="shared" si="156"/>
        <v>450.29785500000003</v>
      </c>
      <c r="W749" s="68">
        <f t="shared" si="157"/>
        <v>300.19857000000002</v>
      </c>
    </row>
    <row r="750" spans="1:23" x14ac:dyDescent="0.25">
      <c r="A750" s="169" t="s">
        <v>891</v>
      </c>
      <c r="B750" s="61" t="s">
        <v>397</v>
      </c>
      <c r="C750" s="61" t="s">
        <v>591</v>
      </c>
      <c r="D750" s="61" t="s">
        <v>595</v>
      </c>
      <c r="E750" s="1" t="s">
        <v>366</v>
      </c>
      <c r="F750" s="62" t="str">
        <f t="shared" si="158"/>
        <v>64522</v>
      </c>
      <c r="G750" s="1">
        <v>10620016</v>
      </c>
      <c r="H750" s="1" t="s">
        <v>388</v>
      </c>
      <c r="I750" s="61">
        <v>7</v>
      </c>
      <c r="J750" s="61">
        <v>3.1</v>
      </c>
      <c r="K750" s="61">
        <v>8.1999999999999993</v>
      </c>
      <c r="L750" s="69">
        <f t="shared" si="147"/>
        <v>0.217</v>
      </c>
      <c r="M750" s="69">
        <f t="shared" si="148"/>
        <v>0.57399999999999995</v>
      </c>
      <c r="N750" s="56">
        <f>INDEX(Rate_Chart!$A$1:$AK$127,MATCH(Data!J750,Rate_Chart!$A$1:$A$127,0),MATCH(Data!K750,Rate_Chart!$A$1:$AK$1,0))</f>
        <v>35.724139800000003</v>
      </c>
      <c r="O750" s="57">
        <f t="shared" si="149"/>
        <v>250.06897860000004</v>
      </c>
      <c r="P750" s="58">
        <f t="shared" si="150"/>
        <v>417.0133050583658</v>
      </c>
      <c r="Q750" s="58">
        <f t="shared" si="151"/>
        <v>278.00887003891052</v>
      </c>
      <c r="R750" s="66">
        <f t="shared" si="152"/>
        <v>4.3762071255000015</v>
      </c>
      <c r="S750" s="64">
        <f t="shared" si="153"/>
        <v>26.25</v>
      </c>
      <c r="T750" s="66">
        <f t="shared" si="154"/>
        <v>280.69518572550004</v>
      </c>
      <c r="U750" s="68">
        <f t="shared" si="155"/>
        <v>40.099312246500006</v>
      </c>
      <c r="V750" s="68">
        <f t="shared" si="156"/>
        <v>468.08535696303505</v>
      </c>
      <c r="W750" s="68">
        <f t="shared" si="157"/>
        <v>312.05690464202337</v>
      </c>
    </row>
    <row r="751" spans="1:23" x14ac:dyDescent="0.25">
      <c r="A751" s="169" t="s">
        <v>892</v>
      </c>
      <c r="B751" s="61" t="s">
        <v>396</v>
      </c>
      <c r="C751" s="61" t="s">
        <v>591</v>
      </c>
      <c r="D751" s="61" t="s">
        <v>595</v>
      </c>
      <c r="E751" s="1" t="s">
        <v>366</v>
      </c>
      <c r="F751" s="62" t="str">
        <f t="shared" si="158"/>
        <v>64522</v>
      </c>
      <c r="G751" s="1">
        <v>10620016</v>
      </c>
      <c r="H751" s="1" t="s">
        <v>387</v>
      </c>
      <c r="I751" s="61">
        <v>25</v>
      </c>
      <c r="J751" s="61">
        <v>6.6</v>
      </c>
      <c r="K751" s="61">
        <v>8.8000000000000007</v>
      </c>
      <c r="L751" s="69">
        <f t="shared" si="147"/>
        <v>1.65</v>
      </c>
      <c r="M751" s="69">
        <f t="shared" si="148"/>
        <v>2.2000000000000002</v>
      </c>
      <c r="N751" s="56">
        <f>INDEX(Rate_Chart!$A$1:$AK$127,MATCH(Data!J751,Rate_Chart!$A$1:$A$127,0),MATCH(Data!K751,Rate_Chart!$A$1:$AK$1,0))</f>
        <v>54.558900000000001</v>
      </c>
      <c r="O751" s="57">
        <f t="shared" si="149"/>
        <v>1363.9725000000001</v>
      </c>
      <c r="P751" s="58">
        <f t="shared" si="150"/>
        <v>437.63823529411764</v>
      </c>
      <c r="Q751" s="58">
        <f t="shared" si="151"/>
        <v>291.75882352941176</v>
      </c>
      <c r="R751" s="66">
        <f t="shared" si="152"/>
        <v>23.869518750000005</v>
      </c>
      <c r="S751" s="64">
        <f t="shared" si="153"/>
        <v>93.75</v>
      </c>
      <c r="T751" s="66">
        <f t="shared" si="154"/>
        <v>1481.5920187500001</v>
      </c>
      <c r="U751" s="68">
        <f t="shared" si="155"/>
        <v>59.263680750000006</v>
      </c>
      <c r="V751" s="68">
        <f t="shared" si="156"/>
        <v>475.37711831550803</v>
      </c>
      <c r="W751" s="68">
        <f t="shared" si="157"/>
        <v>316.91807887700537</v>
      </c>
    </row>
    <row r="752" spans="1:23" x14ac:dyDescent="0.25">
      <c r="A752" s="169" t="s">
        <v>892</v>
      </c>
      <c r="B752" s="61" t="s">
        <v>396</v>
      </c>
      <c r="C752" s="61" t="s">
        <v>591</v>
      </c>
      <c r="D752" s="61" t="s">
        <v>595</v>
      </c>
      <c r="E752" s="1" t="s">
        <v>366</v>
      </c>
      <c r="F752" s="62" t="str">
        <f t="shared" si="158"/>
        <v>64522</v>
      </c>
      <c r="G752" s="1">
        <v>10620016</v>
      </c>
      <c r="H752" s="1" t="s">
        <v>388</v>
      </c>
      <c r="I752" s="61">
        <v>6</v>
      </c>
      <c r="J752" s="61">
        <v>4.2</v>
      </c>
      <c r="K752" s="61">
        <v>8.1999999999999993</v>
      </c>
      <c r="L752" s="69">
        <f t="shared" ref="L752:L815" si="159">J752*I752/100</f>
        <v>0.252</v>
      </c>
      <c r="M752" s="69">
        <f t="shared" ref="M752:M815" si="160">K752*I752/100</f>
        <v>0.49199999999999994</v>
      </c>
      <c r="N752" s="56">
        <f>INDEX(Rate_Chart!$A$1:$AK$127,MATCH(Data!J752,Rate_Chart!$A$1:$A$127,0),MATCH(Data!K752,Rate_Chart!$A$1:$AK$1,0))</f>
        <v>40.311139799999999</v>
      </c>
      <c r="O752" s="57">
        <f t="shared" ref="O752:O815" si="161">N752*I752</f>
        <v>241.86683879999998</v>
      </c>
      <c r="P752" s="58">
        <f t="shared" ref="P752:P815" si="162">N752/(J752%+K752%*2/3)</f>
        <v>417.01179103448277</v>
      </c>
      <c r="Q752" s="58">
        <f t="shared" ref="Q752:Q815" si="163">P752*2/3</f>
        <v>278.00786068965516</v>
      </c>
      <c r="R752" s="66">
        <f t="shared" ref="R752:R815" si="164">O752*1.75%</f>
        <v>4.2326696789999998</v>
      </c>
      <c r="S752" s="64">
        <f t="shared" ref="S752:S815" si="165">I752*3.75</f>
        <v>22.5</v>
      </c>
      <c r="T752" s="66">
        <f t="shared" ref="T752:T815" si="166">R752+S752+O752</f>
        <v>268.59950847900001</v>
      </c>
      <c r="U752" s="68">
        <f t="shared" ref="U752:U815" si="167">T752/I752</f>
        <v>44.766584746500001</v>
      </c>
      <c r="V752" s="68">
        <f t="shared" ref="V752:V815" si="168">U752/(J752%+K752%*2/3)</f>
        <v>463.10260082586211</v>
      </c>
      <c r="W752" s="68">
        <f t="shared" ref="W752:W815" si="169">V752*2/3</f>
        <v>308.73506721724141</v>
      </c>
    </row>
    <row r="753" spans="1:23" x14ac:dyDescent="0.25">
      <c r="A753" s="169" t="s">
        <v>892</v>
      </c>
      <c r="B753" s="61" t="s">
        <v>397</v>
      </c>
      <c r="C753" s="61" t="s">
        <v>591</v>
      </c>
      <c r="D753" s="61" t="s">
        <v>595</v>
      </c>
      <c r="E753" s="1" t="s">
        <v>366</v>
      </c>
      <c r="F753" s="62" t="str">
        <f t="shared" si="158"/>
        <v>64522</v>
      </c>
      <c r="G753" s="1">
        <v>10620016</v>
      </c>
      <c r="H753" s="1" t="s">
        <v>387</v>
      </c>
      <c r="I753" s="61">
        <v>5</v>
      </c>
      <c r="J753" s="61">
        <v>6.1</v>
      </c>
      <c r="K753" s="61">
        <v>8.8000000000000007</v>
      </c>
      <c r="L753" s="69">
        <f t="shared" si="159"/>
        <v>0.30499999999999999</v>
      </c>
      <c r="M753" s="69">
        <f t="shared" si="160"/>
        <v>0.44</v>
      </c>
      <c r="N753" s="56">
        <f>INDEX(Rate_Chart!$A$1:$AK$127,MATCH(Data!J753,Rate_Chart!$A$1:$A$127,0),MATCH(Data!K753,Rate_Chart!$A$1:$AK$1,0))</f>
        <v>50.425650000000005</v>
      </c>
      <c r="O753" s="57">
        <f t="shared" si="161"/>
        <v>252.12825000000004</v>
      </c>
      <c r="P753" s="58">
        <f t="shared" si="162"/>
        <v>421.38426183844012</v>
      </c>
      <c r="Q753" s="58">
        <f t="shared" si="163"/>
        <v>280.92284122562677</v>
      </c>
      <c r="R753" s="66">
        <f t="shared" si="164"/>
        <v>4.4122443750000011</v>
      </c>
      <c r="S753" s="64">
        <f t="shared" si="165"/>
        <v>18.75</v>
      </c>
      <c r="T753" s="66">
        <f t="shared" si="166"/>
        <v>275.29049437500004</v>
      </c>
      <c r="U753" s="68">
        <f t="shared" si="167"/>
        <v>55.058098875000006</v>
      </c>
      <c r="V753" s="68">
        <f t="shared" si="168"/>
        <v>460.09553377437328</v>
      </c>
      <c r="W753" s="68">
        <f t="shared" si="169"/>
        <v>306.73035584958217</v>
      </c>
    </row>
    <row r="754" spans="1:23" x14ac:dyDescent="0.25">
      <c r="A754" s="169" t="s">
        <v>892</v>
      </c>
      <c r="B754" s="61" t="s">
        <v>397</v>
      </c>
      <c r="C754" s="61" t="s">
        <v>591</v>
      </c>
      <c r="D754" s="61" t="s">
        <v>595</v>
      </c>
      <c r="E754" s="1" t="s">
        <v>366</v>
      </c>
      <c r="F754" s="62" t="str">
        <f t="shared" si="158"/>
        <v>64522</v>
      </c>
      <c r="G754" s="1">
        <v>10620016</v>
      </c>
      <c r="H754" s="1" t="s">
        <v>388</v>
      </c>
      <c r="I754" s="61">
        <v>10</v>
      </c>
      <c r="J754" s="61">
        <v>4</v>
      </c>
      <c r="K754" s="61">
        <v>8.1</v>
      </c>
      <c r="L754" s="69">
        <f t="shared" si="159"/>
        <v>0.4</v>
      </c>
      <c r="M754" s="69">
        <f t="shared" si="160"/>
        <v>0.81</v>
      </c>
      <c r="N754" s="56">
        <f>INDEX(Rate_Chart!$A$1:$AK$127,MATCH(Data!J754,Rate_Chart!$A$1:$A$127,0),MATCH(Data!K754,Rate_Chart!$A$1:$AK$1,0))</f>
        <v>39.199125899999999</v>
      </c>
      <c r="O754" s="57">
        <f t="shared" si="161"/>
        <v>391.99125900000001</v>
      </c>
      <c r="P754" s="58">
        <f t="shared" si="162"/>
        <v>417.01197765957443</v>
      </c>
      <c r="Q754" s="58">
        <f t="shared" si="163"/>
        <v>278.00798510638293</v>
      </c>
      <c r="R754" s="66">
        <f t="shared" si="164"/>
        <v>6.8598470325000012</v>
      </c>
      <c r="S754" s="64">
        <f t="shared" si="165"/>
        <v>37.5</v>
      </c>
      <c r="T754" s="66">
        <f t="shared" si="166"/>
        <v>436.35110603250001</v>
      </c>
      <c r="U754" s="68">
        <f t="shared" si="167"/>
        <v>43.635110603249998</v>
      </c>
      <c r="V754" s="68">
        <f t="shared" si="168"/>
        <v>464.20330428989359</v>
      </c>
      <c r="W754" s="68">
        <f t="shared" si="169"/>
        <v>309.46886952659571</v>
      </c>
    </row>
    <row r="755" spans="1:23" x14ac:dyDescent="0.25">
      <c r="A755" s="169" t="s">
        <v>893</v>
      </c>
      <c r="B755" s="61" t="s">
        <v>396</v>
      </c>
      <c r="C755" s="61" t="s">
        <v>591</v>
      </c>
      <c r="D755" s="61" t="s">
        <v>595</v>
      </c>
      <c r="E755" s="1" t="s">
        <v>366</v>
      </c>
      <c r="F755" s="62" t="str">
        <f t="shared" si="158"/>
        <v>64522</v>
      </c>
      <c r="G755" s="1">
        <v>10620016</v>
      </c>
      <c r="H755" s="1" t="s">
        <v>387</v>
      </c>
      <c r="I755" s="61">
        <v>14</v>
      </c>
      <c r="J755" s="61">
        <v>7.5</v>
      </c>
      <c r="K755" s="61">
        <v>8.8000000000000007</v>
      </c>
      <c r="L755" s="69">
        <f t="shared" si="159"/>
        <v>1.05</v>
      </c>
      <c r="M755" s="69">
        <f t="shared" si="160"/>
        <v>1.2320000000000002</v>
      </c>
      <c r="N755" s="56">
        <f>INDEX(Rate_Chart!$A$1:$AK$127,MATCH(Data!J755,Rate_Chart!$A$1:$A$127,0),MATCH(Data!K755,Rate_Chart!$A$1:$AK$1,0))</f>
        <v>61.998750000000001</v>
      </c>
      <c r="O755" s="57">
        <f t="shared" si="161"/>
        <v>867.98250000000007</v>
      </c>
      <c r="P755" s="58">
        <f t="shared" si="162"/>
        <v>463.83104738154617</v>
      </c>
      <c r="Q755" s="58">
        <f t="shared" si="163"/>
        <v>309.22069825436409</v>
      </c>
      <c r="R755" s="66">
        <f t="shared" si="164"/>
        <v>15.189693750000004</v>
      </c>
      <c r="S755" s="64">
        <f t="shared" si="165"/>
        <v>52.5</v>
      </c>
      <c r="T755" s="66">
        <f t="shared" si="166"/>
        <v>935.67219375000013</v>
      </c>
      <c r="U755" s="68">
        <f t="shared" si="167"/>
        <v>66.833728125000007</v>
      </c>
      <c r="V755" s="68">
        <f t="shared" si="168"/>
        <v>500.00295355361607</v>
      </c>
      <c r="W755" s="68">
        <f t="shared" si="169"/>
        <v>333.3353023690774</v>
      </c>
    </row>
    <row r="756" spans="1:23" x14ac:dyDescent="0.25">
      <c r="A756" s="169" t="s">
        <v>893</v>
      </c>
      <c r="B756" s="61" t="s">
        <v>397</v>
      </c>
      <c r="C756" s="61" t="s">
        <v>591</v>
      </c>
      <c r="D756" s="61" t="s">
        <v>595</v>
      </c>
      <c r="E756" s="1" t="s">
        <v>366</v>
      </c>
      <c r="F756" s="62" t="str">
        <f t="shared" si="158"/>
        <v>64522</v>
      </c>
      <c r="G756" s="1">
        <v>10620016</v>
      </c>
      <c r="H756" s="1" t="s">
        <v>387</v>
      </c>
      <c r="I756" s="61">
        <v>11</v>
      </c>
      <c r="J756" s="61">
        <v>6.8</v>
      </c>
      <c r="K756" s="61">
        <v>8.8000000000000007</v>
      </c>
      <c r="L756" s="69">
        <f t="shared" si="159"/>
        <v>0.748</v>
      </c>
      <c r="M756" s="69">
        <f t="shared" si="160"/>
        <v>0.96800000000000008</v>
      </c>
      <c r="N756" s="56">
        <f>INDEX(Rate_Chart!$A$1:$AK$127,MATCH(Data!J756,Rate_Chart!$A$1:$A$127,0),MATCH(Data!K756,Rate_Chart!$A$1:$AK$1,0))</f>
        <v>56.212200000000003</v>
      </c>
      <c r="O756" s="57">
        <f t="shared" si="161"/>
        <v>618.33420000000001</v>
      </c>
      <c r="P756" s="58">
        <f t="shared" si="162"/>
        <v>443.78052631578947</v>
      </c>
      <c r="Q756" s="58">
        <f t="shared" si="163"/>
        <v>295.8536842105263</v>
      </c>
      <c r="R756" s="66">
        <f t="shared" si="164"/>
        <v>10.8208485</v>
      </c>
      <c r="S756" s="64">
        <f t="shared" si="165"/>
        <v>41.25</v>
      </c>
      <c r="T756" s="66">
        <f t="shared" si="166"/>
        <v>670.40504850000002</v>
      </c>
      <c r="U756" s="68">
        <f t="shared" si="167"/>
        <v>60.945913500000003</v>
      </c>
      <c r="V756" s="68">
        <f t="shared" si="168"/>
        <v>481.15194868421054</v>
      </c>
      <c r="W756" s="68">
        <f t="shared" si="169"/>
        <v>320.76796578947369</v>
      </c>
    </row>
    <row r="757" spans="1:23" x14ac:dyDescent="0.25">
      <c r="A757" s="169" t="s">
        <v>893</v>
      </c>
      <c r="B757" s="61" t="s">
        <v>397</v>
      </c>
      <c r="C757" s="61" t="s">
        <v>591</v>
      </c>
      <c r="D757" s="61" t="s">
        <v>595</v>
      </c>
      <c r="E757" s="1" t="s">
        <v>366</v>
      </c>
      <c r="F757" s="62" t="str">
        <f t="shared" si="158"/>
        <v>64522</v>
      </c>
      <c r="G757" s="1">
        <v>10620016</v>
      </c>
      <c r="H757" s="1" t="s">
        <v>388</v>
      </c>
      <c r="I757" s="61">
        <v>4</v>
      </c>
      <c r="J757" s="61">
        <v>3.7</v>
      </c>
      <c r="K757" s="61">
        <v>8.1</v>
      </c>
      <c r="L757" s="69">
        <f t="shared" si="159"/>
        <v>0.14800000000000002</v>
      </c>
      <c r="M757" s="69">
        <f t="shared" si="160"/>
        <v>0.32400000000000001</v>
      </c>
      <c r="N757" s="56">
        <f>INDEX(Rate_Chart!$A$1:$AK$127,MATCH(Data!J757,Rate_Chart!$A$1:$A$127,0),MATCH(Data!K757,Rate_Chart!$A$1:$AK$1,0))</f>
        <v>37.948125900000008</v>
      </c>
      <c r="O757" s="57">
        <f t="shared" si="161"/>
        <v>151.79250360000003</v>
      </c>
      <c r="P757" s="58">
        <f t="shared" si="162"/>
        <v>417.01237252747262</v>
      </c>
      <c r="Q757" s="58">
        <f t="shared" si="163"/>
        <v>278.00824835164843</v>
      </c>
      <c r="R757" s="66">
        <f t="shared" si="164"/>
        <v>2.6563688130000007</v>
      </c>
      <c r="S757" s="64">
        <f t="shared" si="165"/>
        <v>15</v>
      </c>
      <c r="T757" s="66">
        <f t="shared" si="166"/>
        <v>169.44887241300003</v>
      </c>
      <c r="U757" s="68">
        <f t="shared" si="167"/>
        <v>42.362218103250008</v>
      </c>
      <c r="V757" s="68">
        <f t="shared" si="168"/>
        <v>465.51888025549459</v>
      </c>
      <c r="W757" s="68">
        <f t="shared" si="169"/>
        <v>310.34592017032975</v>
      </c>
    </row>
    <row r="758" spans="1:23" x14ac:dyDescent="0.25">
      <c r="A758" s="169" t="s">
        <v>894</v>
      </c>
      <c r="B758" s="61" t="s">
        <v>397</v>
      </c>
      <c r="C758" s="61" t="s">
        <v>591</v>
      </c>
      <c r="D758" s="61" t="s">
        <v>595</v>
      </c>
      <c r="E758" s="1" t="s">
        <v>366</v>
      </c>
      <c r="F758" s="62" t="str">
        <f t="shared" si="158"/>
        <v>64522</v>
      </c>
      <c r="G758" s="1">
        <v>10620016</v>
      </c>
      <c r="H758" s="1" t="s">
        <v>387</v>
      </c>
      <c r="I758" s="61">
        <v>11</v>
      </c>
      <c r="J758" s="61">
        <v>5.6</v>
      </c>
      <c r="K758" s="61">
        <v>8.4</v>
      </c>
      <c r="L758" s="69">
        <f t="shared" si="159"/>
        <v>0.61599999999999999</v>
      </c>
      <c r="M758" s="69">
        <f t="shared" si="160"/>
        <v>0.92400000000000004</v>
      </c>
      <c r="N758" s="56">
        <f>INDEX(Rate_Chart!$A$1:$AK$127,MATCH(Data!J758,Rate_Chart!$A$1:$A$127,0),MATCH(Data!K758,Rate_Chart!$A$1:$AK$1,0))</f>
        <v>45.357199999999999</v>
      </c>
      <c r="O758" s="57">
        <f t="shared" si="161"/>
        <v>498.92919999999998</v>
      </c>
      <c r="P758" s="58">
        <f t="shared" si="162"/>
        <v>404.97500000000002</v>
      </c>
      <c r="Q758" s="58">
        <f t="shared" si="163"/>
        <v>269.98333333333335</v>
      </c>
      <c r="R758" s="66">
        <f t="shared" si="164"/>
        <v>8.7312609999999999</v>
      </c>
      <c r="S758" s="64">
        <f t="shared" si="165"/>
        <v>41.25</v>
      </c>
      <c r="T758" s="66">
        <f t="shared" si="166"/>
        <v>548.91046099999994</v>
      </c>
      <c r="U758" s="68">
        <f t="shared" si="167"/>
        <v>49.900950999999992</v>
      </c>
      <c r="V758" s="68">
        <f t="shared" si="168"/>
        <v>445.54420535714286</v>
      </c>
      <c r="W758" s="68">
        <f t="shared" si="169"/>
        <v>297.02947023809526</v>
      </c>
    </row>
    <row r="759" spans="1:23" x14ac:dyDescent="0.25">
      <c r="A759" s="169" t="s">
        <v>894</v>
      </c>
      <c r="B759" s="61" t="s">
        <v>397</v>
      </c>
      <c r="C759" s="61" t="s">
        <v>591</v>
      </c>
      <c r="D759" s="61" t="s">
        <v>595</v>
      </c>
      <c r="E759" s="1" t="s">
        <v>366</v>
      </c>
      <c r="F759" s="62" t="str">
        <f t="shared" si="158"/>
        <v>64522</v>
      </c>
      <c r="G759" s="1">
        <v>10620016</v>
      </c>
      <c r="H759" s="1" t="s">
        <v>388</v>
      </c>
      <c r="I759" s="61">
        <v>5</v>
      </c>
      <c r="J759" s="61">
        <v>3.2</v>
      </c>
      <c r="K759" s="61">
        <v>8.1</v>
      </c>
      <c r="L759" s="69">
        <f t="shared" si="159"/>
        <v>0.16</v>
      </c>
      <c r="M759" s="69">
        <f t="shared" si="160"/>
        <v>0.40500000000000003</v>
      </c>
      <c r="N759" s="56">
        <f>INDEX(Rate_Chart!$A$1:$AK$127,MATCH(Data!J759,Rate_Chart!$A$1:$A$127,0),MATCH(Data!K759,Rate_Chart!$A$1:$AK$1,0))</f>
        <v>35.8631259</v>
      </c>
      <c r="O759" s="57">
        <f t="shared" si="161"/>
        <v>179.3156295</v>
      </c>
      <c r="P759" s="58">
        <f t="shared" si="162"/>
        <v>417.01309186046512</v>
      </c>
      <c r="Q759" s="58">
        <f t="shared" si="163"/>
        <v>278.00872790697673</v>
      </c>
      <c r="R759" s="66">
        <f t="shared" si="164"/>
        <v>3.1380235162500001</v>
      </c>
      <c r="S759" s="64">
        <f t="shared" si="165"/>
        <v>18.75</v>
      </c>
      <c r="T759" s="66">
        <f t="shared" si="166"/>
        <v>201.20365301625</v>
      </c>
      <c r="U759" s="68">
        <f t="shared" si="167"/>
        <v>40.24073060325</v>
      </c>
      <c r="V759" s="68">
        <f t="shared" si="168"/>
        <v>467.91547213081401</v>
      </c>
      <c r="W759" s="68">
        <f t="shared" si="169"/>
        <v>311.94364808720934</v>
      </c>
    </row>
    <row r="760" spans="1:23" x14ac:dyDescent="0.25">
      <c r="A760" s="169" t="s">
        <v>888</v>
      </c>
      <c r="B760" s="61" t="s">
        <v>396</v>
      </c>
      <c r="C760" s="61" t="s">
        <v>591</v>
      </c>
      <c r="D760" s="61" t="s">
        <v>595</v>
      </c>
      <c r="E760" s="1" t="s">
        <v>367</v>
      </c>
      <c r="F760" s="62" t="str">
        <f t="shared" si="158"/>
        <v>64523</v>
      </c>
      <c r="G760" s="1">
        <v>10620013</v>
      </c>
      <c r="H760" s="1" t="s">
        <v>387</v>
      </c>
      <c r="I760" s="61">
        <v>17</v>
      </c>
      <c r="J760" s="61">
        <v>7.7</v>
      </c>
      <c r="K760" s="61">
        <v>8.8000000000000007</v>
      </c>
      <c r="L760" s="69">
        <f t="shared" si="159"/>
        <v>1.3090000000000002</v>
      </c>
      <c r="M760" s="69">
        <f t="shared" si="160"/>
        <v>1.4960000000000002</v>
      </c>
      <c r="N760" s="56">
        <f>INDEX(Rate_Chart!$A$1:$AK$127,MATCH(Data!J760,Rate_Chart!$A$1:$A$127,0),MATCH(Data!K760,Rate_Chart!$A$1:$AK$1,0))</f>
        <v>63.652050000000003</v>
      </c>
      <c r="O760" s="57">
        <f t="shared" si="161"/>
        <v>1082.08485</v>
      </c>
      <c r="P760" s="58">
        <f t="shared" si="162"/>
        <v>469.17972972972979</v>
      </c>
      <c r="Q760" s="58">
        <f t="shared" si="163"/>
        <v>312.78648648648652</v>
      </c>
      <c r="R760" s="66">
        <f t="shared" si="164"/>
        <v>18.936484875000001</v>
      </c>
      <c r="S760" s="64">
        <f t="shared" si="165"/>
        <v>63.75</v>
      </c>
      <c r="T760" s="66">
        <f t="shared" si="166"/>
        <v>1164.7713348749999</v>
      </c>
      <c r="U760" s="68">
        <f t="shared" si="167"/>
        <v>68.51596087499999</v>
      </c>
      <c r="V760" s="68">
        <f t="shared" si="168"/>
        <v>505.03165264127762</v>
      </c>
      <c r="W760" s="68">
        <f t="shared" si="169"/>
        <v>336.68776842751839</v>
      </c>
    </row>
    <row r="761" spans="1:23" x14ac:dyDescent="0.25">
      <c r="A761" s="169" t="s">
        <v>888</v>
      </c>
      <c r="B761" s="61" t="s">
        <v>396</v>
      </c>
      <c r="C761" s="61" t="s">
        <v>591</v>
      </c>
      <c r="D761" s="61" t="s">
        <v>595</v>
      </c>
      <c r="E761" s="1" t="s">
        <v>367</v>
      </c>
      <c r="F761" s="62" t="str">
        <f t="shared" si="158"/>
        <v>64523</v>
      </c>
      <c r="G761" s="1">
        <v>10620013</v>
      </c>
      <c r="H761" s="1" t="s">
        <v>388</v>
      </c>
      <c r="I761" s="61">
        <v>4</v>
      </c>
      <c r="J761" s="61">
        <v>3.7</v>
      </c>
      <c r="K761" s="61">
        <v>8.1</v>
      </c>
      <c r="L761" s="69">
        <f t="shared" si="159"/>
        <v>0.14800000000000002</v>
      </c>
      <c r="M761" s="69">
        <f t="shared" si="160"/>
        <v>0.32400000000000001</v>
      </c>
      <c r="N761" s="56">
        <f>INDEX(Rate_Chart!$A$1:$AK$127,MATCH(Data!J761,Rate_Chart!$A$1:$A$127,0),MATCH(Data!K761,Rate_Chart!$A$1:$AK$1,0))</f>
        <v>37.948125900000008</v>
      </c>
      <c r="O761" s="57">
        <f t="shared" si="161"/>
        <v>151.79250360000003</v>
      </c>
      <c r="P761" s="58">
        <f t="shared" si="162"/>
        <v>417.01237252747262</v>
      </c>
      <c r="Q761" s="58">
        <f t="shared" si="163"/>
        <v>278.00824835164843</v>
      </c>
      <c r="R761" s="66">
        <f t="shared" si="164"/>
        <v>2.6563688130000007</v>
      </c>
      <c r="S761" s="64">
        <f t="shared" si="165"/>
        <v>15</v>
      </c>
      <c r="T761" s="66">
        <f t="shared" si="166"/>
        <v>169.44887241300003</v>
      </c>
      <c r="U761" s="68">
        <f t="shared" si="167"/>
        <v>42.362218103250008</v>
      </c>
      <c r="V761" s="68">
        <f t="shared" si="168"/>
        <v>465.51888025549459</v>
      </c>
      <c r="W761" s="68">
        <f t="shared" si="169"/>
        <v>310.34592017032975</v>
      </c>
    </row>
    <row r="762" spans="1:23" x14ac:dyDescent="0.25">
      <c r="A762" s="169" t="s">
        <v>888</v>
      </c>
      <c r="B762" s="61" t="s">
        <v>397</v>
      </c>
      <c r="C762" s="61" t="s">
        <v>591</v>
      </c>
      <c r="D762" s="61" t="s">
        <v>595</v>
      </c>
      <c r="E762" s="1" t="s">
        <v>367</v>
      </c>
      <c r="F762" s="62" t="str">
        <f t="shared" si="158"/>
        <v>64523</v>
      </c>
      <c r="G762" s="1">
        <v>10620013</v>
      </c>
      <c r="H762" s="1" t="s">
        <v>387</v>
      </c>
      <c r="I762" s="61">
        <v>16</v>
      </c>
      <c r="J762" s="61">
        <v>7.1</v>
      </c>
      <c r="K762" s="61">
        <v>8.8000000000000007</v>
      </c>
      <c r="L762" s="69">
        <f t="shared" si="159"/>
        <v>1.1359999999999999</v>
      </c>
      <c r="M762" s="69">
        <f t="shared" si="160"/>
        <v>1.4080000000000001</v>
      </c>
      <c r="N762" s="56">
        <f>INDEX(Rate_Chart!$A$1:$AK$127,MATCH(Data!J762,Rate_Chart!$A$1:$A$127,0),MATCH(Data!K762,Rate_Chart!$A$1:$AK$1,0))</f>
        <v>58.692149999999998</v>
      </c>
      <c r="O762" s="57">
        <f t="shared" si="161"/>
        <v>939.07439999999997</v>
      </c>
      <c r="P762" s="58">
        <f t="shared" si="162"/>
        <v>452.63868894601546</v>
      </c>
      <c r="Q762" s="58">
        <f t="shared" si="163"/>
        <v>301.75912596401031</v>
      </c>
      <c r="R762" s="66">
        <f t="shared" si="164"/>
        <v>16.433802</v>
      </c>
      <c r="S762" s="64">
        <f t="shared" si="165"/>
        <v>60</v>
      </c>
      <c r="T762" s="66">
        <f t="shared" si="166"/>
        <v>1015.508202</v>
      </c>
      <c r="U762" s="68">
        <f t="shared" si="167"/>
        <v>63.469262624999999</v>
      </c>
      <c r="V762" s="68">
        <f t="shared" si="168"/>
        <v>489.48017448586126</v>
      </c>
      <c r="W762" s="68">
        <f t="shared" si="169"/>
        <v>326.32011632390748</v>
      </c>
    </row>
    <row r="763" spans="1:23" x14ac:dyDescent="0.25">
      <c r="A763" s="169" t="s">
        <v>889</v>
      </c>
      <c r="B763" s="61" t="s">
        <v>396</v>
      </c>
      <c r="C763" s="61" t="s">
        <v>591</v>
      </c>
      <c r="D763" s="61" t="s">
        <v>595</v>
      </c>
      <c r="E763" s="1" t="s">
        <v>367</v>
      </c>
      <c r="F763" s="62" t="str">
        <f t="shared" si="158"/>
        <v>64523</v>
      </c>
      <c r="G763" s="1">
        <v>10620013</v>
      </c>
      <c r="H763" s="1" t="s">
        <v>387</v>
      </c>
      <c r="I763" s="61">
        <v>15</v>
      </c>
      <c r="J763" s="61">
        <v>7.8</v>
      </c>
      <c r="K763" s="61">
        <v>8.8000000000000007</v>
      </c>
      <c r="L763" s="69">
        <f t="shared" si="159"/>
        <v>1.17</v>
      </c>
      <c r="M763" s="69">
        <f t="shared" si="160"/>
        <v>1.32</v>
      </c>
      <c r="N763" s="56">
        <f>INDEX(Rate_Chart!$A$1:$AK$127,MATCH(Data!J763,Rate_Chart!$A$1:$A$127,0),MATCH(Data!K763,Rate_Chart!$A$1:$AK$1,0))</f>
        <v>64.478699999999989</v>
      </c>
      <c r="O763" s="57">
        <f t="shared" si="161"/>
        <v>967.18049999999982</v>
      </c>
      <c r="P763" s="58">
        <f t="shared" si="162"/>
        <v>471.7953658536585</v>
      </c>
      <c r="Q763" s="58">
        <f t="shared" si="163"/>
        <v>314.530243902439</v>
      </c>
      <c r="R763" s="66">
        <f t="shared" si="164"/>
        <v>16.92565875</v>
      </c>
      <c r="S763" s="64">
        <f t="shared" si="165"/>
        <v>56.25</v>
      </c>
      <c r="T763" s="66">
        <f t="shared" si="166"/>
        <v>1040.3561587499998</v>
      </c>
      <c r="U763" s="68">
        <f t="shared" si="167"/>
        <v>69.357077249999989</v>
      </c>
      <c r="V763" s="68">
        <f t="shared" si="168"/>
        <v>507.49080914634141</v>
      </c>
      <c r="W763" s="68">
        <f t="shared" si="169"/>
        <v>338.32720609756092</v>
      </c>
    </row>
    <row r="764" spans="1:23" x14ac:dyDescent="0.25">
      <c r="A764" s="169" t="s">
        <v>889</v>
      </c>
      <c r="B764" s="61" t="s">
        <v>396</v>
      </c>
      <c r="C764" s="61" t="s">
        <v>591</v>
      </c>
      <c r="D764" s="61" t="s">
        <v>595</v>
      </c>
      <c r="E764" s="1" t="s">
        <v>367</v>
      </c>
      <c r="F764" s="62" t="str">
        <f t="shared" si="158"/>
        <v>64523</v>
      </c>
      <c r="G764" s="1">
        <v>10620013</v>
      </c>
      <c r="H764" s="1" t="s">
        <v>388</v>
      </c>
      <c r="I764" s="61">
        <v>5</v>
      </c>
      <c r="J764" s="61">
        <v>3.3</v>
      </c>
      <c r="K764" s="61">
        <v>8.1</v>
      </c>
      <c r="L764" s="69">
        <f t="shared" si="159"/>
        <v>0.16500000000000001</v>
      </c>
      <c r="M764" s="69">
        <f t="shared" si="160"/>
        <v>0.40500000000000003</v>
      </c>
      <c r="N764" s="56">
        <f>INDEX(Rate_Chart!$A$1:$AK$127,MATCH(Data!J764,Rate_Chart!$A$1:$A$127,0),MATCH(Data!K764,Rate_Chart!$A$1:$AK$1,0))</f>
        <v>36.280125900000002</v>
      </c>
      <c r="O764" s="57">
        <f t="shared" si="161"/>
        <v>181.40062950000001</v>
      </c>
      <c r="P764" s="58">
        <f t="shared" si="162"/>
        <v>417.0129413793104</v>
      </c>
      <c r="Q764" s="58">
        <f t="shared" si="163"/>
        <v>278.00862758620696</v>
      </c>
      <c r="R764" s="66">
        <f t="shared" si="164"/>
        <v>3.1745110162500003</v>
      </c>
      <c r="S764" s="64">
        <f t="shared" si="165"/>
        <v>18.75</v>
      </c>
      <c r="T764" s="66">
        <f t="shared" si="166"/>
        <v>203.32514051625</v>
      </c>
      <c r="U764" s="68">
        <f t="shared" si="167"/>
        <v>40.665028103250002</v>
      </c>
      <c r="V764" s="68">
        <f t="shared" si="168"/>
        <v>467.4141161293104</v>
      </c>
      <c r="W764" s="68">
        <f t="shared" si="169"/>
        <v>311.6094107528736</v>
      </c>
    </row>
    <row r="765" spans="1:23" x14ac:dyDescent="0.25">
      <c r="A765" s="169" t="s">
        <v>889</v>
      </c>
      <c r="B765" s="61" t="s">
        <v>397</v>
      </c>
      <c r="C765" s="61" t="s">
        <v>591</v>
      </c>
      <c r="D765" s="61" t="s">
        <v>595</v>
      </c>
      <c r="E765" s="1" t="s">
        <v>367</v>
      </c>
      <c r="F765" s="62" t="str">
        <f t="shared" si="158"/>
        <v>64523</v>
      </c>
      <c r="G765" s="1">
        <v>10620013</v>
      </c>
      <c r="H765" s="1" t="s">
        <v>387</v>
      </c>
      <c r="I765" s="61">
        <v>14</v>
      </c>
      <c r="J765" s="61">
        <v>6.6</v>
      </c>
      <c r="K765" s="61">
        <v>8.8000000000000007</v>
      </c>
      <c r="L765" s="69">
        <f t="shared" si="159"/>
        <v>0.92399999999999993</v>
      </c>
      <c r="M765" s="69">
        <f t="shared" si="160"/>
        <v>1.2320000000000002</v>
      </c>
      <c r="N765" s="56">
        <f>INDEX(Rate_Chart!$A$1:$AK$127,MATCH(Data!J765,Rate_Chart!$A$1:$A$127,0),MATCH(Data!K765,Rate_Chart!$A$1:$AK$1,0))</f>
        <v>54.558900000000001</v>
      </c>
      <c r="O765" s="57">
        <f t="shared" si="161"/>
        <v>763.82460000000003</v>
      </c>
      <c r="P765" s="58">
        <f t="shared" si="162"/>
        <v>437.63823529411764</v>
      </c>
      <c r="Q765" s="58">
        <f t="shared" si="163"/>
        <v>291.75882352941176</v>
      </c>
      <c r="R765" s="66">
        <f t="shared" si="164"/>
        <v>13.366930500000002</v>
      </c>
      <c r="S765" s="64">
        <f t="shared" si="165"/>
        <v>52.5</v>
      </c>
      <c r="T765" s="66">
        <f t="shared" si="166"/>
        <v>829.6915305</v>
      </c>
      <c r="U765" s="68">
        <f t="shared" si="167"/>
        <v>59.263680749999999</v>
      </c>
      <c r="V765" s="68">
        <f t="shared" si="168"/>
        <v>475.37711831550797</v>
      </c>
      <c r="W765" s="68">
        <f t="shared" si="169"/>
        <v>316.91807887700531</v>
      </c>
    </row>
    <row r="766" spans="1:23" x14ac:dyDescent="0.25">
      <c r="A766" s="169" t="s">
        <v>890</v>
      </c>
      <c r="B766" s="61" t="s">
        <v>396</v>
      </c>
      <c r="C766" s="61" t="s">
        <v>591</v>
      </c>
      <c r="D766" s="61" t="s">
        <v>595</v>
      </c>
      <c r="E766" s="1" t="s">
        <v>367</v>
      </c>
      <c r="F766" s="62" t="str">
        <f t="shared" si="158"/>
        <v>64523</v>
      </c>
      <c r="G766" s="1">
        <v>10620013</v>
      </c>
      <c r="H766" s="1" t="s">
        <v>387</v>
      </c>
      <c r="I766" s="61">
        <v>21</v>
      </c>
      <c r="J766" s="61">
        <v>6.7</v>
      </c>
      <c r="K766" s="61">
        <v>8.8000000000000007</v>
      </c>
      <c r="L766" s="69">
        <f t="shared" si="159"/>
        <v>1.4070000000000003</v>
      </c>
      <c r="M766" s="69">
        <f t="shared" si="160"/>
        <v>1.8480000000000001</v>
      </c>
      <c r="N766" s="56">
        <f>INDEX(Rate_Chart!$A$1:$AK$127,MATCH(Data!J766,Rate_Chart!$A$1:$A$127,0),MATCH(Data!K766,Rate_Chart!$A$1:$AK$1,0))</f>
        <v>55.385550000000002</v>
      </c>
      <c r="O766" s="57">
        <f t="shared" si="161"/>
        <v>1163.09655</v>
      </c>
      <c r="P766" s="58">
        <f t="shared" si="162"/>
        <v>440.73381962864721</v>
      </c>
      <c r="Q766" s="58">
        <f t="shared" si="163"/>
        <v>293.82254641909816</v>
      </c>
      <c r="R766" s="66">
        <f t="shared" si="164"/>
        <v>20.354189625</v>
      </c>
      <c r="S766" s="64">
        <f t="shared" si="165"/>
        <v>78.75</v>
      </c>
      <c r="T766" s="66">
        <f t="shared" si="166"/>
        <v>1262.2007396250001</v>
      </c>
      <c r="U766" s="68">
        <f t="shared" si="167"/>
        <v>60.104797125000005</v>
      </c>
      <c r="V766" s="68">
        <f t="shared" si="168"/>
        <v>478.28751027851456</v>
      </c>
      <c r="W766" s="68">
        <f t="shared" si="169"/>
        <v>318.85834018567635</v>
      </c>
    </row>
    <row r="767" spans="1:23" x14ac:dyDescent="0.25">
      <c r="A767" s="169" t="s">
        <v>890</v>
      </c>
      <c r="B767" s="61" t="s">
        <v>396</v>
      </c>
      <c r="C767" s="61" t="s">
        <v>591</v>
      </c>
      <c r="D767" s="61" t="s">
        <v>595</v>
      </c>
      <c r="E767" s="1" t="s">
        <v>367</v>
      </c>
      <c r="F767" s="62" t="str">
        <f t="shared" si="158"/>
        <v>64523</v>
      </c>
      <c r="G767" s="1">
        <v>10620013</v>
      </c>
      <c r="H767" s="1" t="s">
        <v>388</v>
      </c>
      <c r="I767" s="61">
        <v>4</v>
      </c>
      <c r="J767" s="61">
        <v>3.3</v>
      </c>
      <c r="K767" s="61">
        <v>8</v>
      </c>
      <c r="L767" s="69">
        <f t="shared" si="159"/>
        <v>0.13200000000000001</v>
      </c>
      <c r="M767" s="69">
        <f t="shared" si="160"/>
        <v>0.32</v>
      </c>
      <c r="N767" s="56">
        <f>INDEX(Rate_Chart!$A$1:$AK$127,MATCH(Data!J767,Rate_Chart!$A$1:$A$127,0),MATCH(Data!K767,Rate_Chart!$A$1:$AK$1,0))</f>
        <v>36.002112000000004</v>
      </c>
      <c r="O767" s="57">
        <f t="shared" si="161"/>
        <v>144.00844800000002</v>
      </c>
      <c r="P767" s="58">
        <f t="shared" si="162"/>
        <v>417.01288030888031</v>
      </c>
      <c r="Q767" s="58">
        <f t="shared" si="163"/>
        <v>278.00858687258687</v>
      </c>
      <c r="R767" s="66">
        <f t="shared" si="164"/>
        <v>2.5201478400000004</v>
      </c>
      <c r="S767" s="64">
        <f t="shared" si="165"/>
        <v>15</v>
      </c>
      <c r="T767" s="66">
        <f t="shared" si="166"/>
        <v>161.52859584000001</v>
      </c>
      <c r="U767" s="68">
        <f t="shared" si="167"/>
        <v>40.382148960000002</v>
      </c>
      <c r="V767" s="68">
        <f t="shared" si="168"/>
        <v>467.74689915057911</v>
      </c>
      <c r="W767" s="68">
        <f t="shared" si="169"/>
        <v>311.83126610038607</v>
      </c>
    </row>
    <row r="768" spans="1:23" x14ac:dyDescent="0.25">
      <c r="A768" s="169" t="s">
        <v>890</v>
      </c>
      <c r="B768" s="61" t="s">
        <v>397</v>
      </c>
      <c r="C768" s="61" t="s">
        <v>591</v>
      </c>
      <c r="D768" s="61" t="s">
        <v>595</v>
      </c>
      <c r="E768" s="1" t="s">
        <v>367</v>
      </c>
      <c r="F768" s="62" t="str">
        <f t="shared" si="158"/>
        <v>64523</v>
      </c>
      <c r="G768" s="1">
        <v>10620013</v>
      </c>
      <c r="H768" s="1" t="s">
        <v>387</v>
      </c>
      <c r="I768" s="61">
        <v>10</v>
      </c>
      <c r="J768" s="61">
        <v>8</v>
      </c>
      <c r="K768" s="61">
        <v>8.8000000000000007</v>
      </c>
      <c r="L768" s="69">
        <f t="shared" si="159"/>
        <v>0.8</v>
      </c>
      <c r="M768" s="69">
        <f t="shared" si="160"/>
        <v>0.88</v>
      </c>
      <c r="N768" s="56">
        <f>INDEX(Rate_Chart!$A$1:$AK$127,MATCH(Data!J768,Rate_Chart!$A$1:$A$127,0),MATCH(Data!K768,Rate_Chart!$A$1:$AK$1,0))</f>
        <v>66.131999999999991</v>
      </c>
      <c r="O768" s="57">
        <f t="shared" si="161"/>
        <v>661.31999999999994</v>
      </c>
      <c r="P768" s="58">
        <f t="shared" si="162"/>
        <v>476.91346153846149</v>
      </c>
      <c r="Q768" s="58">
        <f t="shared" si="163"/>
        <v>317.94230769230768</v>
      </c>
      <c r="R768" s="66">
        <f t="shared" si="164"/>
        <v>11.5731</v>
      </c>
      <c r="S768" s="64">
        <f t="shared" si="165"/>
        <v>37.5</v>
      </c>
      <c r="T768" s="66">
        <f t="shared" si="166"/>
        <v>710.39309999999989</v>
      </c>
      <c r="U768" s="68">
        <f t="shared" si="167"/>
        <v>71.039309999999986</v>
      </c>
      <c r="V768" s="68">
        <f t="shared" si="168"/>
        <v>512.30271634615372</v>
      </c>
      <c r="W768" s="68">
        <f t="shared" si="169"/>
        <v>341.53514423076916</v>
      </c>
    </row>
    <row r="769" spans="1:23" x14ac:dyDescent="0.25">
      <c r="A769" s="169" t="s">
        <v>890</v>
      </c>
      <c r="B769" s="61" t="s">
        <v>397</v>
      </c>
      <c r="C769" s="61" t="s">
        <v>591</v>
      </c>
      <c r="D769" s="61" t="s">
        <v>595</v>
      </c>
      <c r="E769" s="1" t="s">
        <v>367</v>
      </c>
      <c r="F769" s="62" t="str">
        <f t="shared" si="158"/>
        <v>64523</v>
      </c>
      <c r="G769" s="1">
        <v>10620013</v>
      </c>
      <c r="H769" s="1" t="s">
        <v>388</v>
      </c>
      <c r="I769" s="61">
        <v>8</v>
      </c>
      <c r="J769" s="61">
        <v>4.2</v>
      </c>
      <c r="K769" s="61">
        <v>8.1</v>
      </c>
      <c r="L769" s="69">
        <f t="shared" si="159"/>
        <v>0.33600000000000002</v>
      </c>
      <c r="M769" s="69">
        <f t="shared" si="160"/>
        <v>0.64800000000000002</v>
      </c>
      <c r="N769" s="56">
        <f>INDEX(Rate_Chart!$A$1:$AK$127,MATCH(Data!J769,Rate_Chart!$A$1:$A$127,0),MATCH(Data!K769,Rate_Chart!$A$1:$AK$1,0))</f>
        <v>40.033125900000002</v>
      </c>
      <c r="O769" s="57">
        <f t="shared" si="161"/>
        <v>320.26500720000001</v>
      </c>
      <c r="P769" s="58">
        <f t="shared" si="162"/>
        <v>417.01172812499999</v>
      </c>
      <c r="Q769" s="58">
        <f t="shared" si="163"/>
        <v>278.00781875000001</v>
      </c>
      <c r="R769" s="66">
        <f t="shared" si="164"/>
        <v>5.6046376260000006</v>
      </c>
      <c r="S769" s="64">
        <f t="shared" si="165"/>
        <v>30</v>
      </c>
      <c r="T769" s="66">
        <f t="shared" si="166"/>
        <v>355.86964482600001</v>
      </c>
      <c r="U769" s="68">
        <f t="shared" si="167"/>
        <v>44.483705603250002</v>
      </c>
      <c r="V769" s="68">
        <f t="shared" si="168"/>
        <v>463.37193336718752</v>
      </c>
      <c r="W769" s="68">
        <f t="shared" si="169"/>
        <v>308.9146222447917</v>
      </c>
    </row>
    <row r="770" spans="1:23" x14ac:dyDescent="0.25">
      <c r="A770" s="169" t="s">
        <v>891</v>
      </c>
      <c r="B770" s="61" t="s">
        <v>396</v>
      </c>
      <c r="C770" s="61" t="s">
        <v>591</v>
      </c>
      <c r="D770" s="61" t="s">
        <v>595</v>
      </c>
      <c r="E770" s="1" t="s">
        <v>367</v>
      </c>
      <c r="F770" s="62" t="str">
        <f t="shared" si="158"/>
        <v>64523</v>
      </c>
      <c r="G770" s="1">
        <v>10620013</v>
      </c>
      <c r="H770" s="1" t="s">
        <v>387</v>
      </c>
      <c r="I770" s="61">
        <v>14</v>
      </c>
      <c r="J770" s="61">
        <v>8</v>
      </c>
      <c r="K770" s="61">
        <v>9</v>
      </c>
      <c r="L770" s="69">
        <f t="shared" si="159"/>
        <v>1.1200000000000001</v>
      </c>
      <c r="M770" s="69">
        <f t="shared" si="160"/>
        <v>1.26</v>
      </c>
      <c r="N770" s="56">
        <f>INDEX(Rate_Chart!$A$1:$AK$127,MATCH(Data!J770,Rate_Chart!$A$1:$A$127,0),MATCH(Data!K770,Rate_Chart!$A$1:$AK$1,0))</f>
        <v>66.8</v>
      </c>
      <c r="O770" s="57">
        <f t="shared" si="161"/>
        <v>935.19999999999993</v>
      </c>
      <c r="P770" s="58">
        <f t="shared" si="162"/>
        <v>477.14285714285705</v>
      </c>
      <c r="Q770" s="58">
        <f t="shared" si="163"/>
        <v>318.09523809523802</v>
      </c>
      <c r="R770" s="66">
        <f t="shared" si="164"/>
        <v>16.366</v>
      </c>
      <c r="S770" s="64">
        <f t="shared" si="165"/>
        <v>52.5</v>
      </c>
      <c r="T770" s="66">
        <f t="shared" si="166"/>
        <v>1004.0659999999999</v>
      </c>
      <c r="U770" s="68">
        <f t="shared" si="167"/>
        <v>71.718999999999994</v>
      </c>
      <c r="V770" s="68">
        <f t="shared" si="168"/>
        <v>512.27857142857135</v>
      </c>
      <c r="W770" s="68">
        <f t="shared" si="169"/>
        <v>341.51904761904757</v>
      </c>
    </row>
    <row r="771" spans="1:23" x14ac:dyDescent="0.25">
      <c r="A771" s="169" t="s">
        <v>891</v>
      </c>
      <c r="B771" s="61" t="s">
        <v>396</v>
      </c>
      <c r="C771" s="61" t="s">
        <v>591</v>
      </c>
      <c r="D771" s="61" t="s">
        <v>595</v>
      </c>
      <c r="E771" s="1" t="s">
        <v>367</v>
      </c>
      <c r="F771" s="62" t="str">
        <f t="shared" si="158"/>
        <v>64523</v>
      </c>
      <c r="G771" s="1">
        <v>10620013</v>
      </c>
      <c r="H771" s="1" t="s">
        <v>388</v>
      </c>
      <c r="I771" s="61">
        <v>12</v>
      </c>
      <c r="J771" s="61">
        <v>3.6</v>
      </c>
      <c r="K771" s="61">
        <v>8.1</v>
      </c>
      <c r="L771" s="69">
        <f t="shared" si="159"/>
        <v>0.43200000000000005</v>
      </c>
      <c r="M771" s="69">
        <f t="shared" si="160"/>
        <v>0.97199999999999986</v>
      </c>
      <c r="N771" s="56">
        <f>INDEX(Rate_Chart!$A$1:$AK$127,MATCH(Data!J771,Rate_Chart!$A$1:$A$127,0),MATCH(Data!K771,Rate_Chart!$A$1:$AK$1,0))</f>
        <v>37.531125900000006</v>
      </c>
      <c r="O771" s="57">
        <f t="shared" si="161"/>
        <v>450.37351080000008</v>
      </c>
      <c r="P771" s="58">
        <f t="shared" si="162"/>
        <v>417.01251000000008</v>
      </c>
      <c r="Q771" s="58">
        <f t="shared" si="163"/>
        <v>278.00834000000003</v>
      </c>
      <c r="R771" s="66">
        <f t="shared" si="164"/>
        <v>7.8815364390000022</v>
      </c>
      <c r="S771" s="64">
        <f t="shared" si="165"/>
        <v>45</v>
      </c>
      <c r="T771" s="66">
        <f t="shared" si="166"/>
        <v>503.25504723900008</v>
      </c>
      <c r="U771" s="68">
        <f t="shared" si="167"/>
        <v>41.937920603250006</v>
      </c>
      <c r="V771" s="68">
        <f t="shared" si="168"/>
        <v>465.97689559166673</v>
      </c>
      <c r="W771" s="68">
        <f t="shared" si="169"/>
        <v>310.6512637277778</v>
      </c>
    </row>
    <row r="772" spans="1:23" x14ac:dyDescent="0.25">
      <c r="A772" s="169" t="s">
        <v>891</v>
      </c>
      <c r="B772" s="61" t="s">
        <v>397</v>
      </c>
      <c r="C772" s="61" t="s">
        <v>591</v>
      </c>
      <c r="D772" s="61" t="s">
        <v>595</v>
      </c>
      <c r="E772" s="1" t="s">
        <v>367</v>
      </c>
      <c r="F772" s="62" t="str">
        <f t="shared" si="158"/>
        <v>64523</v>
      </c>
      <c r="G772" s="1">
        <v>10620013</v>
      </c>
      <c r="H772" s="1" t="s">
        <v>387</v>
      </c>
      <c r="I772" s="61">
        <v>18</v>
      </c>
      <c r="J772" s="61">
        <v>6.7</v>
      </c>
      <c r="K772" s="61">
        <v>8.8000000000000007</v>
      </c>
      <c r="L772" s="69">
        <f t="shared" si="159"/>
        <v>1.2060000000000002</v>
      </c>
      <c r="M772" s="69">
        <f t="shared" si="160"/>
        <v>1.5840000000000001</v>
      </c>
      <c r="N772" s="56">
        <f>INDEX(Rate_Chart!$A$1:$AK$127,MATCH(Data!J772,Rate_Chart!$A$1:$A$127,0),MATCH(Data!K772,Rate_Chart!$A$1:$AK$1,0))</f>
        <v>55.385550000000002</v>
      </c>
      <c r="O772" s="57">
        <f t="shared" si="161"/>
        <v>996.93990000000008</v>
      </c>
      <c r="P772" s="58">
        <f t="shared" si="162"/>
        <v>440.73381962864721</v>
      </c>
      <c r="Q772" s="58">
        <f t="shared" si="163"/>
        <v>293.82254641909816</v>
      </c>
      <c r="R772" s="66">
        <f t="shared" si="164"/>
        <v>17.446448250000003</v>
      </c>
      <c r="S772" s="64">
        <f t="shared" si="165"/>
        <v>67.5</v>
      </c>
      <c r="T772" s="66">
        <f t="shared" si="166"/>
        <v>1081.8863482500001</v>
      </c>
      <c r="U772" s="68">
        <f t="shared" si="167"/>
        <v>60.104797125000005</v>
      </c>
      <c r="V772" s="68">
        <f t="shared" si="168"/>
        <v>478.28751027851456</v>
      </c>
      <c r="W772" s="68">
        <f t="shared" si="169"/>
        <v>318.85834018567635</v>
      </c>
    </row>
    <row r="773" spans="1:23" x14ac:dyDescent="0.25">
      <c r="A773" s="169" t="s">
        <v>892</v>
      </c>
      <c r="B773" s="61" t="s">
        <v>396</v>
      </c>
      <c r="C773" s="61" t="s">
        <v>591</v>
      </c>
      <c r="D773" s="61" t="s">
        <v>595</v>
      </c>
      <c r="E773" s="1" t="s">
        <v>367</v>
      </c>
      <c r="F773" s="62" t="str">
        <f t="shared" ref="F773:F836" si="170">MID(E773,2,5)</f>
        <v>64523</v>
      </c>
      <c r="G773" s="1">
        <v>10620013</v>
      </c>
      <c r="H773" s="1" t="s">
        <v>387</v>
      </c>
      <c r="I773" s="61">
        <v>15</v>
      </c>
      <c r="J773" s="61">
        <v>8</v>
      </c>
      <c r="K773" s="61">
        <v>9</v>
      </c>
      <c r="L773" s="69">
        <f t="shared" si="159"/>
        <v>1.2</v>
      </c>
      <c r="M773" s="69">
        <f t="shared" si="160"/>
        <v>1.35</v>
      </c>
      <c r="N773" s="56">
        <f>INDEX(Rate_Chart!$A$1:$AK$127,MATCH(Data!J773,Rate_Chart!$A$1:$A$127,0),MATCH(Data!K773,Rate_Chart!$A$1:$AK$1,0))</f>
        <v>66.8</v>
      </c>
      <c r="O773" s="57">
        <f t="shared" si="161"/>
        <v>1002</v>
      </c>
      <c r="P773" s="58">
        <f t="shared" si="162"/>
        <v>477.14285714285705</v>
      </c>
      <c r="Q773" s="58">
        <f t="shared" si="163"/>
        <v>318.09523809523802</v>
      </c>
      <c r="R773" s="66">
        <f t="shared" si="164"/>
        <v>17.535</v>
      </c>
      <c r="S773" s="64">
        <f t="shared" si="165"/>
        <v>56.25</v>
      </c>
      <c r="T773" s="66">
        <f t="shared" si="166"/>
        <v>1075.7850000000001</v>
      </c>
      <c r="U773" s="68">
        <f t="shared" si="167"/>
        <v>71.719000000000008</v>
      </c>
      <c r="V773" s="68">
        <f t="shared" si="168"/>
        <v>512.27857142857147</v>
      </c>
      <c r="W773" s="68">
        <f t="shared" si="169"/>
        <v>341.51904761904763</v>
      </c>
    </row>
    <row r="774" spans="1:23" x14ac:dyDescent="0.25">
      <c r="A774" s="169" t="s">
        <v>892</v>
      </c>
      <c r="B774" s="61" t="s">
        <v>396</v>
      </c>
      <c r="C774" s="61" t="s">
        <v>591</v>
      </c>
      <c r="D774" s="61" t="s">
        <v>595</v>
      </c>
      <c r="E774" s="1" t="s">
        <v>367</v>
      </c>
      <c r="F774" s="62" t="str">
        <f t="shared" si="170"/>
        <v>64523</v>
      </c>
      <c r="G774" s="1">
        <v>10620013</v>
      </c>
      <c r="H774" s="1" t="s">
        <v>388</v>
      </c>
      <c r="I774" s="61">
        <v>8</v>
      </c>
      <c r="J774" s="61">
        <v>3.9</v>
      </c>
      <c r="K774" s="61">
        <v>8.1</v>
      </c>
      <c r="L774" s="69">
        <f t="shared" si="159"/>
        <v>0.312</v>
      </c>
      <c r="M774" s="69">
        <f t="shared" si="160"/>
        <v>0.64800000000000002</v>
      </c>
      <c r="N774" s="56">
        <f>INDEX(Rate_Chart!$A$1:$AK$127,MATCH(Data!J774,Rate_Chart!$A$1:$A$127,0),MATCH(Data!K774,Rate_Chart!$A$1:$AK$1,0))</f>
        <v>38.782125900000004</v>
      </c>
      <c r="O774" s="57">
        <f t="shared" si="161"/>
        <v>310.25700720000003</v>
      </c>
      <c r="P774" s="58">
        <f t="shared" si="162"/>
        <v>417.01210645161296</v>
      </c>
      <c r="Q774" s="58">
        <f t="shared" si="163"/>
        <v>278.00807096774196</v>
      </c>
      <c r="R774" s="66">
        <f t="shared" si="164"/>
        <v>5.4294976260000007</v>
      </c>
      <c r="S774" s="64">
        <f t="shared" si="165"/>
        <v>30</v>
      </c>
      <c r="T774" s="66">
        <f t="shared" si="166"/>
        <v>345.68650482600003</v>
      </c>
      <c r="U774" s="68">
        <f t="shared" si="167"/>
        <v>43.210813103250004</v>
      </c>
      <c r="V774" s="68">
        <f t="shared" si="168"/>
        <v>464.63239895967746</v>
      </c>
      <c r="W774" s="68">
        <f t="shared" si="169"/>
        <v>309.75493263978495</v>
      </c>
    </row>
    <row r="775" spans="1:23" x14ac:dyDescent="0.25">
      <c r="A775" s="169" t="s">
        <v>892</v>
      </c>
      <c r="B775" s="61" t="s">
        <v>397</v>
      </c>
      <c r="C775" s="61" t="s">
        <v>591</v>
      </c>
      <c r="D775" s="61" t="s">
        <v>595</v>
      </c>
      <c r="E775" s="1" t="s">
        <v>367</v>
      </c>
      <c r="F775" s="62" t="str">
        <f t="shared" si="170"/>
        <v>64523</v>
      </c>
      <c r="G775" s="1">
        <v>10620013</v>
      </c>
      <c r="H775" s="1" t="s">
        <v>387</v>
      </c>
      <c r="I775" s="61">
        <v>8</v>
      </c>
      <c r="J775" s="61">
        <v>6.4</v>
      </c>
      <c r="K775" s="61">
        <v>8.8000000000000007</v>
      </c>
      <c r="L775" s="69">
        <f t="shared" si="159"/>
        <v>0.51200000000000001</v>
      </c>
      <c r="M775" s="69">
        <f t="shared" si="160"/>
        <v>0.70400000000000007</v>
      </c>
      <c r="N775" s="56">
        <f>INDEX(Rate_Chart!$A$1:$AK$127,MATCH(Data!J775,Rate_Chart!$A$1:$A$127,0),MATCH(Data!K775,Rate_Chart!$A$1:$AK$1,0))</f>
        <v>52.9056</v>
      </c>
      <c r="O775" s="57">
        <f t="shared" si="161"/>
        <v>423.2448</v>
      </c>
      <c r="P775" s="58">
        <f t="shared" si="162"/>
        <v>431.29565217391303</v>
      </c>
      <c r="Q775" s="58">
        <f t="shared" si="163"/>
        <v>287.53043478260867</v>
      </c>
      <c r="R775" s="66">
        <f t="shared" si="164"/>
        <v>7.4067840000000009</v>
      </c>
      <c r="S775" s="64">
        <f t="shared" si="165"/>
        <v>30</v>
      </c>
      <c r="T775" s="66">
        <f t="shared" si="166"/>
        <v>460.65158400000001</v>
      </c>
      <c r="U775" s="68">
        <f t="shared" si="167"/>
        <v>57.581448000000002</v>
      </c>
      <c r="V775" s="68">
        <f t="shared" si="168"/>
        <v>469.41397826086956</v>
      </c>
      <c r="W775" s="68">
        <f t="shared" si="169"/>
        <v>312.94265217391302</v>
      </c>
    </row>
    <row r="776" spans="1:23" x14ac:dyDescent="0.25">
      <c r="A776" s="169" t="s">
        <v>893</v>
      </c>
      <c r="B776" s="61" t="s">
        <v>396</v>
      </c>
      <c r="C776" s="61" t="s">
        <v>591</v>
      </c>
      <c r="D776" s="61" t="s">
        <v>595</v>
      </c>
      <c r="E776" s="1" t="s">
        <v>367</v>
      </c>
      <c r="F776" s="62" t="str">
        <f t="shared" si="170"/>
        <v>64523</v>
      </c>
      <c r="G776" s="1">
        <v>10620013</v>
      </c>
      <c r="H776" s="1" t="s">
        <v>387</v>
      </c>
      <c r="I776" s="61">
        <v>10</v>
      </c>
      <c r="J776" s="61">
        <v>8</v>
      </c>
      <c r="K776" s="61">
        <v>8.8000000000000007</v>
      </c>
      <c r="L776" s="69">
        <f t="shared" si="159"/>
        <v>0.8</v>
      </c>
      <c r="M776" s="69">
        <f t="shared" si="160"/>
        <v>0.88</v>
      </c>
      <c r="N776" s="56">
        <f>INDEX(Rate_Chart!$A$1:$AK$127,MATCH(Data!J776,Rate_Chart!$A$1:$A$127,0),MATCH(Data!K776,Rate_Chart!$A$1:$AK$1,0))</f>
        <v>66.131999999999991</v>
      </c>
      <c r="O776" s="57">
        <f t="shared" si="161"/>
        <v>661.31999999999994</v>
      </c>
      <c r="P776" s="58">
        <f t="shared" si="162"/>
        <v>476.91346153846149</v>
      </c>
      <c r="Q776" s="58">
        <f t="shared" si="163"/>
        <v>317.94230769230768</v>
      </c>
      <c r="R776" s="66">
        <f t="shared" si="164"/>
        <v>11.5731</v>
      </c>
      <c r="S776" s="64">
        <f t="shared" si="165"/>
        <v>37.5</v>
      </c>
      <c r="T776" s="66">
        <f t="shared" si="166"/>
        <v>710.39309999999989</v>
      </c>
      <c r="U776" s="68">
        <f t="shared" si="167"/>
        <v>71.039309999999986</v>
      </c>
      <c r="V776" s="68">
        <f t="shared" si="168"/>
        <v>512.30271634615372</v>
      </c>
      <c r="W776" s="68">
        <f t="shared" si="169"/>
        <v>341.53514423076916</v>
      </c>
    </row>
    <row r="777" spans="1:23" x14ac:dyDescent="0.25">
      <c r="A777" s="169" t="s">
        <v>893</v>
      </c>
      <c r="B777" s="61" t="s">
        <v>396</v>
      </c>
      <c r="C777" s="61" t="s">
        <v>591</v>
      </c>
      <c r="D777" s="61" t="s">
        <v>595</v>
      </c>
      <c r="E777" s="1" t="s">
        <v>367</v>
      </c>
      <c r="F777" s="62" t="str">
        <f t="shared" si="170"/>
        <v>64523</v>
      </c>
      <c r="G777" s="1">
        <v>10620013</v>
      </c>
      <c r="H777" s="1" t="s">
        <v>388</v>
      </c>
      <c r="I777" s="61">
        <v>8</v>
      </c>
      <c r="J777" s="61">
        <v>3.6</v>
      </c>
      <c r="K777" s="61">
        <v>8.1</v>
      </c>
      <c r="L777" s="69">
        <f t="shared" si="159"/>
        <v>0.28800000000000003</v>
      </c>
      <c r="M777" s="69">
        <f t="shared" si="160"/>
        <v>0.64800000000000002</v>
      </c>
      <c r="N777" s="56">
        <f>INDEX(Rate_Chart!$A$1:$AK$127,MATCH(Data!J777,Rate_Chart!$A$1:$A$127,0),MATCH(Data!K777,Rate_Chart!$A$1:$AK$1,0))</f>
        <v>37.531125900000006</v>
      </c>
      <c r="O777" s="57">
        <f t="shared" si="161"/>
        <v>300.24900720000005</v>
      </c>
      <c r="P777" s="58">
        <f t="shared" si="162"/>
        <v>417.01251000000008</v>
      </c>
      <c r="Q777" s="58">
        <f t="shared" si="163"/>
        <v>278.00834000000003</v>
      </c>
      <c r="R777" s="66">
        <f t="shared" si="164"/>
        <v>5.2543576260000018</v>
      </c>
      <c r="S777" s="64">
        <f t="shared" si="165"/>
        <v>30</v>
      </c>
      <c r="T777" s="66">
        <f t="shared" si="166"/>
        <v>335.50336482600005</v>
      </c>
      <c r="U777" s="68">
        <f t="shared" si="167"/>
        <v>41.937920603250006</v>
      </c>
      <c r="V777" s="68">
        <f t="shared" si="168"/>
        <v>465.97689559166673</v>
      </c>
      <c r="W777" s="68">
        <f t="shared" si="169"/>
        <v>310.6512637277778</v>
      </c>
    </row>
    <row r="778" spans="1:23" x14ac:dyDescent="0.25">
      <c r="A778" s="169" t="s">
        <v>893</v>
      </c>
      <c r="B778" s="61" t="s">
        <v>397</v>
      </c>
      <c r="C778" s="61" t="s">
        <v>591</v>
      </c>
      <c r="D778" s="61" t="s">
        <v>595</v>
      </c>
      <c r="E778" s="1" t="s">
        <v>367</v>
      </c>
      <c r="F778" s="62" t="str">
        <f t="shared" si="170"/>
        <v>64523</v>
      </c>
      <c r="G778" s="1">
        <v>10620013</v>
      </c>
      <c r="H778" s="1" t="s">
        <v>387</v>
      </c>
      <c r="I778" s="61">
        <v>14</v>
      </c>
      <c r="J778" s="61">
        <v>7.4</v>
      </c>
      <c r="K778" s="61">
        <v>8.8000000000000007</v>
      </c>
      <c r="L778" s="69">
        <f t="shared" si="159"/>
        <v>1.036</v>
      </c>
      <c r="M778" s="69">
        <f t="shared" si="160"/>
        <v>1.2320000000000002</v>
      </c>
      <c r="N778" s="56">
        <f>INDEX(Rate_Chart!$A$1:$AK$127,MATCH(Data!J778,Rate_Chart!$A$1:$A$127,0),MATCH(Data!K778,Rate_Chart!$A$1:$AK$1,0))</f>
        <v>61.172100000000007</v>
      </c>
      <c r="O778" s="57">
        <f t="shared" si="161"/>
        <v>856.40940000000012</v>
      </c>
      <c r="P778" s="58">
        <f t="shared" si="162"/>
        <v>461.09623115577887</v>
      </c>
      <c r="Q778" s="58">
        <f t="shared" si="163"/>
        <v>307.39748743718593</v>
      </c>
      <c r="R778" s="66">
        <f t="shared" si="164"/>
        <v>14.987164500000004</v>
      </c>
      <c r="S778" s="64">
        <f t="shared" si="165"/>
        <v>52.5</v>
      </c>
      <c r="T778" s="66">
        <f t="shared" si="166"/>
        <v>923.89656450000007</v>
      </c>
      <c r="U778" s="68">
        <f t="shared" si="167"/>
        <v>65.992611750000009</v>
      </c>
      <c r="V778" s="68">
        <f t="shared" si="168"/>
        <v>497.43174685929648</v>
      </c>
      <c r="W778" s="68">
        <f t="shared" si="169"/>
        <v>331.6211645728643</v>
      </c>
    </row>
    <row r="779" spans="1:23" x14ac:dyDescent="0.25">
      <c r="A779" s="169" t="s">
        <v>893</v>
      </c>
      <c r="B779" s="61" t="s">
        <v>397</v>
      </c>
      <c r="C779" s="61" t="s">
        <v>591</v>
      </c>
      <c r="D779" s="61" t="s">
        <v>595</v>
      </c>
      <c r="E779" s="1" t="s">
        <v>367</v>
      </c>
      <c r="F779" s="62" t="str">
        <f t="shared" si="170"/>
        <v>64523</v>
      </c>
      <c r="G779" s="1">
        <v>10620013</v>
      </c>
      <c r="H779" s="1" t="s">
        <v>388</v>
      </c>
      <c r="I779" s="61">
        <v>2</v>
      </c>
      <c r="J779" s="61">
        <v>3.8</v>
      </c>
      <c r="K779" s="61">
        <v>8.1999999999999993</v>
      </c>
      <c r="L779" s="69">
        <f t="shared" si="159"/>
        <v>7.5999999999999998E-2</v>
      </c>
      <c r="M779" s="69">
        <f t="shared" si="160"/>
        <v>0.16399999999999998</v>
      </c>
      <c r="N779" s="56">
        <f>INDEX(Rate_Chart!$A$1:$AK$127,MATCH(Data!J779,Rate_Chart!$A$1:$A$127,0),MATCH(Data!K779,Rate_Chart!$A$1:$AK$1,0))</f>
        <v>38.6431398</v>
      </c>
      <c r="O779" s="57">
        <f t="shared" si="161"/>
        <v>77.2862796</v>
      </c>
      <c r="P779" s="58">
        <f t="shared" si="162"/>
        <v>417.01230000000004</v>
      </c>
      <c r="Q779" s="58">
        <f t="shared" si="163"/>
        <v>278.00820000000004</v>
      </c>
      <c r="R779" s="66">
        <f t="shared" si="164"/>
        <v>1.3525098930000001</v>
      </c>
      <c r="S779" s="64">
        <f t="shared" si="165"/>
        <v>7.5</v>
      </c>
      <c r="T779" s="66">
        <f t="shared" si="166"/>
        <v>86.138789493000004</v>
      </c>
      <c r="U779" s="68">
        <f t="shared" si="167"/>
        <v>43.069394746500002</v>
      </c>
      <c r="V779" s="68">
        <f t="shared" si="168"/>
        <v>464.77764114928061</v>
      </c>
      <c r="W779" s="68">
        <f t="shared" si="169"/>
        <v>309.85176076618706</v>
      </c>
    </row>
    <row r="780" spans="1:23" x14ac:dyDescent="0.25">
      <c r="A780" s="169" t="s">
        <v>894</v>
      </c>
      <c r="B780" s="61" t="s">
        <v>396</v>
      </c>
      <c r="C780" s="61" t="s">
        <v>591</v>
      </c>
      <c r="D780" s="61" t="s">
        <v>595</v>
      </c>
      <c r="E780" s="1" t="s">
        <v>367</v>
      </c>
      <c r="F780" s="62" t="str">
        <f t="shared" si="170"/>
        <v>64523</v>
      </c>
      <c r="G780" s="1">
        <v>10620013</v>
      </c>
      <c r="H780" s="1" t="s">
        <v>387</v>
      </c>
      <c r="I780" s="61">
        <v>17</v>
      </c>
      <c r="J780" s="61">
        <v>7.6</v>
      </c>
      <c r="K780" s="61">
        <v>8.8000000000000007</v>
      </c>
      <c r="L780" s="69">
        <f t="shared" si="159"/>
        <v>1.2919999999999998</v>
      </c>
      <c r="M780" s="69">
        <f t="shared" si="160"/>
        <v>1.4960000000000002</v>
      </c>
      <c r="N780" s="56">
        <f>INDEX(Rate_Chart!$A$1:$AK$127,MATCH(Data!J780,Rate_Chart!$A$1:$A$127,0),MATCH(Data!K780,Rate_Chart!$A$1:$AK$1,0))</f>
        <v>62.825400000000002</v>
      </c>
      <c r="O780" s="57">
        <f t="shared" si="161"/>
        <v>1068.0318</v>
      </c>
      <c r="P780" s="58">
        <f t="shared" si="162"/>
        <v>466.5252475247525</v>
      </c>
      <c r="Q780" s="58">
        <f t="shared" si="163"/>
        <v>311.01683168316833</v>
      </c>
      <c r="R780" s="66">
        <f t="shared" si="164"/>
        <v>18.690556500000003</v>
      </c>
      <c r="S780" s="64">
        <f t="shared" si="165"/>
        <v>63.75</v>
      </c>
      <c r="T780" s="66">
        <f t="shared" si="166"/>
        <v>1150.4723564999999</v>
      </c>
      <c r="U780" s="68">
        <f t="shared" si="167"/>
        <v>67.674844499999992</v>
      </c>
      <c r="V780" s="68">
        <f t="shared" si="168"/>
        <v>502.53597400990094</v>
      </c>
      <c r="W780" s="68">
        <f t="shared" si="169"/>
        <v>335.02398267326731</v>
      </c>
    </row>
    <row r="781" spans="1:23" x14ac:dyDescent="0.25">
      <c r="A781" s="169" t="s">
        <v>894</v>
      </c>
      <c r="B781" s="61" t="s">
        <v>396</v>
      </c>
      <c r="C781" s="61" t="s">
        <v>591</v>
      </c>
      <c r="D781" s="61" t="s">
        <v>595</v>
      </c>
      <c r="E781" s="1" t="s">
        <v>367</v>
      </c>
      <c r="F781" s="62" t="str">
        <f t="shared" si="170"/>
        <v>64523</v>
      </c>
      <c r="G781" s="1">
        <v>10620013</v>
      </c>
      <c r="H781" s="1" t="s">
        <v>388</v>
      </c>
      <c r="I781" s="61">
        <v>5</v>
      </c>
      <c r="J781" s="61">
        <v>4.2</v>
      </c>
      <c r="K781" s="61">
        <v>8.1999999999999993</v>
      </c>
      <c r="L781" s="69">
        <f t="shared" si="159"/>
        <v>0.21</v>
      </c>
      <c r="M781" s="69">
        <f t="shared" si="160"/>
        <v>0.41</v>
      </c>
      <c r="N781" s="56">
        <f>INDEX(Rate_Chart!$A$1:$AK$127,MATCH(Data!J781,Rate_Chart!$A$1:$A$127,0),MATCH(Data!K781,Rate_Chart!$A$1:$AK$1,0))</f>
        <v>40.311139799999999</v>
      </c>
      <c r="O781" s="57">
        <f t="shared" si="161"/>
        <v>201.555699</v>
      </c>
      <c r="P781" s="58">
        <f t="shared" si="162"/>
        <v>417.01179103448277</v>
      </c>
      <c r="Q781" s="58">
        <f t="shared" si="163"/>
        <v>278.00786068965516</v>
      </c>
      <c r="R781" s="66">
        <f t="shared" si="164"/>
        <v>3.5272247325000006</v>
      </c>
      <c r="S781" s="64">
        <f t="shared" si="165"/>
        <v>18.75</v>
      </c>
      <c r="T781" s="66">
        <f t="shared" si="166"/>
        <v>223.83292373250001</v>
      </c>
      <c r="U781" s="68">
        <f t="shared" si="167"/>
        <v>44.766584746500001</v>
      </c>
      <c r="V781" s="68">
        <f t="shared" si="168"/>
        <v>463.10260082586211</v>
      </c>
      <c r="W781" s="68">
        <f t="shared" si="169"/>
        <v>308.73506721724141</v>
      </c>
    </row>
    <row r="782" spans="1:23" x14ac:dyDescent="0.25">
      <c r="A782" s="169" t="s">
        <v>894</v>
      </c>
      <c r="B782" s="61" t="s">
        <v>397</v>
      </c>
      <c r="C782" s="61" t="s">
        <v>591</v>
      </c>
      <c r="D782" s="61" t="s">
        <v>595</v>
      </c>
      <c r="E782" s="1" t="s">
        <v>367</v>
      </c>
      <c r="F782" s="62" t="str">
        <f t="shared" si="170"/>
        <v>64523</v>
      </c>
      <c r="G782" s="1">
        <v>10620013</v>
      </c>
      <c r="H782" s="1" t="s">
        <v>387</v>
      </c>
      <c r="I782" s="61">
        <v>13</v>
      </c>
      <c r="J782" s="61">
        <v>6.6</v>
      </c>
      <c r="K782" s="61">
        <v>8.8000000000000007</v>
      </c>
      <c r="L782" s="69">
        <f t="shared" si="159"/>
        <v>0.85799999999999998</v>
      </c>
      <c r="M782" s="69">
        <f t="shared" si="160"/>
        <v>1.1440000000000001</v>
      </c>
      <c r="N782" s="56">
        <f>INDEX(Rate_Chart!$A$1:$AK$127,MATCH(Data!J782,Rate_Chart!$A$1:$A$127,0),MATCH(Data!K782,Rate_Chart!$A$1:$AK$1,0))</f>
        <v>54.558900000000001</v>
      </c>
      <c r="O782" s="57">
        <f t="shared" si="161"/>
        <v>709.26570000000004</v>
      </c>
      <c r="P782" s="58">
        <f t="shared" si="162"/>
        <v>437.63823529411764</v>
      </c>
      <c r="Q782" s="58">
        <f t="shared" si="163"/>
        <v>291.75882352941176</v>
      </c>
      <c r="R782" s="66">
        <f t="shared" si="164"/>
        <v>12.412149750000001</v>
      </c>
      <c r="S782" s="64">
        <f t="shared" si="165"/>
        <v>48.75</v>
      </c>
      <c r="T782" s="66">
        <f t="shared" si="166"/>
        <v>770.42784975000006</v>
      </c>
      <c r="U782" s="68">
        <f t="shared" si="167"/>
        <v>59.263680750000006</v>
      </c>
      <c r="V782" s="68">
        <f t="shared" si="168"/>
        <v>475.37711831550803</v>
      </c>
      <c r="W782" s="68">
        <f t="shared" si="169"/>
        <v>316.91807887700537</v>
      </c>
    </row>
    <row r="783" spans="1:23" x14ac:dyDescent="0.25">
      <c r="A783" s="169" t="s">
        <v>888</v>
      </c>
      <c r="B783" s="61" t="s">
        <v>396</v>
      </c>
      <c r="C783" s="61" t="s">
        <v>591</v>
      </c>
      <c r="D783" s="61" t="s">
        <v>594</v>
      </c>
      <c r="E783" s="1" t="s">
        <v>368</v>
      </c>
      <c r="F783" s="62" t="str">
        <f t="shared" si="170"/>
        <v>64528</v>
      </c>
      <c r="G783" s="1">
        <v>10620026</v>
      </c>
      <c r="H783" s="1" t="s">
        <v>387</v>
      </c>
      <c r="I783" s="61">
        <v>21</v>
      </c>
      <c r="J783" s="61">
        <v>7.6</v>
      </c>
      <c r="K783" s="61">
        <v>8.8000000000000007</v>
      </c>
      <c r="L783" s="69">
        <f t="shared" si="159"/>
        <v>1.5959999999999999</v>
      </c>
      <c r="M783" s="69">
        <f t="shared" si="160"/>
        <v>1.8480000000000001</v>
      </c>
      <c r="N783" s="56">
        <f>INDEX(Rate_Chart!$A$1:$AK$127,MATCH(Data!J783,Rate_Chart!$A$1:$A$127,0),MATCH(Data!K783,Rate_Chart!$A$1:$AK$1,0))</f>
        <v>62.825400000000002</v>
      </c>
      <c r="O783" s="57">
        <f t="shared" si="161"/>
        <v>1319.3334</v>
      </c>
      <c r="P783" s="58">
        <f t="shared" si="162"/>
        <v>466.5252475247525</v>
      </c>
      <c r="Q783" s="58">
        <f t="shared" si="163"/>
        <v>311.01683168316833</v>
      </c>
      <c r="R783" s="66">
        <f t="shared" si="164"/>
        <v>23.088334500000002</v>
      </c>
      <c r="S783" s="64">
        <f t="shared" si="165"/>
        <v>78.75</v>
      </c>
      <c r="T783" s="66">
        <f t="shared" si="166"/>
        <v>1421.1717345</v>
      </c>
      <c r="U783" s="68">
        <f t="shared" si="167"/>
        <v>67.674844499999992</v>
      </c>
      <c r="V783" s="68">
        <f t="shared" si="168"/>
        <v>502.53597400990094</v>
      </c>
      <c r="W783" s="68">
        <f t="shared" si="169"/>
        <v>335.02398267326731</v>
      </c>
    </row>
    <row r="784" spans="1:23" x14ac:dyDescent="0.25">
      <c r="A784" s="169" t="s">
        <v>888</v>
      </c>
      <c r="B784" s="61" t="s">
        <v>396</v>
      </c>
      <c r="C784" s="61" t="s">
        <v>591</v>
      </c>
      <c r="D784" s="61" t="s">
        <v>594</v>
      </c>
      <c r="E784" s="1" t="s">
        <v>368</v>
      </c>
      <c r="F784" s="62" t="str">
        <f t="shared" si="170"/>
        <v>64528</v>
      </c>
      <c r="G784" s="1">
        <v>10620026</v>
      </c>
      <c r="H784" s="1" t="s">
        <v>388</v>
      </c>
      <c r="I784" s="61">
        <v>24</v>
      </c>
      <c r="J784" s="61">
        <v>4</v>
      </c>
      <c r="K784" s="61">
        <v>8.1999999999999993</v>
      </c>
      <c r="L784" s="69">
        <f t="shared" si="159"/>
        <v>0.96</v>
      </c>
      <c r="M784" s="69">
        <f t="shared" si="160"/>
        <v>1.9679999999999997</v>
      </c>
      <c r="N784" s="56">
        <f>INDEX(Rate_Chart!$A$1:$AK$127,MATCH(Data!J784,Rate_Chart!$A$1:$A$127,0),MATCH(Data!K784,Rate_Chart!$A$1:$AK$1,0))</f>
        <v>39.477139800000003</v>
      </c>
      <c r="O784" s="57">
        <f t="shared" si="161"/>
        <v>947.45135520000008</v>
      </c>
      <c r="P784" s="58">
        <f t="shared" si="162"/>
        <v>417.0120401408451</v>
      </c>
      <c r="Q784" s="58">
        <f t="shared" si="163"/>
        <v>278.00802676056338</v>
      </c>
      <c r="R784" s="66">
        <f t="shared" si="164"/>
        <v>16.580398716000001</v>
      </c>
      <c r="S784" s="64">
        <f t="shared" si="165"/>
        <v>90</v>
      </c>
      <c r="T784" s="66">
        <f t="shared" si="166"/>
        <v>1054.0317539160001</v>
      </c>
      <c r="U784" s="68">
        <f t="shared" si="167"/>
        <v>43.917989746500005</v>
      </c>
      <c r="V784" s="68">
        <f t="shared" si="168"/>
        <v>463.92242689964797</v>
      </c>
      <c r="W784" s="68">
        <f t="shared" si="169"/>
        <v>309.28161793309863</v>
      </c>
    </row>
    <row r="785" spans="1:23" x14ac:dyDescent="0.25">
      <c r="A785" s="169" t="s">
        <v>888</v>
      </c>
      <c r="B785" s="61" t="s">
        <v>397</v>
      </c>
      <c r="C785" s="61" t="s">
        <v>591</v>
      </c>
      <c r="D785" s="61" t="s">
        <v>594</v>
      </c>
      <c r="E785" s="1" t="s">
        <v>368</v>
      </c>
      <c r="F785" s="62" t="str">
        <f t="shared" si="170"/>
        <v>64528</v>
      </c>
      <c r="G785" s="1">
        <v>10620026</v>
      </c>
      <c r="H785" s="1" t="s">
        <v>387</v>
      </c>
      <c r="I785" s="61">
        <v>15</v>
      </c>
      <c r="J785" s="61">
        <v>6.3</v>
      </c>
      <c r="K785" s="61">
        <v>8.8000000000000007</v>
      </c>
      <c r="L785" s="69">
        <f t="shared" si="159"/>
        <v>0.94499999999999995</v>
      </c>
      <c r="M785" s="69">
        <f t="shared" si="160"/>
        <v>1.32</v>
      </c>
      <c r="N785" s="56">
        <f>INDEX(Rate_Chart!$A$1:$AK$127,MATCH(Data!J785,Rate_Chart!$A$1:$A$127,0),MATCH(Data!K785,Rate_Chart!$A$1:$AK$1,0))</f>
        <v>52.078949999999999</v>
      </c>
      <c r="O785" s="57">
        <f t="shared" si="161"/>
        <v>781.18425000000002</v>
      </c>
      <c r="P785" s="58">
        <f t="shared" si="162"/>
        <v>428.04616438356163</v>
      </c>
      <c r="Q785" s="58">
        <f t="shared" si="163"/>
        <v>285.36410958904111</v>
      </c>
      <c r="R785" s="66">
        <f t="shared" si="164"/>
        <v>13.670724375000002</v>
      </c>
      <c r="S785" s="64">
        <f t="shared" si="165"/>
        <v>56.25</v>
      </c>
      <c r="T785" s="66">
        <f t="shared" si="166"/>
        <v>851.10497437499998</v>
      </c>
      <c r="U785" s="68">
        <f t="shared" si="167"/>
        <v>56.740331624999996</v>
      </c>
      <c r="V785" s="68">
        <f t="shared" si="168"/>
        <v>466.35889006849311</v>
      </c>
      <c r="W785" s="68">
        <f t="shared" si="169"/>
        <v>310.90592671232872</v>
      </c>
    </row>
    <row r="786" spans="1:23" x14ac:dyDescent="0.25">
      <c r="A786" s="169" t="s">
        <v>888</v>
      </c>
      <c r="B786" s="61" t="s">
        <v>397</v>
      </c>
      <c r="C786" s="61" t="s">
        <v>591</v>
      </c>
      <c r="D786" s="61" t="s">
        <v>594</v>
      </c>
      <c r="E786" s="1" t="s">
        <v>368</v>
      </c>
      <c r="F786" s="62" t="str">
        <f t="shared" si="170"/>
        <v>64528</v>
      </c>
      <c r="G786" s="1">
        <v>10620026</v>
      </c>
      <c r="H786" s="1" t="s">
        <v>388</v>
      </c>
      <c r="I786" s="61">
        <v>32</v>
      </c>
      <c r="J786" s="61">
        <v>3.3</v>
      </c>
      <c r="K786" s="61">
        <v>8.1</v>
      </c>
      <c r="L786" s="69">
        <f t="shared" si="159"/>
        <v>1.056</v>
      </c>
      <c r="M786" s="69">
        <f t="shared" si="160"/>
        <v>2.5920000000000001</v>
      </c>
      <c r="N786" s="56">
        <f>INDEX(Rate_Chart!$A$1:$AK$127,MATCH(Data!J786,Rate_Chart!$A$1:$A$127,0),MATCH(Data!K786,Rate_Chart!$A$1:$AK$1,0))</f>
        <v>36.280125900000002</v>
      </c>
      <c r="O786" s="57">
        <f t="shared" si="161"/>
        <v>1160.9640288000001</v>
      </c>
      <c r="P786" s="58">
        <f t="shared" si="162"/>
        <v>417.0129413793104</v>
      </c>
      <c r="Q786" s="58">
        <f t="shared" si="163"/>
        <v>278.00862758620696</v>
      </c>
      <c r="R786" s="66">
        <f t="shared" si="164"/>
        <v>20.316870504000004</v>
      </c>
      <c r="S786" s="64">
        <f t="shared" si="165"/>
        <v>120</v>
      </c>
      <c r="T786" s="66">
        <f t="shared" si="166"/>
        <v>1301.2808993040001</v>
      </c>
      <c r="U786" s="68">
        <f t="shared" si="167"/>
        <v>40.665028103250002</v>
      </c>
      <c r="V786" s="68">
        <f t="shared" si="168"/>
        <v>467.4141161293104</v>
      </c>
      <c r="W786" s="68">
        <f t="shared" si="169"/>
        <v>311.6094107528736</v>
      </c>
    </row>
    <row r="787" spans="1:23" x14ac:dyDescent="0.25">
      <c r="A787" s="169" t="s">
        <v>889</v>
      </c>
      <c r="B787" s="61" t="s">
        <v>396</v>
      </c>
      <c r="C787" s="61" t="s">
        <v>591</v>
      </c>
      <c r="D787" s="61" t="s">
        <v>594</v>
      </c>
      <c r="E787" s="1" t="s">
        <v>368</v>
      </c>
      <c r="F787" s="62" t="str">
        <f t="shared" si="170"/>
        <v>64528</v>
      </c>
      <c r="G787" s="1">
        <v>10620026</v>
      </c>
      <c r="H787" s="1" t="s">
        <v>387</v>
      </c>
      <c r="I787" s="61">
        <v>22</v>
      </c>
      <c r="J787" s="61">
        <v>7.2</v>
      </c>
      <c r="K787" s="61">
        <v>8.8000000000000007</v>
      </c>
      <c r="L787" s="69">
        <f t="shared" si="159"/>
        <v>1.5840000000000001</v>
      </c>
      <c r="M787" s="69">
        <f t="shared" si="160"/>
        <v>1.9360000000000002</v>
      </c>
      <c r="N787" s="56">
        <f>INDEX(Rate_Chart!$A$1:$AK$127,MATCH(Data!J787,Rate_Chart!$A$1:$A$127,0),MATCH(Data!K787,Rate_Chart!$A$1:$AK$1,0))</f>
        <v>59.518800000000006</v>
      </c>
      <c r="O787" s="57">
        <f t="shared" si="161"/>
        <v>1309.4136000000001</v>
      </c>
      <c r="P787" s="58">
        <f t="shared" si="162"/>
        <v>455.50102040816324</v>
      </c>
      <c r="Q787" s="58">
        <f t="shared" si="163"/>
        <v>303.66734693877549</v>
      </c>
      <c r="R787" s="66">
        <f t="shared" si="164"/>
        <v>22.914738000000003</v>
      </c>
      <c r="S787" s="64">
        <f t="shared" si="165"/>
        <v>82.5</v>
      </c>
      <c r="T787" s="66">
        <f t="shared" si="166"/>
        <v>1414.828338</v>
      </c>
      <c r="U787" s="68">
        <f t="shared" si="167"/>
        <v>64.310378999999998</v>
      </c>
      <c r="V787" s="68">
        <f t="shared" si="168"/>
        <v>492.17126785714277</v>
      </c>
      <c r="W787" s="68">
        <f t="shared" si="169"/>
        <v>328.11417857142851</v>
      </c>
    </row>
    <row r="788" spans="1:23" x14ac:dyDescent="0.25">
      <c r="A788" s="169" t="s">
        <v>889</v>
      </c>
      <c r="B788" s="61" t="s">
        <v>396</v>
      </c>
      <c r="C788" s="61" t="s">
        <v>591</v>
      </c>
      <c r="D788" s="61" t="s">
        <v>594</v>
      </c>
      <c r="E788" s="1" t="s">
        <v>368</v>
      </c>
      <c r="F788" s="62" t="str">
        <f t="shared" si="170"/>
        <v>64528</v>
      </c>
      <c r="G788" s="1">
        <v>10620026</v>
      </c>
      <c r="H788" s="1" t="s">
        <v>388</v>
      </c>
      <c r="I788" s="61">
        <v>27</v>
      </c>
      <c r="J788" s="61">
        <v>4.2</v>
      </c>
      <c r="K788" s="61">
        <v>8.1</v>
      </c>
      <c r="L788" s="69">
        <f t="shared" si="159"/>
        <v>1.1340000000000001</v>
      </c>
      <c r="M788" s="69">
        <f t="shared" si="160"/>
        <v>2.1869999999999998</v>
      </c>
      <c r="N788" s="56">
        <f>INDEX(Rate_Chart!$A$1:$AK$127,MATCH(Data!J788,Rate_Chart!$A$1:$A$127,0),MATCH(Data!K788,Rate_Chart!$A$1:$AK$1,0))</f>
        <v>40.033125900000002</v>
      </c>
      <c r="O788" s="57">
        <f t="shared" si="161"/>
        <v>1080.8943993</v>
      </c>
      <c r="P788" s="58">
        <f t="shared" si="162"/>
        <v>417.01172812499999</v>
      </c>
      <c r="Q788" s="58">
        <f t="shared" si="163"/>
        <v>278.00781875000001</v>
      </c>
      <c r="R788" s="66">
        <f t="shared" si="164"/>
        <v>18.915651987750003</v>
      </c>
      <c r="S788" s="64">
        <f t="shared" si="165"/>
        <v>101.25</v>
      </c>
      <c r="T788" s="66">
        <f t="shared" si="166"/>
        <v>1201.06005128775</v>
      </c>
      <c r="U788" s="68">
        <f t="shared" si="167"/>
        <v>44.483705603250002</v>
      </c>
      <c r="V788" s="68">
        <f t="shared" si="168"/>
        <v>463.37193336718752</v>
      </c>
      <c r="W788" s="68">
        <f t="shared" si="169"/>
        <v>308.9146222447917</v>
      </c>
    </row>
    <row r="789" spans="1:23" x14ac:dyDescent="0.25">
      <c r="A789" s="169" t="s">
        <v>889</v>
      </c>
      <c r="B789" s="61" t="s">
        <v>397</v>
      </c>
      <c r="C789" s="61" t="s">
        <v>591</v>
      </c>
      <c r="D789" s="61" t="s">
        <v>594</v>
      </c>
      <c r="E789" s="1" t="s">
        <v>368</v>
      </c>
      <c r="F789" s="62" t="str">
        <f t="shared" si="170"/>
        <v>64528</v>
      </c>
      <c r="G789" s="1">
        <v>10620026</v>
      </c>
      <c r="H789" s="1" t="s">
        <v>387</v>
      </c>
      <c r="I789" s="61">
        <v>18</v>
      </c>
      <c r="J789" s="61">
        <v>6.3</v>
      </c>
      <c r="K789" s="61">
        <v>8.6</v>
      </c>
      <c r="L789" s="69">
        <f t="shared" si="159"/>
        <v>1.1339999999999999</v>
      </c>
      <c r="M789" s="69">
        <f t="shared" si="160"/>
        <v>1.5479999999999998</v>
      </c>
      <c r="N789" s="56">
        <f>INDEX(Rate_Chart!$A$1:$AK$127,MATCH(Data!J789,Rate_Chart!$A$1:$A$127,0),MATCH(Data!K789,Rate_Chart!$A$1:$AK$1,0))</f>
        <v>51.552899999999994</v>
      </c>
      <c r="O789" s="57">
        <f t="shared" si="161"/>
        <v>927.95219999999995</v>
      </c>
      <c r="P789" s="58">
        <f t="shared" si="162"/>
        <v>428.41745152354571</v>
      </c>
      <c r="Q789" s="58">
        <f t="shared" si="163"/>
        <v>285.61163434903045</v>
      </c>
      <c r="R789" s="66">
        <f t="shared" si="164"/>
        <v>16.2391635</v>
      </c>
      <c r="S789" s="64">
        <f t="shared" si="165"/>
        <v>67.5</v>
      </c>
      <c r="T789" s="66">
        <f t="shared" si="166"/>
        <v>1011.6913635</v>
      </c>
      <c r="U789" s="68">
        <f t="shared" si="167"/>
        <v>56.205075749999999</v>
      </c>
      <c r="V789" s="68">
        <f t="shared" si="168"/>
        <v>467.07819182825489</v>
      </c>
      <c r="W789" s="68">
        <f t="shared" si="169"/>
        <v>311.38546121883661</v>
      </c>
    </row>
    <row r="790" spans="1:23" x14ac:dyDescent="0.25">
      <c r="A790" s="169" t="s">
        <v>889</v>
      </c>
      <c r="B790" s="61" t="s">
        <v>397</v>
      </c>
      <c r="C790" s="61" t="s">
        <v>591</v>
      </c>
      <c r="D790" s="61" t="s">
        <v>594</v>
      </c>
      <c r="E790" s="1" t="s">
        <v>368</v>
      </c>
      <c r="F790" s="62" t="str">
        <f t="shared" si="170"/>
        <v>64528</v>
      </c>
      <c r="G790" s="1">
        <v>10620026</v>
      </c>
      <c r="H790" s="1" t="s">
        <v>388</v>
      </c>
      <c r="I790" s="61">
        <v>26</v>
      </c>
      <c r="J790" s="61">
        <v>3.6</v>
      </c>
      <c r="K790" s="61">
        <v>8.1</v>
      </c>
      <c r="L790" s="69">
        <f t="shared" si="159"/>
        <v>0.93600000000000005</v>
      </c>
      <c r="M790" s="69">
        <f t="shared" si="160"/>
        <v>2.1059999999999999</v>
      </c>
      <c r="N790" s="56">
        <f>INDEX(Rate_Chart!$A$1:$AK$127,MATCH(Data!J790,Rate_Chart!$A$1:$A$127,0),MATCH(Data!K790,Rate_Chart!$A$1:$AK$1,0))</f>
        <v>37.531125900000006</v>
      </c>
      <c r="O790" s="57">
        <f t="shared" si="161"/>
        <v>975.80927340000017</v>
      </c>
      <c r="P790" s="58">
        <f t="shared" si="162"/>
        <v>417.01251000000008</v>
      </c>
      <c r="Q790" s="58">
        <f t="shared" si="163"/>
        <v>278.00834000000003</v>
      </c>
      <c r="R790" s="66">
        <f t="shared" si="164"/>
        <v>17.076662284500003</v>
      </c>
      <c r="S790" s="64">
        <f t="shared" si="165"/>
        <v>97.5</v>
      </c>
      <c r="T790" s="66">
        <f t="shared" si="166"/>
        <v>1090.3859356845001</v>
      </c>
      <c r="U790" s="68">
        <f t="shared" si="167"/>
        <v>41.937920603249999</v>
      </c>
      <c r="V790" s="68">
        <f t="shared" si="168"/>
        <v>465.97689559166668</v>
      </c>
      <c r="W790" s="68">
        <f t="shared" si="169"/>
        <v>310.6512637277778</v>
      </c>
    </row>
    <row r="791" spans="1:23" x14ac:dyDescent="0.25">
      <c r="A791" s="169" t="s">
        <v>890</v>
      </c>
      <c r="B791" s="61" t="s">
        <v>396</v>
      </c>
      <c r="C791" s="61" t="s">
        <v>591</v>
      </c>
      <c r="D791" s="61" t="s">
        <v>594</v>
      </c>
      <c r="E791" s="1" t="s">
        <v>368</v>
      </c>
      <c r="F791" s="62" t="str">
        <f t="shared" si="170"/>
        <v>64528</v>
      </c>
      <c r="G791" s="1">
        <v>10620026</v>
      </c>
      <c r="H791" s="1" t="s">
        <v>387</v>
      </c>
      <c r="I791" s="61">
        <v>19</v>
      </c>
      <c r="J791" s="61">
        <v>7.1</v>
      </c>
      <c r="K791" s="61">
        <v>8.8000000000000007</v>
      </c>
      <c r="L791" s="69">
        <f t="shared" si="159"/>
        <v>1.349</v>
      </c>
      <c r="M791" s="69">
        <f t="shared" si="160"/>
        <v>1.6720000000000002</v>
      </c>
      <c r="N791" s="56">
        <f>INDEX(Rate_Chart!$A$1:$AK$127,MATCH(Data!J791,Rate_Chart!$A$1:$A$127,0),MATCH(Data!K791,Rate_Chart!$A$1:$AK$1,0))</f>
        <v>58.692149999999998</v>
      </c>
      <c r="O791" s="57">
        <f t="shared" si="161"/>
        <v>1115.15085</v>
      </c>
      <c r="P791" s="58">
        <f t="shared" si="162"/>
        <v>452.63868894601546</v>
      </c>
      <c r="Q791" s="58">
        <f t="shared" si="163"/>
        <v>301.75912596401031</v>
      </c>
      <c r="R791" s="66">
        <f t="shared" si="164"/>
        <v>19.515139875000003</v>
      </c>
      <c r="S791" s="64">
        <f t="shared" si="165"/>
        <v>71.25</v>
      </c>
      <c r="T791" s="66">
        <f t="shared" si="166"/>
        <v>1205.9159898749999</v>
      </c>
      <c r="U791" s="68">
        <f t="shared" si="167"/>
        <v>63.469262624999999</v>
      </c>
      <c r="V791" s="68">
        <f t="shared" si="168"/>
        <v>489.48017448586126</v>
      </c>
      <c r="W791" s="68">
        <f t="shared" si="169"/>
        <v>326.32011632390748</v>
      </c>
    </row>
    <row r="792" spans="1:23" x14ac:dyDescent="0.25">
      <c r="A792" s="169" t="s">
        <v>890</v>
      </c>
      <c r="B792" s="61" t="s">
        <v>396</v>
      </c>
      <c r="C792" s="61" t="s">
        <v>591</v>
      </c>
      <c r="D792" s="61" t="s">
        <v>594</v>
      </c>
      <c r="E792" s="1" t="s">
        <v>368</v>
      </c>
      <c r="F792" s="62" t="str">
        <f t="shared" si="170"/>
        <v>64528</v>
      </c>
      <c r="G792" s="1">
        <v>10620026</v>
      </c>
      <c r="H792" s="1" t="s">
        <v>388</v>
      </c>
      <c r="I792" s="61">
        <v>34</v>
      </c>
      <c r="J792" s="61">
        <v>3.7</v>
      </c>
      <c r="K792" s="61">
        <v>8.1</v>
      </c>
      <c r="L792" s="69">
        <f t="shared" si="159"/>
        <v>1.258</v>
      </c>
      <c r="M792" s="69">
        <f t="shared" si="160"/>
        <v>2.7539999999999996</v>
      </c>
      <c r="N792" s="56">
        <f>INDEX(Rate_Chart!$A$1:$AK$127,MATCH(Data!J792,Rate_Chart!$A$1:$A$127,0),MATCH(Data!K792,Rate_Chart!$A$1:$AK$1,0))</f>
        <v>37.948125900000008</v>
      </c>
      <c r="O792" s="57">
        <f t="shared" si="161"/>
        <v>1290.2362806000003</v>
      </c>
      <c r="P792" s="58">
        <f t="shared" si="162"/>
        <v>417.01237252747262</v>
      </c>
      <c r="Q792" s="58">
        <f t="shared" si="163"/>
        <v>278.00824835164843</v>
      </c>
      <c r="R792" s="66">
        <f t="shared" si="164"/>
        <v>22.579134910500009</v>
      </c>
      <c r="S792" s="64">
        <f t="shared" si="165"/>
        <v>127.5</v>
      </c>
      <c r="T792" s="66">
        <f t="shared" si="166"/>
        <v>1440.3154155105003</v>
      </c>
      <c r="U792" s="68">
        <f t="shared" si="167"/>
        <v>42.362218103250008</v>
      </c>
      <c r="V792" s="68">
        <f t="shared" si="168"/>
        <v>465.51888025549459</v>
      </c>
      <c r="W792" s="68">
        <f t="shared" si="169"/>
        <v>310.34592017032975</v>
      </c>
    </row>
    <row r="793" spans="1:23" x14ac:dyDescent="0.25">
      <c r="A793" s="169" t="s">
        <v>890</v>
      </c>
      <c r="B793" s="61" t="s">
        <v>397</v>
      </c>
      <c r="C793" s="61" t="s">
        <v>591</v>
      </c>
      <c r="D793" s="61" t="s">
        <v>594</v>
      </c>
      <c r="E793" s="1" t="s">
        <v>368</v>
      </c>
      <c r="F793" s="62" t="str">
        <f t="shared" si="170"/>
        <v>64528</v>
      </c>
      <c r="G793" s="1">
        <v>10620026</v>
      </c>
      <c r="H793" s="1" t="s">
        <v>387</v>
      </c>
      <c r="I793" s="61">
        <v>16</v>
      </c>
      <c r="J793" s="61">
        <v>6.4</v>
      </c>
      <c r="K793" s="61">
        <v>8.8000000000000007</v>
      </c>
      <c r="L793" s="69">
        <f t="shared" si="159"/>
        <v>1.024</v>
      </c>
      <c r="M793" s="69">
        <f t="shared" si="160"/>
        <v>1.4080000000000001</v>
      </c>
      <c r="N793" s="56">
        <f>INDEX(Rate_Chart!$A$1:$AK$127,MATCH(Data!J793,Rate_Chart!$A$1:$A$127,0),MATCH(Data!K793,Rate_Chart!$A$1:$AK$1,0))</f>
        <v>52.9056</v>
      </c>
      <c r="O793" s="57">
        <f t="shared" si="161"/>
        <v>846.4896</v>
      </c>
      <c r="P793" s="58">
        <f t="shared" si="162"/>
        <v>431.29565217391303</v>
      </c>
      <c r="Q793" s="58">
        <f t="shared" si="163"/>
        <v>287.53043478260867</v>
      </c>
      <c r="R793" s="66">
        <f t="shared" si="164"/>
        <v>14.813568000000002</v>
      </c>
      <c r="S793" s="64">
        <f t="shared" si="165"/>
        <v>60</v>
      </c>
      <c r="T793" s="66">
        <f t="shared" si="166"/>
        <v>921.30316800000003</v>
      </c>
      <c r="U793" s="68">
        <f t="shared" si="167"/>
        <v>57.581448000000002</v>
      </c>
      <c r="V793" s="68">
        <f t="shared" si="168"/>
        <v>469.41397826086956</v>
      </c>
      <c r="W793" s="68">
        <f t="shared" si="169"/>
        <v>312.94265217391302</v>
      </c>
    </row>
    <row r="794" spans="1:23" x14ac:dyDescent="0.25">
      <c r="A794" s="169" t="s">
        <v>890</v>
      </c>
      <c r="B794" s="61" t="s">
        <v>397</v>
      </c>
      <c r="C794" s="61" t="s">
        <v>591</v>
      </c>
      <c r="D794" s="61" t="s">
        <v>594</v>
      </c>
      <c r="E794" s="1" t="s">
        <v>368</v>
      </c>
      <c r="F794" s="62" t="str">
        <f t="shared" si="170"/>
        <v>64528</v>
      </c>
      <c r="G794" s="1">
        <v>10620026</v>
      </c>
      <c r="H794" s="1" t="s">
        <v>388</v>
      </c>
      <c r="I794" s="61">
        <v>32</v>
      </c>
      <c r="J794" s="61">
        <v>3.3</v>
      </c>
      <c r="K794" s="61">
        <v>8.1</v>
      </c>
      <c r="L794" s="69">
        <f t="shared" si="159"/>
        <v>1.056</v>
      </c>
      <c r="M794" s="69">
        <f t="shared" si="160"/>
        <v>2.5920000000000001</v>
      </c>
      <c r="N794" s="56">
        <f>INDEX(Rate_Chart!$A$1:$AK$127,MATCH(Data!J794,Rate_Chart!$A$1:$A$127,0),MATCH(Data!K794,Rate_Chart!$A$1:$AK$1,0))</f>
        <v>36.280125900000002</v>
      </c>
      <c r="O794" s="57">
        <f t="shared" si="161"/>
        <v>1160.9640288000001</v>
      </c>
      <c r="P794" s="58">
        <f t="shared" si="162"/>
        <v>417.0129413793104</v>
      </c>
      <c r="Q794" s="58">
        <f t="shared" si="163"/>
        <v>278.00862758620696</v>
      </c>
      <c r="R794" s="66">
        <f t="shared" si="164"/>
        <v>20.316870504000004</v>
      </c>
      <c r="S794" s="64">
        <f t="shared" si="165"/>
        <v>120</v>
      </c>
      <c r="T794" s="66">
        <f t="shared" si="166"/>
        <v>1301.2808993040001</v>
      </c>
      <c r="U794" s="68">
        <f t="shared" si="167"/>
        <v>40.665028103250002</v>
      </c>
      <c r="V794" s="68">
        <f t="shared" si="168"/>
        <v>467.4141161293104</v>
      </c>
      <c r="W794" s="68">
        <f t="shared" si="169"/>
        <v>311.6094107528736</v>
      </c>
    </row>
    <row r="795" spans="1:23" x14ac:dyDescent="0.25">
      <c r="A795" s="169" t="s">
        <v>891</v>
      </c>
      <c r="B795" s="61" t="s">
        <v>396</v>
      </c>
      <c r="C795" s="61" t="s">
        <v>591</v>
      </c>
      <c r="D795" s="61" t="s">
        <v>594</v>
      </c>
      <c r="E795" s="1" t="s">
        <v>368</v>
      </c>
      <c r="F795" s="62" t="str">
        <f t="shared" si="170"/>
        <v>64528</v>
      </c>
      <c r="G795" s="1">
        <v>10620026</v>
      </c>
      <c r="H795" s="1" t="s">
        <v>387</v>
      </c>
      <c r="I795" s="61">
        <v>29</v>
      </c>
      <c r="J795" s="61">
        <v>7.2</v>
      </c>
      <c r="K795" s="61">
        <v>8.8000000000000007</v>
      </c>
      <c r="L795" s="69">
        <f t="shared" si="159"/>
        <v>2.0880000000000001</v>
      </c>
      <c r="M795" s="69">
        <f t="shared" si="160"/>
        <v>2.552</v>
      </c>
      <c r="N795" s="56">
        <f>INDEX(Rate_Chart!$A$1:$AK$127,MATCH(Data!J795,Rate_Chart!$A$1:$A$127,0),MATCH(Data!K795,Rate_Chart!$A$1:$AK$1,0))</f>
        <v>59.518800000000006</v>
      </c>
      <c r="O795" s="57">
        <f t="shared" si="161"/>
        <v>1726.0452000000002</v>
      </c>
      <c r="P795" s="58">
        <f t="shared" si="162"/>
        <v>455.50102040816324</v>
      </c>
      <c r="Q795" s="58">
        <f t="shared" si="163"/>
        <v>303.66734693877549</v>
      </c>
      <c r="R795" s="66">
        <f t="shared" si="164"/>
        <v>30.205791000000008</v>
      </c>
      <c r="S795" s="64">
        <f t="shared" si="165"/>
        <v>108.75</v>
      </c>
      <c r="T795" s="66">
        <f t="shared" si="166"/>
        <v>1865.0009910000003</v>
      </c>
      <c r="U795" s="68">
        <f t="shared" si="167"/>
        <v>64.310379000000012</v>
      </c>
      <c r="V795" s="68">
        <f t="shared" si="168"/>
        <v>492.17126785714288</v>
      </c>
      <c r="W795" s="68">
        <f t="shared" si="169"/>
        <v>328.11417857142857</v>
      </c>
    </row>
    <row r="796" spans="1:23" x14ac:dyDescent="0.25">
      <c r="A796" s="169" t="s">
        <v>891</v>
      </c>
      <c r="B796" s="61" t="s">
        <v>396</v>
      </c>
      <c r="C796" s="61" t="s">
        <v>591</v>
      </c>
      <c r="D796" s="61" t="s">
        <v>594</v>
      </c>
      <c r="E796" s="1" t="s">
        <v>368</v>
      </c>
      <c r="F796" s="62" t="str">
        <f t="shared" si="170"/>
        <v>64528</v>
      </c>
      <c r="G796" s="1">
        <v>10620026</v>
      </c>
      <c r="H796" s="1" t="s">
        <v>388</v>
      </c>
      <c r="I796" s="61">
        <v>29</v>
      </c>
      <c r="J796" s="61">
        <v>3.7</v>
      </c>
      <c r="K796" s="61">
        <v>8.1</v>
      </c>
      <c r="L796" s="69">
        <f t="shared" si="159"/>
        <v>1.0730000000000002</v>
      </c>
      <c r="M796" s="69">
        <f t="shared" si="160"/>
        <v>2.3489999999999998</v>
      </c>
      <c r="N796" s="56">
        <f>INDEX(Rate_Chart!$A$1:$AK$127,MATCH(Data!J796,Rate_Chart!$A$1:$A$127,0),MATCH(Data!K796,Rate_Chart!$A$1:$AK$1,0))</f>
        <v>37.948125900000008</v>
      </c>
      <c r="O796" s="57">
        <f t="shared" si="161"/>
        <v>1100.4956511000003</v>
      </c>
      <c r="P796" s="58">
        <f t="shared" si="162"/>
        <v>417.01237252747262</v>
      </c>
      <c r="Q796" s="58">
        <f t="shared" si="163"/>
        <v>278.00824835164843</v>
      </c>
      <c r="R796" s="66">
        <f t="shared" si="164"/>
        <v>19.258673894250006</v>
      </c>
      <c r="S796" s="64">
        <f t="shared" si="165"/>
        <v>108.75</v>
      </c>
      <c r="T796" s="66">
        <f t="shared" si="166"/>
        <v>1228.5043249942503</v>
      </c>
      <c r="U796" s="68">
        <f t="shared" si="167"/>
        <v>42.362218103250008</v>
      </c>
      <c r="V796" s="68">
        <f t="shared" si="168"/>
        <v>465.51888025549459</v>
      </c>
      <c r="W796" s="68">
        <f t="shared" si="169"/>
        <v>310.34592017032975</v>
      </c>
    </row>
    <row r="797" spans="1:23" x14ac:dyDescent="0.25">
      <c r="A797" s="169" t="s">
        <v>891</v>
      </c>
      <c r="B797" s="61" t="s">
        <v>397</v>
      </c>
      <c r="C797" s="61" t="s">
        <v>591</v>
      </c>
      <c r="D797" s="61" t="s">
        <v>594</v>
      </c>
      <c r="E797" s="1" t="s">
        <v>368</v>
      </c>
      <c r="F797" s="62" t="str">
        <f t="shared" si="170"/>
        <v>64528</v>
      </c>
      <c r="G797" s="1">
        <v>10620026</v>
      </c>
      <c r="H797" s="1" t="s">
        <v>387</v>
      </c>
      <c r="I797" s="61">
        <v>23</v>
      </c>
      <c r="J797" s="61">
        <v>6.3</v>
      </c>
      <c r="K797" s="61">
        <v>8.8000000000000007</v>
      </c>
      <c r="L797" s="69">
        <f t="shared" si="159"/>
        <v>1.4490000000000001</v>
      </c>
      <c r="M797" s="69">
        <f t="shared" si="160"/>
        <v>2.024</v>
      </c>
      <c r="N797" s="56">
        <f>INDEX(Rate_Chart!$A$1:$AK$127,MATCH(Data!J797,Rate_Chart!$A$1:$A$127,0),MATCH(Data!K797,Rate_Chart!$A$1:$AK$1,0))</f>
        <v>52.078949999999999</v>
      </c>
      <c r="O797" s="57">
        <f t="shared" si="161"/>
        <v>1197.81585</v>
      </c>
      <c r="P797" s="58">
        <f t="shared" si="162"/>
        <v>428.04616438356163</v>
      </c>
      <c r="Q797" s="58">
        <f t="shared" si="163"/>
        <v>285.36410958904111</v>
      </c>
      <c r="R797" s="66">
        <f t="shared" si="164"/>
        <v>20.961777375</v>
      </c>
      <c r="S797" s="64">
        <f t="shared" si="165"/>
        <v>86.25</v>
      </c>
      <c r="T797" s="66">
        <f t="shared" si="166"/>
        <v>1305.0276273750001</v>
      </c>
      <c r="U797" s="68">
        <f t="shared" si="167"/>
        <v>56.740331625000003</v>
      </c>
      <c r="V797" s="68">
        <f t="shared" si="168"/>
        <v>466.35889006849317</v>
      </c>
      <c r="W797" s="68">
        <f t="shared" si="169"/>
        <v>310.90592671232878</v>
      </c>
    </row>
    <row r="798" spans="1:23" x14ac:dyDescent="0.25">
      <c r="A798" s="169" t="s">
        <v>891</v>
      </c>
      <c r="B798" s="61" t="s">
        <v>397</v>
      </c>
      <c r="C798" s="61" t="s">
        <v>591</v>
      </c>
      <c r="D798" s="61" t="s">
        <v>594</v>
      </c>
      <c r="E798" s="1" t="s">
        <v>368</v>
      </c>
      <c r="F798" s="62" t="str">
        <f t="shared" si="170"/>
        <v>64528</v>
      </c>
      <c r="G798" s="1">
        <v>10620026</v>
      </c>
      <c r="H798" s="1" t="s">
        <v>388</v>
      </c>
      <c r="I798" s="61">
        <v>24</v>
      </c>
      <c r="J798" s="61">
        <v>3.3</v>
      </c>
      <c r="K798" s="61">
        <v>8.1</v>
      </c>
      <c r="L798" s="69">
        <f t="shared" si="159"/>
        <v>0.79199999999999993</v>
      </c>
      <c r="M798" s="69">
        <f t="shared" si="160"/>
        <v>1.9439999999999997</v>
      </c>
      <c r="N798" s="56">
        <f>INDEX(Rate_Chart!$A$1:$AK$127,MATCH(Data!J798,Rate_Chart!$A$1:$A$127,0),MATCH(Data!K798,Rate_Chart!$A$1:$AK$1,0))</f>
        <v>36.280125900000002</v>
      </c>
      <c r="O798" s="57">
        <f t="shared" si="161"/>
        <v>870.72302160000004</v>
      </c>
      <c r="P798" s="58">
        <f t="shared" si="162"/>
        <v>417.0129413793104</v>
      </c>
      <c r="Q798" s="58">
        <f t="shared" si="163"/>
        <v>278.00862758620696</v>
      </c>
      <c r="R798" s="66">
        <f t="shared" si="164"/>
        <v>15.237652878000002</v>
      </c>
      <c r="S798" s="64">
        <f t="shared" si="165"/>
        <v>90</v>
      </c>
      <c r="T798" s="66">
        <f t="shared" si="166"/>
        <v>975.9606744780001</v>
      </c>
      <c r="U798" s="68">
        <f t="shared" si="167"/>
        <v>40.665028103250002</v>
      </c>
      <c r="V798" s="68">
        <f t="shared" si="168"/>
        <v>467.4141161293104</v>
      </c>
      <c r="W798" s="68">
        <f t="shared" si="169"/>
        <v>311.6094107528736</v>
      </c>
    </row>
    <row r="799" spans="1:23" x14ac:dyDescent="0.25">
      <c r="A799" s="169" t="s">
        <v>892</v>
      </c>
      <c r="B799" s="61" t="s">
        <v>396</v>
      </c>
      <c r="C799" s="61" t="s">
        <v>591</v>
      </c>
      <c r="D799" s="61" t="s">
        <v>594</v>
      </c>
      <c r="E799" s="1" t="s">
        <v>368</v>
      </c>
      <c r="F799" s="62" t="str">
        <f t="shared" si="170"/>
        <v>64528</v>
      </c>
      <c r="G799" s="1">
        <v>10620026</v>
      </c>
      <c r="H799" s="1" t="s">
        <v>387</v>
      </c>
      <c r="I799" s="61">
        <v>17</v>
      </c>
      <c r="J799" s="61">
        <v>7.3</v>
      </c>
      <c r="K799" s="61">
        <v>8.8000000000000007</v>
      </c>
      <c r="L799" s="69">
        <f t="shared" si="159"/>
        <v>1.2409999999999999</v>
      </c>
      <c r="M799" s="69">
        <f t="shared" si="160"/>
        <v>1.4960000000000002</v>
      </c>
      <c r="N799" s="56">
        <f>INDEX(Rate_Chart!$A$1:$AK$127,MATCH(Data!J799,Rate_Chart!$A$1:$A$127,0),MATCH(Data!K799,Rate_Chart!$A$1:$AK$1,0))</f>
        <v>60.34545</v>
      </c>
      <c r="O799" s="57">
        <f t="shared" si="161"/>
        <v>1025.87265</v>
      </c>
      <c r="P799" s="58">
        <f t="shared" si="162"/>
        <v>458.31987341772157</v>
      </c>
      <c r="Q799" s="58">
        <f t="shared" si="163"/>
        <v>305.54658227848103</v>
      </c>
      <c r="R799" s="66">
        <f t="shared" si="164"/>
        <v>17.952771375000001</v>
      </c>
      <c r="S799" s="64">
        <f t="shared" si="165"/>
        <v>63.75</v>
      </c>
      <c r="T799" s="66">
        <f t="shared" si="166"/>
        <v>1107.5754213750001</v>
      </c>
      <c r="U799" s="68">
        <f t="shared" si="167"/>
        <v>65.15149537500001</v>
      </c>
      <c r="V799" s="68">
        <f t="shared" si="168"/>
        <v>494.8214838607596</v>
      </c>
      <c r="W799" s="68">
        <f t="shared" si="169"/>
        <v>329.88098924050638</v>
      </c>
    </row>
    <row r="800" spans="1:23" x14ac:dyDescent="0.25">
      <c r="A800" s="169" t="s">
        <v>892</v>
      </c>
      <c r="B800" s="61" t="s">
        <v>396</v>
      </c>
      <c r="C800" s="61" t="s">
        <v>591</v>
      </c>
      <c r="D800" s="61" t="s">
        <v>594</v>
      </c>
      <c r="E800" s="1" t="s">
        <v>368</v>
      </c>
      <c r="F800" s="62" t="str">
        <f t="shared" si="170"/>
        <v>64528</v>
      </c>
      <c r="G800" s="1">
        <v>10620026</v>
      </c>
      <c r="H800" s="1" t="s">
        <v>388</v>
      </c>
      <c r="I800" s="61">
        <v>32</v>
      </c>
      <c r="J800" s="61">
        <v>4.3</v>
      </c>
      <c r="K800" s="61">
        <v>8.1999999999999993</v>
      </c>
      <c r="L800" s="69">
        <f t="shared" si="159"/>
        <v>1.3759999999999999</v>
      </c>
      <c r="M800" s="69">
        <f t="shared" si="160"/>
        <v>2.6239999999999997</v>
      </c>
      <c r="N800" s="56">
        <f>INDEX(Rate_Chart!$A$1:$AK$127,MATCH(Data!J800,Rate_Chart!$A$1:$A$127,0),MATCH(Data!K800,Rate_Chart!$A$1:$AK$1,0))</f>
        <v>40.728139799999994</v>
      </c>
      <c r="O800" s="57">
        <f t="shared" si="161"/>
        <v>1303.3004735999998</v>
      </c>
      <c r="P800" s="58">
        <f t="shared" si="162"/>
        <v>417.01167030716726</v>
      </c>
      <c r="Q800" s="58">
        <f t="shared" si="163"/>
        <v>278.00778020477816</v>
      </c>
      <c r="R800" s="66">
        <f t="shared" si="164"/>
        <v>22.807758287999999</v>
      </c>
      <c r="S800" s="64">
        <f t="shared" si="165"/>
        <v>120</v>
      </c>
      <c r="T800" s="66">
        <f t="shared" si="166"/>
        <v>1446.1082318879999</v>
      </c>
      <c r="U800" s="68">
        <f t="shared" si="167"/>
        <v>45.190882246499996</v>
      </c>
      <c r="V800" s="68">
        <f t="shared" si="168"/>
        <v>462.70527897440275</v>
      </c>
      <c r="W800" s="68">
        <f t="shared" si="169"/>
        <v>308.47018598293516</v>
      </c>
    </row>
    <row r="801" spans="1:23" x14ac:dyDescent="0.25">
      <c r="A801" s="169" t="s">
        <v>892</v>
      </c>
      <c r="B801" s="61" t="s">
        <v>397</v>
      </c>
      <c r="C801" s="61" t="s">
        <v>591</v>
      </c>
      <c r="D801" s="61" t="s">
        <v>594</v>
      </c>
      <c r="E801" s="1" t="s">
        <v>368</v>
      </c>
      <c r="F801" s="62" t="str">
        <f t="shared" si="170"/>
        <v>64528</v>
      </c>
      <c r="G801" s="1">
        <v>10620026</v>
      </c>
      <c r="H801" s="1" t="s">
        <v>387</v>
      </c>
      <c r="I801" s="61">
        <v>11</v>
      </c>
      <c r="J801" s="61">
        <v>6.6</v>
      </c>
      <c r="K801" s="61">
        <v>8.8000000000000007</v>
      </c>
      <c r="L801" s="69">
        <f t="shared" si="159"/>
        <v>0.72599999999999998</v>
      </c>
      <c r="M801" s="69">
        <f t="shared" si="160"/>
        <v>0.96800000000000008</v>
      </c>
      <c r="N801" s="56">
        <f>INDEX(Rate_Chart!$A$1:$AK$127,MATCH(Data!J801,Rate_Chart!$A$1:$A$127,0),MATCH(Data!K801,Rate_Chart!$A$1:$AK$1,0))</f>
        <v>54.558900000000001</v>
      </c>
      <c r="O801" s="57">
        <f t="shared" si="161"/>
        <v>600.14790000000005</v>
      </c>
      <c r="P801" s="58">
        <f t="shared" si="162"/>
        <v>437.63823529411764</v>
      </c>
      <c r="Q801" s="58">
        <f t="shared" si="163"/>
        <v>291.75882352941176</v>
      </c>
      <c r="R801" s="66">
        <f t="shared" si="164"/>
        <v>10.502588250000002</v>
      </c>
      <c r="S801" s="64">
        <f t="shared" si="165"/>
        <v>41.25</v>
      </c>
      <c r="T801" s="66">
        <f t="shared" si="166"/>
        <v>651.90048825000008</v>
      </c>
      <c r="U801" s="68">
        <f t="shared" si="167"/>
        <v>59.263680750000006</v>
      </c>
      <c r="V801" s="68">
        <f t="shared" si="168"/>
        <v>475.37711831550803</v>
      </c>
      <c r="W801" s="68">
        <f t="shared" si="169"/>
        <v>316.91807887700537</v>
      </c>
    </row>
    <row r="802" spans="1:23" x14ac:dyDescent="0.25">
      <c r="A802" s="169" t="s">
        <v>892</v>
      </c>
      <c r="B802" s="61" t="s">
        <v>397</v>
      </c>
      <c r="C802" s="61" t="s">
        <v>591</v>
      </c>
      <c r="D802" s="61" t="s">
        <v>594</v>
      </c>
      <c r="E802" s="1" t="s">
        <v>368</v>
      </c>
      <c r="F802" s="62" t="str">
        <f t="shared" si="170"/>
        <v>64528</v>
      </c>
      <c r="G802" s="1">
        <v>10620026</v>
      </c>
      <c r="H802" s="1" t="s">
        <v>388</v>
      </c>
      <c r="I802" s="61">
        <v>33</v>
      </c>
      <c r="J802" s="61">
        <v>3.6</v>
      </c>
      <c r="K802" s="61">
        <v>8.1</v>
      </c>
      <c r="L802" s="69">
        <f t="shared" si="159"/>
        <v>1.1879999999999999</v>
      </c>
      <c r="M802" s="69">
        <f t="shared" si="160"/>
        <v>2.673</v>
      </c>
      <c r="N802" s="56">
        <f>INDEX(Rate_Chart!$A$1:$AK$127,MATCH(Data!J802,Rate_Chart!$A$1:$A$127,0),MATCH(Data!K802,Rate_Chart!$A$1:$AK$1,0))</f>
        <v>37.531125900000006</v>
      </c>
      <c r="O802" s="57">
        <f t="shared" si="161"/>
        <v>1238.5271547000002</v>
      </c>
      <c r="P802" s="58">
        <f t="shared" si="162"/>
        <v>417.01251000000008</v>
      </c>
      <c r="Q802" s="58">
        <f t="shared" si="163"/>
        <v>278.00834000000003</v>
      </c>
      <c r="R802" s="66">
        <f t="shared" si="164"/>
        <v>21.674225207250007</v>
      </c>
      <c r="S802" s="64">
        <f t="shared" si="165"/>
        <v>123.75</v>
      </c>
      <c r="T802" s="66">
        <f t="shared" si="166"/>
        <v>1383.9513799072502</v>
      </c>
      <c r="U802" s="68">
        <f t="shared" si="167"/>
        <v>41.937920603250006</v>
      </c>
      <c r="V802" s="68">
        <f t="shared" si="168"/>
        <v>465.97689559166673</v>
      </c>
      <c r="W802" s="68">
        <f t="shared" si="169"/>
        <v>310.6512637277778</v>
      </c>
    </row>
    <row r="803" spans="1:23" x14ac:dyDescent="0.25">
      <c r="A803" s="169" t="s">
        <v>893</v>
      </c>
      <c r="B803" s="61" t="s">
        <v>396</v>
      </c>
      <c r="C803" s="61" t="s">
        <v>591</v>
      </c>
      <c r="D803" s="61" t="s">
        <v>594</v>
      </c>
      <c r="E803" s="1" t="s">
        <v>368</v>
      </c>
      <c r="F803" s="62" t="str">
        <f t="shared" si="170"/>
        <v>64528</v>
      </c>
      <c r="G803" s="1">
        <v>10620026</v>
      </c>
      <c r="H803" s="1" t="s">
        <v>387</v>
      </c>
      <c r="I803" s="61">
        <v>24</v>
      </c>
      <c r="J803" s="61">
        <v>7.2</v>
      </c>
      <c r="K803" s="61">
        <v>8.8000000000000007</v>
      </c>
      <c r="L803" s="69">
        <f t="shared" si="159"/>
        <v>1.7280000000000002</v>
      </c>
      <c r="M803" s="69">
        <f t="shared" si="160"/>
        <v>2.1120000000000001</v>
      </c>
      <c r="N803" s="56">
        <f>INDEX(Rate_Chart!$A$1:$AK$127,MATCH(Data!J803,Rate_Chart!$A$1:$A$127,0),MATCH(Data!K803,Rate_Chart!$A$1:$AK$1,0))</f>
        <v>59.518800000000006</v>
      </c>
      <c r="O803" s="57">
        <f t="shared" si="161"/>
        <v>1428.4512000000002</v>
      </c>
      <c r="P803" s="58">
        <f t="shared" si="162"/>
        <v>455.50102040816324</v>
      </c>
      <c r="Q803" s="58">
        <f t="shared" si="163"/>
        <v>303.66734693877549</v>
      </c>
      <c r="R803" s="66">
        <f t="shared" si="164"/>
        <v>24.997896000000004</v>
      </c>
      <c r="S803" s="64">
        <f t="shared" si="165"/>
        <v>90</v>
      </c>
      <c r="T803" s="66">
        <f t="shared" si="166"/>
        <v>1543.4490960000003</v>
      </c>
      <c r="U803" s="68">
        <f t="shared" si="167"/>
        <v>64.310379000000012</v>
      </c>
      <c r="V803" s="68">
        <f t="shared" si="168"/>
        <v>492.17126785714288</v>
      </c>
      <c r="W803" s="68">
        <f t="shared" si="169"/>
        <v>328.11417857142857</v>
      </c>
    </row>
    <row r="804" spans="1:23" x14ac:dyDescent="0.25">
      <c r="A804" s="169" t="s">
        <v>893</v>
      </c>
      <c r="B804" s="61" t="s">
        <v>396</v>
      </c>
      <c r="C804" s="61" t="s">
        <v>591</v>
      </c>
      <c r="D804" s="61" t="s">
        <v>594</v>
      </c>
      <c r="E804" s="1" t="s">
        <v>368</v>
      </c>
      <c r="F804" s="62" t="str">
        <f t="shared" si="170"/>
        <v>64528</v>
      </c>
      <c r="G804" s="1">
        <v>10620026</v>
      </c>
      <c r="H804" s="1" t="s">
        <v>388</v>
      </c>
      <c r="I804" s="61">
        <v>33</v>
      </c>
      <c r="J804" s="61">
        <v>3.9</v>
      </c>
      <c r="K804" s="61">
        <v>8.1</v>
      </c>
      <c r="L804" s="69">
        <f t="shared" si="159"/>
        <v>1.2869999999999999</v>
      </c>
      <c r="M804" s="69">
        <f t="shared" si="160"/>
        <v>2.673</v>
      </c>
      <c r="N804" s="56">
        <f>INDEX(Rate_Chart!$A$1:$AK$127,MATCH(Data!J804,Rate_Chart!$A$1:$A$127,0),MATCH(Data!K804,Rate_Chart!$A$1:$AK$1,0))</f>
        <v>38.782125900000004</v>
      </c>
      <c r="O804" s="57">
        <f t="shared" si="161"/>
        <v>1279.8101547000001</v>
      </c>
      <c r="P804" s="58">
        <f t="shared" si="162"/>
        <v>417.01210645161296</v>
      </c>
      <c r="Q804" s="58">
        <f t="shared" si="163"/>
        <v>278.00807096774196</v>
      </c>
      <c r="R804" s="66">
        <f t="shared" si="164"/>
        <v>22.396677707250003</v>
      </c>
      <c r="S804" s="64">
        <f t="shared" si="165"/>
        <v>123.75</v>
      </c>
      <c r="T804" s="66">
        <f t="shared" si="166"/>
        <v>1425.9568324072502</v>
      </c>
      <c r="U804" s="68">
        <f t="shared" si="167"/>
        <v>43.210813103250004</v>
      </c>
      <c r="V804" s="68">
        <f t="shared" si="168"/>
        <v>464.63239895967746</v>
      </c>
      <c r="W804" s="68">
        <f t="shared" si="169"/>
        <v>309.75493263978495</v>
      </c>
    </row>
    <row r="805" spans="1:23" x14ac:dyDescent="0.25">
      <c r="A805" s="169" t="s">
        <v>893</v>
      </c>
      <c r="B805" s="61" t="s">
        <v>397</v>
      </c>
      <c r="C805" s="61" t="s">
        <v>591</v>
      </c>
      <c r="D805" s="61" t="s">
        <v>594</v>
      </c>
      <c r="E805" s="1" t="s">
        <v>368</v>
      </c>
      <c r="F805" s="62" t="str">
        <f t="shared" si="170"/>
        <v>64528</v>
      </c>
      <c r="G805" s="1">
        <v>10620026</v>
      </c>
      <c r="H805" s="1" t="s">
        <v>387</v>
      </c>
      <c r="I805" s="61">
        <v>18</v>
      </c>
      <c r="J805" s="61">
        <v>6.9</v>
      </c>
      <c r="K805" s="61">
        <v>8.8000000000000007</v>
      </c>
      <c r="L805" s="69">
        <f t="shared" si="159"/>
        <v>1.242</v>
      </c>
      <c r="M805" s="69">
        <f t="shared" si="160"/>
        <v>1.5840000000000001</v>
      </c>
      <c r="N805" s="56">
        <f>INDEX(Rate_Chart!$A$1:$AK$127,MATCH(Data!J805,Rate_Chart!$A$1:$A$127,0),MATCH(Data!K805,Rate_Chart!$A$1:$AK$1,0))</f>
        <v>57.038850000000004</v>
      </c>
      <c r="O805" s="57">
        <f t="shared" si="161"/>
        <v>1026.6993</v>
      </c>
      <c r="P805" s="58">
        <f t="shared" si="162"/>
        <v>446.77950391644907</v>
      </c>
      <c r="Q805" s="58">
        <f t="shared" si="163"/>
        <v>297.85300261096603</v>
      </c>
      <c r="R805" s="66">
        <f t="shared" si="164"/>
        <v>17.967237750000002</v>
      </c>
      <c r="S805" s="64">
        <f t="shared" si="165"/>
        <v>67.5</v>
      </c>
      <c r="T805" s="66">
        <f t="shared" si="166"/>
        <v>1112.1665377500001</v>
      </c>
      <c r="U805" s="68">
        <f t="shared" si="167"/>
        <v>61.787029875000002</v>
      </c>
      <c r="V805" s="68">
        <f t="shared" si="168"/>
        <v>483.97151338120102</v>
      </c>
      <c r="W805" s="68">
        <f t="shared" si="169"/>
        <v>322.64767558746735</v>
      </c>
    </row>
    <row r="806" spans="1:23" x14ac:dyDescent="0.25">
      <c r="A806" s="169" t="s">
        <v>893</v>
      </c>
      <c r="B806" s="61" t="s">
        <v>397</v>
      </c>
      <c r="C806" s="61" t="s">
        <v>591</v>
      </c>
      <c r="D806" s="61" t="s">
        <v>594</v>
      </c>
      <c r="E806" s="1" t="s">
        <v>368</v>
      </c>
      <c r="F806" s="62" t="str">
        <f t="shared" si="170"/>
        <v>64528</v>
      </c>
      <c r="G806" s="1">
        <v>10620026</v>
      </c>
      <c r="H806" s="1" t="s">
        <v>388</v>
      </c>
      <c r="I806" s="61">
        <v>23</v>
      </c>
      <c r="J806" s="61">
        <v>3.3</v>
      </c>
      <c r="K806" s="61">
        <v>8.1</v>
      </c>
      <c r="L806" s="69">
        <f t="shared" si="159"/>
        <v>0.7589999999999999</v>
      </c>
      <c r="M806" s="69">
        <f t="shared" si="160"/>
        <v>1.8629999999999998</v>
      </c>
      <c r="N806" s="56">
        <f>INDEX(Rate_Chart!$A$1:$AK$127,MATCH(Data!J806,Rate_Chart!$A$1:$A$127,0),MATCH(Data!K806,Rate_Chart!$A$1:$AK$1,0))</f>
        <v>36.280125900000002</v>
      </c>
      <c r="O806" s="57">
        <f t="shared" si="161"/>
        <v>834.44289570000001</v>
      </c>
      <c r="P806" s="58">
        <f t="shared" si="162"/>
        <v>417.0129413793104</v>
      </c>
      <c r="Q806" s="58">
        <f t="shared" si="163"/>
        <v>278.00862758620696</v>
      </c>
      <c r="R806" s="66">
        <f t="shared" si="164"/>
        <v>14.602750674750002</v>
      </c>
      <c r="S806" s="64">
        <f t="shared" si="165"/>
        <v>86.25</v>
      </c>
      <c r="T806" s="66">
        <f t="shared" si="166"/>
        <v>935.29564637475005</v>
      </c>
      <c r="U806" s="68">
        <f t="shared" si="167"/>
        <v>40.665028103250002</v>
      </c>
      <c r="V806" s="68">
        <f t="shared" si="168"/>
        <v>467.4141161293104</v>
      </c>
      <c r="W806" s="68">
        <f t="shared" si="169"/>
        <v>311.6094107528736</v>
      </c>
    </row>
    <row r="807" spans="1:23" x14ac:dyDescent="0.25">
      <c r="A807" s="169" t="s">
        <v>894</v>
      </c>
      <c r="B807" s="61" t="s">
        <v>396</v>
      </c>
      <c r="C807" s="61" t="s">
        <v>591</v>
      </c>
      <c r="D807" s="61" t="s">
        <v>594</v>
      </c>
      <c r="E807" s="1" t="s">
        <v>368</v>
      </c>
      <c r="F807" s="62" t="str">
        <f t="shared" si="170"/>
        <v>64528</v>
      </c>
      <c r="G807" s="1">
        <v>10620026</v>
      </c>
      <c r="H807" s="1" t="s">
        <v>387</v>
      </c>
      <c r="I807" s="61">
        <v>22</v>
      </c>
      <c r="J807" s="61">
        <v>7.4</v>
      </c>
      <c r="K807" s="61">
        <v>8.8000000000000007</v>
      </c>
      <c r="L807" s="69">
        <f t="shared" si="159"/>
        <v>1.6280000000000001</v>
      </c>
      <c r="M807" s="69">
        <f t="shared" si="160"/>
        <v>1.9360000000000002</v>
      </c>
      <c r="N807" s="56">
        <f>INDEX(Rate_Chart!$A$1:$AK$127,MATCH(Data!J807,Rate_Chart!$A$1:$A$127,0),MATCH(Data!K807,Rate_Chart!$A$1:$AK$1,0))</f>
        <v>61.172100000000007</v>
      </c>
      <c r="O807" s="57">
        <f t="shared" si="161"/>
        <v>1345.7862000000002</v>
      </c>
      <c r="P807" s="58">
        <f t="shared" si="162"/>
        <v>461.09623115577887</v>
      </c>
      <c r="Q807" s="58">
        <f t="shared" si="163"/>
        <v>307.39748743718593</v>
      </c>
      <c r="R807" s="66">
        <f t="shared" si="164"/>
        <v>23.551258500000007</v>
      </c>
      <c r="S807" s="64">
        <f t="shared" si="165"/>
        <v>82.5</v>
      </c>
      <c r="T807" s="66">
        <f t="shared" si="166"/>
        <v>1451.8374585000001</v>
      </c>
      <c r="U807" s="68">
        <f t="shared" si="167"/>
        <v>65.992611750000009</v>
      </c>
      <c r="V807" s="68">
        <f t="shared" si="168"/>
        <v>497.43174685929648</v>
      </c>
      <c r="W807" s="68">
        <f t="shared" si="169"/>
        <v>331.6211645728643</v>
      </c>
    </row>
    <row r="808" spans="1:23" x14ac:dyDescent="0.25">
      <c r="A808" s="169" t="s">
        <v>894</v>
      </c>
      <c r="B808" s="61" t="s">
        <v>396</v>
      </c>
      <c r="C808" s="61" t="s">
        <v>591</v>
      </c>
      <c r="D808" s="61" t="s">
        <v>594</v>
      </c>
      <c r="E808" s="1" t="s">
        <v>368</v>
      </c>
      <c r="F808" s="62" t="str">
        <f t="shared" si="170"/>
        <v>64528</v>
      </c>
      <c r="G808" s="1">
        <v>10620026</v>
      </c>
      <c r="H808" s="1" t="s">
        <v>388</v>
      </c>
      <c r="I808" s="61">
        <v>29</v>
      </c>
      <c r="J808" s="61">
        <v>4.3</v>
      </c>
      <c r="K808" s="61">
        <v>8.1</v>
      </c>
      <c r="L808" s="69">
        <f t="shared" si="159"/>
        <v>1.2469999999999999</v>
      </c>
      <c r="M808" s="69">
        <f t="shared" si="160"/>
        <v>2.3489999999999998</v>
      </c>
      <c r="N808" s="56">
        <f>INDEX(Rate_Chart!$A$1:$AK$127,MATCH(Data!J808,Rate_Chart!$A$1:$A$127,0),MATCH(Data!K808,Rate_Chart!$A$1:$AK$1,0))</f>
        <v>40.450125900000003</v>
      </c>
      <c r="O808" s="57">
        <f t="shared" si="161"/>
        <v>1173.0536511</v>
      </c>
      <c r="P808" s="58">
        <f t="shared" si="162"/>
        <v>417.01160721649489</v>
      </c>
      <c r="Q808" s="58">
        <f t="shared" si="163"/>
        <v>278.00773814432995</v>
      </c>
      <c r="R808" s="66">
        <f t="shared" si="164"/>
        <v>20.528438894250002</v>
      </c>
      <c r="S808" s="64">
        <f t="shared" si="165"/>
        <v>108.75</v>
      </c>
      <c r="T808" s="66">
        <f t="shared" si="166"/>
        <v>1302.3320899942501</v>
      </c>
      <c r="U808" s="68">
        <f t="shared" si="167"/>
        <v>44.908003103250003</v>
      </c>
      <c r="V808" s="68">
        <f t="shared" si="168"/>
        <v>462.96910415721652</v>
      </c>
      <c r="W808" s="68">
        <f t="shared" si="169"/>
        <v>308.64606943814437</v>
      </c>
    </row>
    <row r="809" spans="1:23" x14ac:dyDescent="0.25">
      <c r="A809" s="169" t="s">
        <v>894</v>
      </c>
      <c r="B809" s="61" t="s">
        <v>397</v>
      </c>
      <c r="C809" s="61" t="s">
        <v>591</v>
      </c>
      <c r="D809" s="61" t="s">
        <v>594</v>
      </c>
      <c r="E809" s="1" t="s">
        <v>368</v>
      </c>
      <c r="F809" s="62" t="str">
        <f t="shared" si="170"/>
        <v>64528</v>
      </c>
      <c r="G809" s="1">
        <v>10620026</v>
      </c>
      <c r="H809" s="1" t="s">
        <v>387</v>
      </c>
      <c r="I809" s="61">
        <v>13</v>
      </c>
      <c r="J809" s="61">
        <v>6.7</v>
      </c>
      <c r="K809" s="61">
        <v>8.8000000000000007</v>
      </c>
      <c r="L809" s="69">
        <f t="shared" si="159"/>
        <v>0.87100000000000011</v>
      </c>
      <c r="M809" s="69">
        <f t="shared" si="160"/>
        <v>1.1440000000000001</v>
      </c>
      <c r="N809" s="56">
        <f>INDEX(Rate_Chart!$A$1:$AK$127,MATCH(Data!J809,Rate_Chart!$A$1:$A$127,0),MATCH(Data!K809,Rate_Chart!$A$1:$AK$1,0))</f>
        <v>55.385550000000002</v>
      </c>
      <c r="O809" s="57">
        <f t="shared" si="161"/>
        <v>720.01215000000002</v>
      </c>
      <c r="P809" s="58">
        <f t="shared" si="162"/>
        <v>440.73381962864721</v>
      </c>
      <c r="Q809" s="58">
        <f t="shared" si="163"/>
        <v>293.82254641909816</v>
      </c>
      <c r="R809" s="66">
        <f t="shared" si="164"/>
        <v>12.600212625000001</v>
      </c>
      <c r="S809" s="64">
        <f t="shared" si="165"/>
        <v>48.75</v>
      </c>
      <c r="T809" s="66">
        <f t="shared" si="166"/>
        <v>781.36236262500006</v>
      </c>
      <c r="U809" s="68">
        <f t="shared" si="167"/>
        <v>60.104797125000005</v>
      </c>
      <c r="V809" s="68">
        <f t="shared" si="168"/>
        <v>478.28751027851456</v>
      </c>
      <c r="W809" s="68">
        <f t="shared" si="169"/>
        <v>318.85834018567635</v>
      </c>
    </row>
    <row r="810" spans="1:23" x14ac:dyDescent="0.25">
      <c r="A810" s="169" t="s">
        <v>894</v>
      </c>
      <c r="B810" s="61" t="s">
        <v>397</v>
      </c>
      <c r="C810" s="61" t="s">
        <v>591</v>
      </c>
      <c r="D810" s="61" t="s">
        <v>594</v>
      </c>
      <c r="E810" s="1" t="s">
        <v>368</v>
      </c>
      <c r="F810" s="62" t="str">
        <f t="shared" si="170"/>
        <v>64528</v>
      </c>
      <c r="G810" s="1">
        <v>10620026</v>
      </c>
      <c r="H810" s="1" t="s">
        <v>388</v>
      </c>
      <c r="I810" s="61">
        <v>30</v>
      </c>
      <c r="J810" s="61">
        <v>3.3</v>
      </c>
      <c r="K810" s="61">
        <v>8.1</v>
      </c>
      <c r="L810" s="69">
        <f t="shared" si="159"/>
        <v>0.99</v>
      </c>
      <c r="M810" s="69">
        <f t="shared" si="160"/>
        <v>2.4300000000000002</v>
      </c>
      <c r="N810" s="56">
        <f>INDEX(Rate_Chart!$A$1:$AK$127,MATCH(Data!J810,Rate_Chart!$A$1:$A$127,0),MATCH(Data!K810,Rate_Chart!$A$1:$AK$1,0))</f>
        <v>36.280125900000002</v>
      </c>
      <c r="O810" s="57">
        <f t="shared" si="161"/>
        <v>1088.403777</v>
      </c>
      <c r="P810" s="58">
        <f t="shared" si="162"/>
        <v>417.0129413793104</v>
      </c>
      <c r="Q810" s="58">
        <f t="shared" si="163"/>
        <v>278.00862758620696</v>
      </c>
      <c r="R810" s="66">
        <f t="shared" si="164"/>
        <v>19.0470660975</v>
      </c>
      <c r="S810" s="64">
        <f t="shared" si="165"/>
        <v>112.5</v>
      </c>
      <c r="T810" s="66">
        <f t="shared" si="166"/>
        <v>1219.9508430975</v>
      </c>
      <c r="U810" s="68">
        <f t="shared" si="167"/>
        <v>40.665028103250002</v>
      </c>
      <c r="V810" s="68">
        <f t="shared" si="168"/>
        <v>467.4141161293104</v>
      </c>
      <c r="W810" s="68">
        <f t="shared" si="169"/>
        <v>311.6094107528736</v>
      </c>
    </row>
    <row r="811" spans="1:23" x14ac:dyDescent="0.25">
      <c r="A811" s="169" t="s">
        <v>888</v>
      </c>
      <c r="B811" s="61" t="s">
        <v>396</v>
      </c>
      <c r="C811" s="61" t="s">
        <v>591</v>
      </c>
      <c r="D811" s="61" t="s">
        <v>869</v>
      </c>
      <c r="E811" s="1" t="s">
        <v>369</v>
      </c>
      <c r="F811" s="62" t="str">
        <f t="shared" si="170"/>
        <v>64532</v>
      </c>
      <c r="G811" s="1">
        <v>10620063</v>
      </c>
      <c r="H811" s="1" t="s">
        <v>387</v>
      </c>
      <c r="I811" s="61">
        <v>13</v>
      </c>
      <c r="J811" s="61">
        <v>6</v>
      </c>
      <c r="K811" s="61">
        <v>8.8000000000000007</v>
      </c>
      <c r="L811" s="69">
        <f t="shared" si="159"/>
        <v>0.78</v>
      </c>
      <c r="M811" s="69">
        <f t="shared" si="160"/>
        <v>1.1440000000000001</v>
      </c>
      <c r="N811" s="56">
        <f>INDEX(Rate_Chart!$A$1:$AK$127,MATCH(Data!J811,Rate_Chart!$A$1:$A$127,0),MATCH(Data!K811,Rate_Chart!$A$1:$AK$1,0))</f>
        <v>49.599000000000004</v>
      </c>
      <c r="O811" s="57">
        <f t="shared" si="161"/>
        <v>644.78700000000003</v>
      </c>
      <c r="P811" s="58">
        <f t="shared" si="162"/>
        <v>417.96910112359552</v>
      </c>
      <c r="Q811" s="58">
        <f t="shared" si="163"/>
        <v>278.64606741573033</v>
      </c>
      <c r="R811" s="66">
        <f t="shared" si="164"/>
        <v>11.283772500000001</v>
      </c>
      <c r="S811" s="64">
        <f t="shared" si="165"/>
        <v>48.75</v>
      </c>
      <c r="T811" s="66">
        <f t="shared" si="166"/>
        <v>704.82077249999998</v>
      </c>
      <c r="U811" s="68">
        <f t="shared" si="167"/>
        <v>54.2169825</v>
      </c>
      <c r="V811" s="68">
        <f t="shared" si="168"/>
        <v>456.88468398876404</v>
      </c>
      <c r="W811" s="68">
        <f t="shared" si="169"/>
        <v>304.58978932584267</v>
      </c>
    </row>
    <row r="812" spans="1:23" x14ac:dyDescent="0.25">
      <c r="A812" s="169" t="s">
        <v>888</v>
      </c>
      <c r="B812" s="61" t="s">
        <v>396</v>
      </c>
      <c r="C812" s="61" t="s">
        <v>591</v>
      </c>
      <c r="D812" s="61" t="s">
        <v>869</v>
      </c>
      <c r="E812" s="1" t="s">
        <v>369</v>
      </c>
      <c r="F812" s="62" t="str">
        <f t="shared" si="170"/>
        <v>64532</v>
      </c>
      <c r="G812" s="1">
        <v>10620063</v>
      </c>
      <c r="H812" s="1" t="s">
        <v>388</v>
      </c>
      <c r="I812" s="61">
        <v>19</v>
      </c>
      <c r="J812" s="61">
        <v>3</v>
      </c>
      <c r="K812" s="61">
        <v>8</v>
      </c>
      <c r="L812" s="69">
        <f t="shared" si="159"/>
        <v>0.56999999999999995</v>
      </c>
      <c r="M812" s="69">
        <f t="shared" si="160"/>
        <v>1.52</v>
      </c>
      <c r="N812" s="56">
        <f>INDEX(Rate_Chart!$A$1:$AK$127,MATCH(Data!J812,Rate_Chart!$A$1:$A$127,0),MATCH(Data!K812,Rate_Chart!$A$1:$AK$1,0))</f>
        <v>34.751112000000006</v>
      </c>
      <c r="O812" s="57">
        <f t="shared" si="161"/>
        <v>660.27112800000009</v>
      </c>
      <c r="P812" s="58">
        <f t="shared" si="162"/>
        <v>417.01334400000002</v>
      </c>
      <c r="Q812" s="58">
        <f t="shared" si="163"/>
        <v>278.00889599999999</v>
      </c>
      <c r="R812" s="66">
        <f t="shared" si="164"/>
        <v>11.554744740000002</v>
      </c>
      <c r="S812" s="64">
        <f t="shared" si="165"/>
        <v>71.25</v>
      </c>
      <c r="T812" s="66">
        <f t="shared" si="166"/>
        <v>743.07587274000014</v>
      </c>
      <c r="U812" s="68">
        <f t="shared" si="167"/>
        <v>39.109256460000005</v>
      </c>
      <c r="V812" s="68">
        <f t="shared" si="168"/>
        <v>469.31107752000003</v>
      </c>
      <c r="W812" s="68">
        <f t="shared" si="169"/>
        <v>312.87405168000004</v>
      </c>
    </row>
    <row r="813" spans="1:23" x14ac:dyDescent="0.25">
      <c r="A813" s="169" t="s">
        <v>888</v>
      </c>
      <c r="B813" s="61" t="s">
        <v>397</v>
      </c>
      <c r="C813" s="61" t="s">
        <v>591</v>
      </c>
      <c r="D813" s="61" t="s">
        <v>869</v>
      </c>
      <c r="E813" s="1" t="s">
        <v>369</v>
      </c>
      <c r="F813" s="62" t="str">
        <f t="shared" si="170"/>
        <v>64532</v>
      </c>
      <c r="G813" s="1">
        <v>10620063</v>
      </c>
      <c r="H813" s="1" t="s">
        <v>388</v>
      </c>
      <c r="I813" s="61">
        <v>22</v>
      </c>
      <c r="J813" s="61">
        <v>3</v>
      </c>
      <c r="K813" s="61">
        <v>8</v>
      </c>
      <c r="L813" s="69">
        <f t="shared" si="159"/>
        <v>0.66</v>
      </c>
      <c r="M813" s="69">
        <f t="shared" si="160"/>
        <v>1.76</v>
      </c>
      <c r="N813" s="56">
        <f>INDEX(Rate_Chart!$A$1:$AK$127,MATCH(Data!J813,Rate_Chart!$A$1:$A$127,0),MATCH(Data!K813,Rate_Chart!$A$1:$AK$1,0))</f>
        <v>34.751112000000006</v>
      </c>
      <c r="O813" s="57">
        <f t="shared" si="161"/>
        <v>764.52446400000008</v>
      </c>
      <c r="P813" s="58">
        <f t="shared" si="162"/>
        <v>417.01334400000002</v>
      </c>
      <c r="Q813" s="58">
        <f t="shared" si="163"/>
        <v>278.00889599999999</v>
      </c>
      <c r="R813" s="66">
        <f t="shared" si="164"/>
        <v>13.379178120000002</v>
      </c>
      <c r="S813" s="64">
        <f t="shared" si="165"/>
        <v>82.5</v>
      </c>
      <c r="T813" s="66">
        <f t="shared" si="166"/>
        <v>860.40364212000009</v>
      </c>
      <c r="U813" s="68">
        <f t="shared" si="167"/>
        <v>39.109256460000005</v>
      </c>
      <c r="V813" s="68">
        <f t="shared" si="168"/>
        <v>469.31107752000003</v>
      </c>
      <c r="W813" s="68">
        <f t="shared" si="169"/>
        <v>312.87405168000004</v>
      </c>
    </row>
    <row r="814" spans="1:23" x14ac:dyDescent="0.25">
      <c r="A814" s="169" t="s">
        <v>889</v>
      </c>
      <c r="B814" s="61" t="s">
        <v>396</v>
      </c>
      <c r="C814" s="61" t="s">
        <v>591</v>
      </c>
      <c r="D814" s="61" t="s">
        <v>869</v>
      </c>
      <c r="E814" s="1" t="s">
        <v>369</v>
      </c>
      <c r="F814" s="62" t="str">
        <f t="shared" si="170"/>
        <v>64532</v>
      </c>
      <c r="G814" s="1">
        <v>10620063</v>
      </c>
      <c r="H814" s="1" t="s">
        <v>387</v>
      </c>
      <c r="I814" s="61">
        <v>14</v>
      </c>
      <c r="J814" s="61">
        <v>5.6</v>
      </c>
      <c r="K814" s="61">
        <v>8.4</v>
      </c>
      <c r="L814" s="69">
        <f t="shared" si="159"/>
        <v>0.78399999999999992</v>
      </c>
      <c r="M814" s="69">
        <f t="shared" si="160"/>
        <v>1.1760000000000002</v>
      </c>
      <c r="N814" s="56">
        <f>INDEX(Rate_Chart!$A$1:$AK$127,MATCH(Data!J814,Rate_Chart!$A$1:$A$127,0),MATCH(Data!K814,Rate_Chart!$A$1:$AK$1,0))</f>
        <v>45.357199999999999</v>
      </c>
      <c r="O814" s="57">
        <f t="shared" si="161"/>
        <v>635.00080000000003</v>
      </c>
      <c r="P814" s="58">
        <f t="shared" si="162"/>
        <v>404.97500000000002</v>
      </c>
      <c r="Q814" s="58">
        <f t="shared" si="163"/>
        <v>269.98333333333335</v>
      </c>
      <c r="R814" s="66">
        <f t="shared" si="164"/>
        <v>11.112514000000001</v>
      </c>
      <c r="S814" s="64">
        <f t="shared" si="165"/>
        <v>52.5</v>
      </c>
      <c r="T814" s="66">
        <f t="shared" si="166"/>
        <v>698.61331400000006</v>
      </c>
      <c r="U814" s="68">
        <f t="shared" si="167"/>
        <v>49.900951000000006</v>
      </c>
      <c r="V814" s="68">
        <f t="shared" si="168"/>
        <v>445.54420535714297</v>
      </c>
      <c r="W814" s="68">
        <f t="shared" si="169"/>
        <v>297.02947023809531</v>
      </c>
    </row>
    <row r="815" spans="1:23" x14ac:dyDescent="0.25">
      <c r="A815" s="169" t="s">
        <v>889</v>
      </c>
      <c r="B815" s="61" t="s">
        <v>396</v>
      </c>
      <c r="C815" s="61" t="s">
        <v>591</v>
      </c>
      <c r="D815" s="61" t="s">
        <v>869</v>
      </c>
      <c r="E815" s="1" t="s">
        <v>369</v>
      </c>
      <c r="F815" s="62" t="str">
        <f t="shared" si="170"/>
        <v>64532</v>
      </c>
      <c r="G815" s="1">
        <v>10620063</v>
      </c>
      <c r="H815" s="1" t="s">
        <v>388</v>
      </c>
      <c r="I815" s="61">
        <v>21</v>
      </c>
      <c r="J815" s="61">
        <v>3</v>
      </c>
      <c r="K815" s="61">
        <v>8</v>
      </c>
      <c r="L815" s="69">
        <f t="shared" si="159"/>
        <v>0.63</v>
      </c>
      <c r="M815" s="69">
        <f t="shared" si="160"/>
        <v>1.68</v>
      </c>
      <c r="N815" s="56">
        <f>INDEX(Rate_Chart!$A$1:$AK$127,MATCH(Data!J815,Rate_Chart!$A$1:$A$127,0),MATCH(Data!K815,Rate_Chart!$A$1:$AK$1,0))</f>
        <v>34.751112000000006</v>
      </c>
      <c r="O815" s="57">
        <f t="shared" si="161"/>
        <v>729.77335200000016</v>
      </c>
      <c r="P815" s="58">
        <f t="shared" si="162"/>
        <v>417.01334400000002</v>
      </c>
      <c r="Q815" s="58">
        <f t="shared" si="163"/>
        <v>278.00889599999999</v>
      </c>
      <c r="R815" s="66">
        <f t="shared" si="164"/>
        <v>12.771033660000004</v>
      </c>
      <c r="S815" s="64">
        <f t="shared" si="165"/>
        <v>78.75</v>
      </c>
      <c r="T815" s="66">
        <f t="shared" si="166"/>
        <v>821.29438566000022</v>
      </c>
      <c r="U815" s="68">
        <f t="shared" si="167"/>
        <v>39.109256460000012</v>
      </c>
      <c r="V815" s="68">
        <f t="shared" si="168"/>
        <v>469.31107752000008</v>
      </c>
      <c r="W815" s="68">
        <f t="shared" si="169"/>
        <v>312.87405168000004</v>
      </c>
    </row>
    <row r="816" spans="1:23" x14ac:dyDescent="0.25">
      <c r="A816" s="169" t="s">
        <v>889</v>
      </c>
      <c r="B816" s="61" t="s">
        <v>397</v>
      </c>
      <c r="C816" s="61" t="s">
        <v>591</v>
      </c>
      <c r="D816" s="61" t="s">
        <v>869</v>
      </c>
      <c r="E816" s="1" t="s">
        <v>369</v>
      </c>
      <c r="F816" s="62" t="str">
        <f t="shared" si="170"/>
        <v>64532</v>
      </c>
      <c r="G816" s="1">
        <v>10620063</v>
      </c>
      <c r="H816" s="1" t="s">
        <v>388</v>
      </c>
      <c r="I816" s="61">
        <v>25</v>
      </c>
      <c r="J816" s="61">
        <v>3</v>
      </c>
      <c r="K816" s="61">
        <v>8</v>
      </c>
      <c r="L816" s="69">
        <f t="shared" ref="L816:L879" si="171">J816*I816/100</f>
        <v>0.75</v>
      </c>
      <c r="M816" s="69">
        <f t="shared" ref="M816:M879" si="172">K816*I816/100</f>
        <v>2</v>
      </c>
      <c r="N816" s="56">
        <f>INDEX(Rate_Chart!$A$1:$AK$127,MATCH(Data!J816,Rate_Chart!$A$1:$A$127,0),MATCH(Data!K816,Rate_Chart!$A$1:$AK$1,0))</f>
        <v>34.751112000000006</v>
      </c>
      <c r="O816" s="57">
        <f t="shared" ref="O816:O879" si="173">N816*I816</f>
        <v>868.77780000000018</v>
      </c>
      <c r="P816" s="58">
        <f t="shared" ref="P816:P879" si="174">N816/(J816%+K816%*2/3)</f>
        <v>417.01334400000002</v>
      </c>
      <c r="Q816" s="58">
        <f t="shared" ref="Q816:Q879" si="175">P816*2/3</f>
        <v>278.00889599999999</v>
      </c>
      <c r="R816" s="66">
        <f t="shared" ref="R816:R879" si="176">O816*1.75%</f>
        <v>15.203611500000004</v>
      </c>
      <c r="S816" s="64">
        <f t="shared" ref="S816:S879" si="177">I816*3.75</f>
        <v>93.75</v>
      </c>
      <c r="T816" s="66">
        <f t="shared" ref="T816:T879" si="178">R816+S816+O816</f>
        <v>977.73141150000015</v>
      </c>
      <c r="U816" s="68">
        <f t="shared" ref="U816:U879" si="179">T816/I816</f>
        <v>39.109256460000005</v>
      </c>
      <c r="V816" s="68">
        <f t="shared" ref="V816:V879" si="180">U816/(J816%+K816%*2/3)</f>
        <v>469.31107752000003</v>
      </c>
      <c r="W816" s="68">
        <f t="shared" ref="W816:W879" si="181">V816*2/3</f>
        <v>312.87405168000004</v>
      </c>
    </row>
    <row r="817" spans="1:23" x14ac:dyDescent="0.25">
      <c r="A817" s="169" t="s">
        <v>890</v>
      </c>
      <c r="B817" s="61" t="s">
        <v>396</v>
      </c>
      <c r="C817" s="61" t="s">
        <v>591</v>
      </c>
      <c r="D817" s="61" t="s">
        <v>869</v>
      </c>
      <c r="E817" s="1" t="s">
        <v>369</v>
      </c>
      <c r="F817" s="62" t="str">
        <f t="shared" si="170"/>
        <v>64532</v>
      </c>
      <c r="G817" s="1">
        <v>10620063</v>
      </c>
      <c r="H817" s="1" t="s">
        <v>387</v>
      </c>
      <c r="I817" s="61">
        <v>14</v>
      </c>
      <c r="J817" s="61">
        <v>5.6</v>
      </c>
      <c r="K817" s="61">
        <v>8.6</v>
      </c>
      <c r="L817" s="69">
        <f t="shared" si="171"/>
        <v>0.78399999999999992</v>
      </c>
      <c r="M817" s="69">
        <f t="shared" si="172"/>
        <v>1.204</v>
      </c>
      <c r="N817" s="56">
        <f>INDEX(Rate_Chart!$A$1:$AK$127,MATCH(Data!J817,Rate_Chart!$A$1:$A$127,0),MATCH(Data!K817,Rate_Chart!$A$1:$AK$1,0))</f>
        <v>45.824799999999996</v>
      </c>
      <c r="O817" s="57">
        <f t="shared" si="173"/>
        <v>641.54719999999998</v>
      </c>
      <c r="P817" s="58">
        <f t="shared" si="174"/>
        <v>404.33647058823533</v>
      </c>
      <c r="Q817" s="58">
        <f t="shared" si="175"/>
        <v>269.55764705882353</v>
      </c>
      <c r="R817" s="66">
        <f t="shared" si="176"/>
        <v>11.227076</v>
      </c>
      <c r="S817" s="64">
        <f t="shared" si="177"/>
        <v>52.5</v>
      </c>
      <c r="T817" s="66">
        <f t="shared" si="178"/>
        <v>705.27427599999999</v>
      </c>
      <c r="U817" s="68">
        <f t="shared" si="179"/>
        <v>50.376733999999999</v>
      </c>
      <c r="V817" s="68">
        <f t="shared" si="180"/>
        <v>444.50059411764715</v>
      </c>
      <c r="W817" s="68">
        <f t="shared" si="181"/>
        <v>296.33372941176475</v>
      </c>
    </row>
    <row r="818" spans="1:23" x14ac:dyDescent="0.25">
      <c r="A818" s="169" t="s">
        <v>890</v>
      </c>
      <c r="B818" s="61" t="s">
        <v>396</v>
      </c>
      <c r="C818" s="61" t="s">
        <v>591</v>
      </c>
      <c r="D818" s="61" t="s">
        <v>869</v>
      </c>
      <c r="E818" s="1" t="s">
        <v>369</v>
      </c>
      <c r="F818" s="62" t="str">
        <f t="shared" si="170"/>
        <v>64532</v>
      </c>
      <c r="G818" s="1">
        <v>10620063</v>
      </c>
      <c r="H818" s="1" t="s">
        <v>388</v>
      </c>
      <c r="I818" s="61">
        <v>22</v>
      </c>
      <c r="J818" s="61">
        <v>3</v>
      </c>
      <c r="K818" s="61">
        <v>8</v>
      </c>
      <c r="L818" s="69">
        <f t="shared" si="171"/>
        <v>0.66</v>
      </c>
      <c r="M818" s="69">
        <f t="shared" si="172"/>
        <v>1.76</v>
      </c>
      <c r="N818" s="56">
        <f>INDEX(Rate_Chart!$A$1:$AK$127,MATCH(Data!J818,Rate_Chart!$A$1:$A$127,0),MATCH(Data!K818,Rate_Chart!$A$1:$AK$1,0))</f>
        <v>34.751112000000006</v>
      </c>
      <c r="O818" s="57">
        <f t="shared" si="173"/>
        <v>764.52446400000008</v>
      </c>
      <c r="P818" s="58">
        <f t="shared" si="174"/>
        <v>417.01334400000002</v>
      </c>
      <c r="Q818" s="58">
        <f t="shared" si="175"/>
        <v>278.00889599999999</v>
      </c>
      <c r="R818" s="66">
        <f t="shared" si="176"/>
        <v>13.379178120000002</v>
      </c>
      <c r="S818" s="64">
        <f t="shared" si="177"/>
        <v>82.5</v>
      </c>
      <c r="T818" s="66">
        <f t="shared" si="178"/>
        <v>860.40364212000009</v>
      </c>
      <c r="U818" s="68">
        <f t="shared" si="179"/>
        <v>39.109256460000005</v>
      </c>
      <c r="V818" s="68">
        <f t="shared" si="180"/>
        <v>469.31107752000003</v>
      </c>
      <c r="W818" s="68">
        <f t="shared" si="181"/>
        <v>312.87405168000004</v>
      </c>
    </row>
    <row r="819" spans="1:23" x14ac:dyDescent="0.25">
      <c r="A819" s="169" t="s">
        <v>890</v>
      </c>
      <c r="B819" s="61" t="s">
        <v>397</v>
      </c>
      <c r="C819" s="61" t="s">
        <v>591</v>
      </c>
      <c r="D819" s="61" t="s">
        <v>869</v>
      </c>
      <c r="E819" s="1" t="s">
        <v>369</v>
      </c>
      <c r="F819" s="62" t="str">
        <f t="shared" si="170"/>
        <v>64532</v>
      </c>
      <c r="G819" s="1">
        <v>10620063</v>
      </c>
      <c r="H819" s="1" t="s">
        <v>388</v>
      </c>
      <c r="I819" s="61">
        <v>27</v>
      </c>
      <c r="J819" s="61">
        <v>3.1</v>
      </c>
      <c r="K819" s="61">
        <v>8.1</v>
      </c>
      <c r="L819" s="69">
        <f t="shared" si="171"/>
        <v>0.83700000000000008</v>
      </c>
      <c r="M819" s="69">
        <f t="shared" si="172"/>
        <v>2.1869999999999998</v>
      </c>
      <c r="N819" s="56">
        <f>INDEX(Rate_Chart!$A$1:$AK$127,MATCH(Data!J819,Rate_Chart!$A$1:$A$127,0),MATCH(Data!K819,Rate_Chart!$A$1:$AK$1,0))</f>
        <v>35.446125899999998</v>
      </c>
      <c r="O819" s="57">
        <f t="shared" si="173"/>
        <v>957.04539929999999</v>
      </c>
      <c r="P819" s="58">
        <f t="shared" si="174"/>
        <v>417.01324588235298</v>
      </c>
      <c r="Q819" s="58">
        <f t="shared" si="175"/>
        <v>278.0088305882353</v>
      </c>
      <c r="R819" s="66">
        <f t="shared" si="176"/>
        <v>16.748294487750002</v>
      </c>
      <c r="S819" s="64">
        <f t="shared" si="177"/>
        <v>101.25</v>
      </c>
      <c r="T819" s="66">
        <f t="shared" si="178"/>
        <v>1075.04369378775</v>
      </c>
      <c r="U819" s="68">
        <f t="shared" si="179"/>
        <v>39.816433103249999</v>
      </c>
      <c r="V819" s="68">
        <f t="shared" si="180"/>
        <v>468.42862474411766</v>
      </c>
      <c r="W819" s="68">
        <f t="shared" si="181"/>
        <v>312.28574982941177</v>
      </c>
    </row>
    <row r="820" spans="1:23" x14ac:dyDescent="0.25">
      <c r="A820" s="169" t="s">
        <v>891</v>
      </c>
      <c r="B820" s="61" t="s">
        <v>396</v>
      </c>
      <c r="C820" s="61" t="s">
        <v>591</v>
      </c>
      <c r="D820" s="61" t="s">
        <v>869</v>
      </c>
      <c r="E820" s="1" t="s">
        <v>369</v>
      </c>
      <c r="F820" s="62" t="str">
        <f t="shared" si="170"/>
        <v>64532</v>
      </c>
      <c r="G820" s="1">
        <v>10620063</v>
      </c>
      <c r="H820" s="1" t="s">
        <v>387</v>
      </c>
      <c r="I820" s="61">
        <v>13</v>
      </c>
      <c r="J820" s="61">
        <v>5.8</v>
      </c>
      <c r="K820" s="61">
        <v>8.6</v>
      </c>
      <c r="L820" s="69">
        <f t="shared" si="171"/>
        <v>0.75399999999999989</v>
      </c>
      <c r="M820" s="69">
        <f t="shared" si="172"/>
        <v>1.1179999999999999</v>
      </c>
      <c r="N820" s="56">
        <f>INDEX(Rate_Chart!$A$1:$AK$127,MATCH(Data!J820,Rate_Chart!$A$1:$A$127,0),MATCH(Data!K820,Rate_Chart!$A$1:$AK$1,0))</f>
        <v>47.461399999999998</v>
      </c>
      <c r="O820" s="57">
        <f t="shared" si="173"/>
        <v>616.9982</v>
      </c>
      <c r="P820" s="58">
        <f t="shared" si="174"/>
        <v>411.51502890173413</v>
      </c>
      <c r="Q820" s="58">
        <f t="shared" si="175"/>
        <v>274.34335260115608</v>
      </c>
      <c r="R820" s="66">
        <f t="shared" si="176"/>
        <v>10.797468500000001</v>
      </c>
      <c r="S820" s="64">
        <f t="shared" si="177"/>
        <v>48.75</v>
      </c>
      <c r="T820" s="66">
        <f t="shared" si="178"/>
        <v>676.54566850000003</v>
      </c>
      <c r="U820" s="68">
        <f t="shared" si="179"/>
        <v>52.041974500000002</v>
      </c>
      <c r="V820" s="68">
        <f t="shared" si="180"/>
        <v>451.23099277456657</v>
      </c>
      <c r="W820" s="68">
        <f t="shared" si="181"/>
        <v>300.82066184971103</v>
      </c>
    </row>
    <row r="821" spans="1:23" x14ac:dyDescent="0.25">
      <c r="A821" s="169" t="s">
        <v>891</v>
      </c>
      <c r="B821" s="61" t="s">
        <v>396</v>
      </c>
      <c r="C821" s="61" t="s">
        <v>591</v>
      </c>
      <c r="D821" s="61" t="s">
        <v>869</v>
      </c>
      <c r="E821" s="1" t="s">
        <v>369</v>
      </c>
      <c r="F821" s="62" t="str">
        <f t="shared" si="170"/>
        <v>64532</v>
      </c>
      <c r="G821" s="1">
        <v>10620063</v>
      </c>
      <c r="H821" s="1" t="s">
        <v>388</v>
      </c>
      <c r="I821" s="61">
        <v>15</v>
      </c>
      <c r="J821" s="61">
        <v>3.1</v>
      </c>
      <c r="K821" s="61">
        <v>8.1</v>
      </c>
      <c r="L821" s="69">
        <f t="shared" si="171"/>
        <v>0.46500000000000002</v>
      </c>
      <c r="M821" s="69">
        <f t="shared" si="172"/>
        <v>1.2150000000000001</v>
      </c>
      <c r="N821" s="56">
        <f>INDEX(Rate_Chart!$A$1:$AK$127,MATCH(Data!J821,Rate_Chart!$A$1:$A$127,0),MATCH(Data!K821,Rate_Chart!$A$1:$AK$1,0))</f>
        <v>35.446125899999998</v>
      </c>
      <c r="O821" s="57">
        <f t="shared" si="173"/>
        <v>531.6918885</v>
      </c>
      <c r="P821" s="58">
        <f t="shared" si="174"/>
        <v>417.01324588235298</v>
      </c>
      <c r="Q821" s="58">
        <f t="shared" si="175"/>
        <v>278.0088305882353</v>
      </c>
      <c r="R821" s="66">
        <f t="shared" si="176"/>
        <v>9.3046080487500014</v>
      </c>
      <c r="S821" s="64">
        <f t="shared" si="177"/>
        <v>56.25</v>
      </c>
      <c r="T821" s="66">
        <f t="shared" si="178"/>
        <v>597.24649654874997</v>
      </c>
      <c r="U821" s="68">
        <f t="shared" si="179"/>
        <v>39.816433103249999</v>
      </c>
      <c r="V821" s="68">
        <f t="shared" si="180"/>
        <v>468.42862474411766</v>
      </c>
      <c r="W821" s="68">
        <f t="shared" si="181"/>
        <v>312.28574982941177</v>
      </c>
    </row>
    <row r="822" spans="1:23" x14ac:dyDescent="0.25">
      <c r="A822" s="169" t="s">
        <v>891</v>
      </c>
      <c r="B822" s="61" t="s">
        <v>397</v>
      </c>
      <c r="C822" s="61" t="s">
        <v>591</v>
      </c>
      <c r="D822" s="61" t="s">
        <v>869</v>
      </c>
      <c r="E822" s="1" t="s">
        <v>369</v>
      </c>
      <c r="F822" s="62" t="str">
        <f t="shared" si="170"/>
        <v>64532</v>
      </c>
      <c r="G822" s="1">
        <v>10620063</v>
      </c>
      <c r="H822" s="1" t="s">
        <v>388</v>
      </c>
      <c r="I822" s="61">
        <v>18</v>
      </c>
      <c r="J822" s="61">
        <v>3.3</v>
      </c>
      <c r="K822" s="61">
        <v>8.1</v>
      </c>
      <c r="L822" s="69">
        <f t="shared" si="171"/>
        <v>0.59399999999999997</v>
      </c>
      <c r="M822" s="69">
        <f t="shared" si="172"/>
        <v>1.4579999999999997</v>
      </c>
      <c r="N822" s="56">
        <f>INDEX(Rate_Chart!$A$1:$AK$127,MATCH(Data!J822,Rate_Chart!$A$1:$A$127,0),MATCH(Data!K822,Rate_Chart!$A$1:$AK$1,0))</f>
        <v>36.280125900000002</v>
      </c>
      <c r="O822" s="57">
        <f t="shared" si="173"/>
        <v>653.04226620000009</v>
      </c>
      <c r="P822" s="58">
        <f t="shared" si="174"/>
        <v>417.0129413793104</v>
      </c>
      <c r="Q822" s="58">
        <f t="shared" si="175"/>
        <v>278.00862758620696</v>
      </c>
      <c r="R822" s="66">
        <f t="shared" si="176"/>
        <v>11.428239658500003</v>
      </c>
      <c r="S822" s="64">
        <f t="shared" si="177"/>
        <v>67.5</v>
      </c>
      <c r="T822" s="66">
        <f t="shared" si="178"/>
        <v>731.97050585850013</v>
      </c>
      <c r="U822" s="68">
        <f t="shared" si="179"/>
        <v>40.665028103250009</v>
      </c>
      <c r="V822" s="68">
        <f t="shared" si="180"/>
        <v>467.41411612931046</v>
      </c>
      <c r="W822" s="68">
        <f t="shared" si="181"/>
        <v>311.60941075287366</v>
      </c>
    </row>
    <row r="823" spans="1:23" x14ac:dyDescent="0.25">
      <c r="A823" s="169" t="s">
        <v>892</v>
      </c>
      <c r="B823" s="61" t="s">
        <v>396</v>
      </c>
      <c r="C823" s="61" t="s">
        <v>591</v>
      </c>
      <c r="D823" s="61" t="s">
        <v>869</v>
      </c>
      <c r="E823" s="1" t="s">
        <v>369</v>
      </c>
      <c r="F823" s="62" t="str">
        <f t="shared" si="170"/>
        <v>64532</v>
      </c>
      <c r="G823" s="1">
        <v>10620063</v>
      </c>
      <c r="H823" s="1" t="s">
        <v>387</v>
      </c>
      <c r="I823" s="61">
        <v>13</v>
      </c>
      <c r="J823" s="61">
        <v>5.7</v>
      </c>
      <c r="K823" s="61">
        <v>8.8000000000000007</v>
      </c>
      <c r="L823" s="69">
        <f t="shared" si="171"/>
        <v>0.7410000000000001</v>
      </c>
      <c r="M823" s="69">
        <f t="shared" si="172"/>
        <v>1.1440000000000001</v>
      </c>
      <c r="N823" s="56">
        <f>INDEX(Rate_Chart!$A$1:$AK$127,MATCH(Data!J823,Rate_Chart!$A$1:$A$127,0),MATCH(Data!K823,Rate_Chart!$A$1:$AK$1,0))</f>
        <v>47.119050000000001</v>
      </c>
      <c r="O823" s="57">
        <f t="shared" si="173"/>
        <v>612.54764999999998</v>
      </c>
      <c r="P823" s="58">
        <f t="shared" si="174"/>
        <v>407.3693083573487</v>
      </c>
      <c r="Q823" s="58">
        <f t="shared" si="175"/>
        <v>271.57953890489915</v>
      </c>
      <c r="R823" s="66">
        <f t="shared" si="176"/>
        <v>10.719583875000001</v>
      </c>
      <c r="S823" s="64">
        <f t="shared" si="177"/>
        <v>48.75</v>
      </c>
      <c r="T823" s="66">
        <f t="shared" si="178"/>
        <v>672.01723387499999</v>
      </c>
      <c r="U823" s="68">
        <f t="shared" si="179"/>
        <v>51.693633374999997</v>
      </c>
      <c r="V823" s="68">
        <f t="shared" si="180"/>
        <v>446.91902053314118</v>
      </c>
      <c r="W823" s="68">
        <f t="shared" si="181"/>
        <v>297.94601368876079</v>
      </c>
    </row>
    <row r="824" spans="1:23" x14ac:dyDescent="0.25">
      <c r="A824" s="169" t="s">
        <v>892</v>
      </c>
      <c r="B824" s="61" t="s">
        <v>396</v>
      </c>
      <c r="C824" s="61" t="s">
        <v>591</v>
      </c>
      <c r="D824" s="61" t="s">
        <v>869</v>
      </c>
      <c r="E824" s="1" t="s">
        <v>369</v>
      </c>
      <c r="F824" s="62" t="str">
        <f t="shared" si="170"/>
        <v>64532</v>
      </c>
      <c r="G824" s="1">
        <v>10620063</v>
      </c>
      <c r="H824" s="1" t="s">
        <v>388</v>
      </c>
      <c r="I824" s="61">
        <v>25</v>
      </c>
      <c r="J824" s="61">
        <v>3</v>
      </c>
      <c r="K824" s="61">
        <v>8</v>
      </c>
      <c r="L824" s="69">
        <f t="shared" si="171"/>
        <v>0.75</v>
      </c>
      <c r="M824" s="69">
        <f t="shared" si="172"/>
        <v>2</v>
      </c>
      <c r="N824" s="56">
        <f>INDEX(Rate_Chart!$A$1:$AK$127,MATCH(Data!J824,Rate_Chart!$A$1:$A$127,0),MATCH(Data!K824,Rate_Chart!$A$1:$AK$1,0))</f>
        <v>34.751112000000006</v>
      </c>
      <c r="O824" s="57">
        <f t="shared" si="173"/>
        <v>868.77780000000018</v>
      </c>
      <c r="P824" s="58">
        <f t="shared" si="174"/>
        <v>417.01334400000002</v>
      </c>
      <c r="Q824" s="58">
        <f t="shared" si="175"/>
        <v>278.00889599999999</v>
      </c>
      <c r="R824" s="66">
        <f t="shared" si="176"/>
        <v>15.203611500000004</v>
      </c>
      <c r="S824" s="64">
        <f t="shared" si="177"/>
        <v>93.75</v>
      </c>
      <c r="T824" s="66">
        <f t="shared" si="178"/>
        <v>977.73141150000015</v>
      </c>
      <c r="U824" s="68">
        <f t="shared" si="179"/>
        <v>39.109256460000005</v>
      </c>
      <c r="V824" s="68">
        <f t="shared" si="180"/>
        <v>469.31107752000003</v>
      </c>
      <c r="W824" s="68">
        <f t="shared" si="181"/>
        <v>312.87405168000004</v>
      </c>
    </row>
    <row r="825" spans="1:23" x14ac:dyDescent="0.25">
      <c r="A825" s="169" t="s">
        <v>892</v>
      </c>
      <c r="B825" s="61" t="s">
        <v>397</v>
      </c>
      <c r="C825" s="61" t="s">
        <v>591</v>
      </c>
      <c r="D825" s="61" t="s">
        <v>869</v>
      </c>
      <c r="E825" s="1" t="s">
        <v>369</v>
      </c>
      <c r="F825" s="62" t="str">
        <f t="shared" si="170"/>
        <v>64532</v>
      </c>
      <c r="G825" s="1">
        <v>10620063</v>
      </c>
      <c r="H825" s="1" t="s">
        <v>388</v>
      </c>
      <c r="I825" s="61">
        <v>26</v>
      </c>
      <c r="J825" s="61">
        <v>4</v>
      </c>
      <c r="K825" s="61">
        <v>8.1</v>
      </c>
      <c r="L825" s="69">
        <f t="shared" si="171"/>
        <v>1.04</v>
      </c>
      <c r="M825" s="69">
        <f t="shared" si="172"/>
        <v>2.1059999999999999</v>
      </c>
      <c r="N825" s="56">
        <f>INDEX(Rate_Chart!$A$1:$AK$127,MATCH(Data!J825,Rate_Chart!$A$1:$A$127,0),MATCH(Data!K825,Rate_Chart!$A$1:$AK$1,0))</f>
        <v>39.199125899999999</v>
      </c>
      <c r="O825" s="57">
        <f t="shared" si="173"/>
        <v>1019.1772734</v>
      </c>
      <c r="P825" s="58">
        <f t="shared" si="174"/>
        <v>417.01197765957443</v>
      </c>
      <c r="Q825" s="58">
        <f t="shared" si="175"/>
        <v>278.00798510638293</v>
      </c>
      <c r="R825" s="66">
        <f t="shared" si="176"/>
        <v>17.835602284500002</v>
      </c>
      <c r="S825" s="64">
        <f t="shared" si="177"/>
        <v>97.5</v>
      </c>
      <c r="T825" s="66">
        <f t="shared" si="178"/>
        <v>1134.5128756844999</v>
      </c>
      <c r="U825" s="68">
        <f t="shared" si="179"/>
        <v>43.635110603249998</v>
      </c>
      <c r="V825" s="68">
        <f t="shared" si="180"/>
        <v>464.20330428989359</v>
      </c>
      <c r="W825" s="68">
        <f t="shared" si="181"/>
        <v>309.46886952659571</v>
      </c>
    </row>
    <row r="826" spans="1:23" x14ac:dyDescent="0.25">
      <c r="A826" s="169" t="s">
        <v>893</v>
      </c>
      <c r="B826" s="61" t="s">
        <v>396</v>
      </c>
      <c r="C826" s="61" t="s">
        <v>591</v>
      </c>
      <c r="D826" s="61" t="s">
        <v>869</v>
      </c>
      <c r="E826" s="1" t="s">
        <v>369</v>
      </c>
      <c r="F826" s="62" t="str">
        <f t="shared" si="170"/>
        <v>64532</v>
      </c>
      <c r="G826" s="1">
        <v>10620063</v>
      </c>
      <c r="H826" s="1" t="s">
        <v>387</v>
      </c>
      <c r="I826" s="61">
        <v>12</v>
      </c>
      <c r="J826" s="61">
        <v>5.6</v>
      </c>
      <c r="K826" s="61">
        <v>8.4</v>
      </c>
      <c r="L826" s="69">
        <f t="shared" si="171"/>
        <v>0.67199999999999993</v>
      </c>
      <c r="M826" s="69">
        <f t="shared" si="172"/>
        <v>1.008</v>
      </c>
      <c r="N826" s="56">
        <f>INDEX(Rate_Chart!$A$1:$AK$127,MATCH(Data!J826,Rate_Chart!$A$1:$A$127,0),MATCH(Data!K826,Rate_Chart!$A$1:$AK$1,0))</f>
        <v>45.357199999999999</v>
      </c>
      <c r="O826" s="57">
        <f t="shared" si="173"/>
        <v>544.28639999999996</v>
      </c>
      <c r="P826" s="58">
        <f t="shared" si="174"/>
        <v>404.97500000000002</v>
      </c>
      <c r="Q826" s="58">
        <f t="shared" si="175"/>
        <v>269.98333333333335</v>
      </c>
      <c r="R826" s="66">
        <f t="shared" si="176"/>
        <v>9.5250120000000003</v>
      </c>
      <c r="S826" s="64">
        <f t="shared" si="177"/>
        <v>45</v>
      </c>
      <c r="T826" s="66">
        <f t="shared" si="178"/>
        <v>598.81141200000002</v>
      </c>
      <c r="U826" s="68">
        <f t="shared" si="179"/>
        <v>49.900950999999999</v>
      </c>
      <c r="V826" s="68">
        <f t="shared" si="180"/>
        <v>445.54420535714291</v>
      </c>
      <c r="W826" s="68">
        <f t="shared" si="181"/>
        <v>297.02947023809526</v>
      </c>
    </row>
    <row r="827" spans="1:23" x14ac:dyDescent="0.25">
      <c r="A827" s="169" t="s">
        <v>893</v>
      </c>
      <c r="B827" s="61" t="s">
        <v>396</v>
      </c>
      <c r="C827" s="61" t="s">
        <v>591</v>
      </c>
      <c r="D827" s="61" t="s">
        <v>869</v>
      </c>
      <c r="E827" s="1" t="s">
        <v>369</v>
      </c>
      <c r="F827" s="62" t="str">
        <f t="shared" si="170"/>
        <v>64532</v>
      </c>
      <c r="G827" s="1">
        <v>10620063</v>
      </c>
      <c r="H827" s="1" t="s">
        <v>388</v>
      </c>
      <c r="I827" s="61">
        <v>25</v>
      </c>
      <c r="J827" s="61">
        <v>3</v>
      </c>
      <c r="K827" s="61">
        <v>8</v>
      </c>
      <c r="L827" s="69">
        <f t="shared" si="171"/>
        <v>0.75</v>
      </c>
      <c r="M827" s="69">
        <f t="shared" si="172"/>
        <v>2</v>
      </c>
      <c r="N827" s="56">
        <f>INDEX(Rate_Chart!$A$1:$AK$127,MATCH(Data!J827,Rate_Chart!$A$1:$A$127,0),MATCH(Data!K827,Rate_Chart!$A$1:$AK$1,0))</f>
        <v>34.751112000000006</v>
      </c>
      <c r="O827" s="57">
        <f t="shared" si="173"/>
        <v>868.77780000000018</v>
      </c>
      <c r="P827" s="58">
        <f t="shared" si="174"/>
        <v>417.01334400000002</v>
      </c>
      <c r="Q827" s="58">
        <f t="shared" si="175"/>
        <v>278.00889599999999</v>
      </c>
      <c r="R827" s="66">
        <f t="shared" si="176"/>
        <v>15.203611500000004</v>
      </c>
      <c r="S827" s="64">
        <f t="shared" si="177"/>
        <v>93.75</v>
      </c>
      <c r="T827" s="66">
        <f t="shared" si="178"/>
        <v>977.73141150000015</v>
      </c>
      <c r="U827" s="68">
        <f t="shared" si="179"/>
        <v>39.109256460000005</v>
      </c>
      <c r="V827" s="68">
        <f t="shared" si="180"/>
        <v>469.31107752000003</v>
      </c>
      <c r="W827" s="68">
        <f t="shared" si="181"/>
        <v>312.87405168000004</v>
      </c>
    </row>
    <row r="828" spans="1:23" x14ac:dyDescent="0.25">
      <c r="A828" s="169" t="s">
        <v>893</v>
      </c>
      <c r="B828" s="61" t="s">
        <v>397</v>
      </c>
      <c r="C828" s="61" t="s">
        <v>591</v>
      </c>
      <c r="D828" s="61" t="s">
        <v>869</v>
      </c>
      <c r="E828" s="1" t="s">
        <v>369</v>
      </c>
      <c r="F828" s="62" t="str">
        <f t="shared" si="170"/>
        <v>64532</v>
      </c>
      <c r="G828" s="1">
        <v>10620063</v>
      </c>
      <c r="H828" s="1" t="s">
        <v>388</v>
      </c>
      <c r="I828" s="61">
        <v>24</v>
      </c>
      <c r="J828" s="61">
        <v>3.1</v>
      </c>
      <c r="K828" s="61">
        <v>8.1</v>
      </c>
      <c r="L828" s="69">
        <f t="shared" si="171"/>
        <v>0.74400000000000011</v>
      </c>
      <c r="M828" s="69">
        <f t="shared" si="172"/>
        <v>1.9439999999999997</v>
      </c>
      <c r="N828" s="56">
        <f>INDEX(Rate_Chart!$A$1:$AK$127,MATCH(Data!J828,Rate_Chart!$A$1:$A$127,0),MATCH(Data!K828,Rate_Chart!$A$1:$AK$1,0))</f>
        <v>35.446125899999998</v>
      </c>
      <c r="O828" s="57">
        <f t="shared" si="173"/>
        <v>850.70702159999996</v>
      </c>
      <c r="P828" s="58">
        <f t="shared" si="174"/>
        <v>417.01324588235298</v>
      </c>
      <c r="Q828" s="58">
        <f t="shared" si="175"/>
        <v>278.0088305882353</v>
      </c>
      <c r="R828" s="66">
        <f t="shared" si="176"/>
        <v>14.887372878000001</v>
      </c>
      <c r="S828" s="64">
        <f t="shared" si="177"/>
        <v>90</v>
      </c>
      <c r="T828" s="66">
        <f t="shared" si="178"/>
        <v>955.59439447799991</v>
      </c>
      <c r="U828" s="68">
        <f t="shared" si="179"/>
        <v>39.816433103249999</v>
      </c>
      <c r="V828" s="68">
        <f t="shared" si="180"/>
        <v>468.42862474411766</v>
      </c>
      <c r="W828" s="68">
        <f t="shared" si="181"/>
        <v>312.28574982941177</v>
      </c>
    </row>
    <row r="829" spans="1:23" x14ac:dyDescent="0.25">
      <c r="A829" s="169" t="s">
        <v>894</v>
      </c>
      <c r="B829" s="61" t="s">
        <v>396</v>
      </c>
      <c r="C829" s="61" t="s">
        <v>591</v>
      </c>
      <c r="D829" s="61" t="s">
        <v>869</v>
      </c>
      <c r="E829" s="1" t="s">
        <v>369</v>
      </c>
      <c r="F829" s="62" t="str">
        <f t="shared" si="170"/>
        <v>64532</v>
      </c>
      <c r="G829" s="1">
        <v>10620063</v>
      </c>
      <c r="H829" s="1" t="s">
        <v>387</v>
      </c>
      <c r="I829" s="61">
        <v>10</v>
      </c>
      <c r="J829" s="61">
        <v>5.7</v>
      </c>
      <c r="K829" s="61">
        <v>8.6</v>
      </c>
      <c r="L829" s="69">
        <f t="shared" si="171"/>
        <v>0.56999999999999995</v>
      </c>
      <c r="M829" s="69">
        <f t="shared" si="172"/>
        <v>0.86</v>
      </c>
      <c r="N829" s="56">
        <f>INDEX(Rate_Chart!$A$1:$AK$127,MATCH(Data!J829,Rate_Chart!$A$1:$A$127,0),MATCH(Data!K829,Rate_Chart!$A$1:$AK$1,0))</f>
        <v>46.643099999999997</v>
      </c>
      <c r="O829" s="57">
        <f t="shared" si="173"/>
        <v>466.43099999999998</v>
      </c>
      <c r="P829" s="58">
        <f t="shared" si="174"/>
        <v>407.95714285714286</v>
      </c>
      <c r="Q829" s="58">
        <f t="shared" si="175"/>
        <v>271.97142857142859</v>
      </c>
      <c r="R829" s="66">
        <f t="shared" si="176"/>
        <v>8.1625425000000007</v>
      </c>
      <c r="S829" s="64">
        <f t="shared" si="177"/>
        <v>37.5</v>
      </c>
      <c r="T829" s="66">
        <f t="shared" si="178"/>
        <v>512.09354250000001</v>
      </c>
      <c r="U829" s="68">
        <f t="shared" si="179"/>
        <v>51.209354250000004</v>
      </c>
      <c r="V829" s="68">
        <f t="shared" si="180"/>
        <v>447.89522667638488</v>
      </c>
      <c r="W829" s="68">
        <f t="shared" si="181"/>
        <v>298.59681778425659</v>
      </c>
    </row>
    <row r="830" spans="1:23" x14ac:dyDescent="0.25">
      <c r="A830" s="169" t="s">
        <v>894</v>
      </c>
      <c r="B830" s="61" t="s">
        <v>396</v>
      </c>
      <c r="C830" s="61" t="s">
        <v>591</v>
      </c>
      <c r="D830" s="61" t="s">
        <v>869</v>
      </c>
      <c r="E830" s="1" t="s">
        <v>369</v>
      </c>
      <c r="F830" s="62" t="str">
        <f t="shared" si="170"/>
        <v>64532</v>
      </c>
      <c r="G830" s="1">
        <v>10620063</v>
      </c>
      <c r="H830" s="1" t="s">
        <v>388</v>
      </c>
      <c r="I830" s="61">
        <v>22</v>
      </c>
      <c r="J830" s="61">
        <v>3</v>
      </c>
      <c r="K830" s="61">
        <v>8</v>
      </c>
      <c r="L830" s="69">
        <f t="shared" si="171"/>
        <v>0.66</v>
      </c>
      <c r="M830" s="69">
        <f t="shared" si="172"/>
        <v>1.76</v>
      </c>
      <c r="N830" s="56">
        <f>INDEX(Rate_Chart!$A$1:$AK$127,MATCH(Data!J830,Rate_Chart!$A$1:$A$127,0),MATCH(Data!K830,Rate_Chart!$A$1:$AK$1,0))</f>
        <v>34.751112000000006</v>
      </c>
      <c r="O830" s="57">
        <f t="shared" si="173"/>
        <v>764.52446400000008</v>
      </c>
      <c r="P830" s="58">
        <f t="shared" si="174"/>
        <v>417.01334400000002</v>
      </c>
      <c r="Q830" s="58">
        <f t="shared" si="175"/>
        <v>278.00889599999999</v>
      </c>
      <c r="R830" s="66">
        <f t="shared" si="176"/>
        <v>13.379178120000002</v>
      </c>
      <c r="S830" s="64">
        <f t="shared" si="177"/>
        <v>82.5</v>
      </c>
      <c r="T830" s="66">
        <f t="shared" si="178"/>
        <v>860.40364212000009</v>
      </c>
      <c r="U830" s="68">
        <f t="shared" si="179"/>
        <v>39.109256460000005</v>
      </c>
      <c r="V830" s="68">
        <f t="shared" si="180"/>
        <v>469.31107752000003</v>
      </c>
      <c r="W830" s="68">
        <f t="shared" si="181"/>
        <v>312.87405168000004</v>
      </c>
    </row>
    <row r="831" spans="1:23" x14ac:dyDescent="0.25">
      <c r="A831" s="169" t="s">
        <v>894</v>
      </c>
      <c r="B831" s="61" t="s">
        <v>397</v>
      </c>
      <c r="C831" s="61" t="s">
        <v>591</v>
      </c>
      <c r="D831" s="61" t="s">
        <v>869</v>
      </c>
      <c r="E831" s="1" t="s">
        <v>369</v>
      </c>
      <c r="F831" s="62" t="str">
        <f t="shared" si="170"/>
        <v>64532</v>
      </c>
      <c r="G831" s="1">
        <v>10620063</v>
      </c>
      <c r="H831" s="1" t="s">
        <v>388</v>
      </c>
      <c r="I831" s="61">
        <v>21</v>
      </c>
      <c r="J831" s="61">
        <v>3.2</v>
      </c>
      <c r="K831" s="61">
        <v>8.1</v>
      </c>
      <c r="L831" s="69">
        <f t="shared" si="171"/>
        <v>0.67200000000000004</v>
      </c>
      <c r="M831" s="69">
        <f t="shared" si="172"/>
        <v>1.7009999999999998</v>
      </c>
      <c r="N831" s="56">
        <f>INDEX(Rate_Chart!$A$1:$AK$127,MATCH(Data!J831,Rate_Chart!$A$1:$A$127,0),MATCH(Data!K831,Rate_Chart!$A$1:$AK$1,0))</f>
        <v>35.8631259</v>
      </c>
      <c r="O831" s="57">
        <f t="shared" si="173"/>
        <v>753.1256439</v>
      </c>
      <c r="P831" s="58">
        <f t="shared" si="174"/>
        <v>417.01309186046512</v>
      </c>
      <c r="Q831" s="58">
        <f t="shared" si="175"/>
        <v>278.00872790697673</v>
      </c>
      <c r="R831" s="66">
        <f t="shared" si="176"/>
        <v>13.179698768250001</v>
      </c>
      <c r="S831" s="64">
        <f t="shared" si="177"/>
        <v>78.75</v>
      </c>
      <c r="T831" s="66">
        <f t="shared" si="178"/>
        <v>845.05534266824998</v>
      </c>
      <c r="U831" s="68">
        <f t="shared" si="179"/>
        <v>40.24073060325</v>
      </c>
      <c r="V831" s="68">
        <f t="shared" si="180"/>
        <v>467.91547213081401</v>
      </c>
      <c r="W831" s="68">
        <f t="shared" si="181"/>
        <v>311.94364808720934</v>
      </c>
    </row>
    <row r="832" spans="1:23" x14ac:dyDescent="0.25">
      <c r="A832" s="169" t="s">
        <v>888</v>
      </c>
      <c r="B832" s="61" t="s">
        <v>396</v>
      </c>
      <c r="C832" s="61" t="s">
        <v>591</v>
      </c>
      <c r="D832" s="61" t="s">
        <v>593</v>
      </c>
      <c r="E832" s="1" t="s">
        <v>370</v>
      </c>
      <c r="F832" s="62" t="str">
        <f t="shared" si="170"/>
        <v>64534</v>
      </c>
      <c r="G832" s="1">
        <v>10620038</v>
      </c>
      <c r="H832" s="1" t="s">
        <v>387</v>
      </c>
      <c r="I832" s="61">
        <v>25</v>
      </c>
      <c r="J832" s="61">
        <v>6.4</v>
      </c>
      <c r="K832" s="61">
        <v>8.6</v>
      </c>
      <c r="L832" s="69">
        <f t="shared" si="171"/>
        <v>1.6</v>
      </c>
      <c r="M832" s="69">
        <f t="shared" si="172"/>
        <v>2.15</v>
      </c>
      <c r="N832" s="56">
        <f>INDEX(Rate_Chart!$A$1:$AK$127,MATCH(Data!J832,Rate_Chart!$A$1:$A$127,0),MATCH(Data!K832,Rate_Chart!$A$1:$AK$1,0))</f>
        <v>52.371199999999995</v>
      </c>
      <c r="O832" s="57">
        <f t="shared" si="173"/>
        <v>1309.28</v>
      </c>
      <c r="P832" s="58">
        <f t="shared" si="174"/>
        <v>431.6307692307692</v>
      </c>
      <c r="Q832" s="58">
        <f t="shared" si="175"/>
        <v>287.75384615384615</v>
      </c>
      <c r="R832" s="66">
        <f t="shared" si="176"/>
        <v>22.912400000000002</v>
      </c>
      <c r="S832" s="64">
        <f t="shared" si="177"/>
        <v>93.75</v>
      </c>
      <c r="T832" s="66">
        <f t="shared" si="178"/>
        <v>1425.9423999999999</v>
      </c>
      <c r="U832" s="68">
        <f t="shared" si="179"/>
        <v>57.037695999999997</v>
      </c>
      <c r="V832" s="68">
        <f t="shared" si="180"/>
        <v>470.0909010989011</v>
      </c>
      <c r="W832" s="68">
        <f t="shared" si="181"/>
        <v>313.39393406593405</v>
      </c>
    </row>
    <row r="833" spans="1:23" x14ac:dyDescent="0.25">
      <c r="A833" s="169" t="s">
        <v>888</v>
      </c>
      <c r="B833" s="61" t="s">
        <v>396</v>
      </c>
      <c r="C833" s="61" t="s">
        <v>591</v>
      </c>
      <c r="D833" s="61" t="s">
        <v>593</v>
      </c>
      <c r="E833" s="1" t="s">
        <v>370</v>
      </c>
      <c r="F833" s="62" t="str">
        <f t="shared" si="170"/>
        <v>64534</v>
      </c>
      <c r="G833" s="1">
        <v>10620038</v>
      </c>
      <c r="H833" s="1" t="s">
        <v>388</v>
      </c>
      <c r="I833" s="61">
        <v>19</v>
      </c>
      <c r="J833" s="61">
        <v>3.5</v>
      </c>
      <c r="K833" s="61">
        <v>8.1</v>
      </c>
      <c r="L833" s="69">
        <f t="shared" si="171"/>
        <v>0.66500000000000004</v>
      </c>
      <c r="M833" s="69">
        <f t="shared" si="172"/>
        <v>1.5390000000000001</v>
      </c>
      <c r="N833" s="56">
        <f>INDEX(Rate_Chart!$A$1:$AK$127,MATCH(Data!J833,Rate_Chart!$A$1:$A$127,0),MATCH(Data!K833,Rate_Chart!$A$1:$AK$1,0))</f>
        <v>37.114125900000005</v>
      </c>
      <c r="O833" s="57">
        <f t="shared" si="173"/>
        <v>705.16839210000012</v>
      </c>
      <c r="P833" s="58">
        <f t="shared" si="174"/>
        <v>417.01265056179784</v>
      </c>
      <c r="Q833" s="58">
        <f t="shared" si="175"/>
        <v>278.00843370786521</v>
      </c>
      <c r="R833" s="66">
        <f t="shared" si="176"/>
        <v>12.340446861750003</v>
      </c>
      <c r="S833" s="64">
        <f t="shared" si="177"/>
        <v>71.25</v>
      </c>
      <c r="T833" s="66">
        <f t="shared" si="178"/>
        <v>788.75883896175014</v>
      </c>
      <c r="U833" s="68">
        <f t="shared" si="179"/>
        <v>41.513623103250005</v>
      </c>
      <c r="V833" s="68">
        <f t="shared" si="180"/>
        <v>466.44520340730344</v>
      </c>
      <c r="W833" s="68">
        <f t="shared" si="181"/>
        <v>310.96346893820231</v>
      </c>
    </row>
    <row r="834" spans="1:23" x14ac:dyDescent="0.25">
      <c r="A834" s="169" t="s">
        <v>888</v>
      </c>
      <c r="B834" s="61" t="s">
        <v>397</v>
      </c>
      <c r="C834" s="61" t="s">
        <v>591</v>
      </c>
      <c r="D834" s="61" t="s">
        <v>593</v>
      </c>
      <c r="E834" s="1" t="s">
        <v>370</v>
      </c>
      <c r="F834" s="62" t="str">
        <f t="shared" si="170"/>
        <v>64534</v>
      </c>
      <c r="G834" s="1">
        <v>10620038</v>
      </c>
      <c r="H834" s="1" t="s">
        <v>388</v>
      </c>
      <c r="I834" s="61">
        <v>19</v>
      </c>
      <c r="J834" s="61">
        <v>4.3</v>
      </c>
      <c r="K834" s="61">
        <v>8.1</v>
      </c>
      <c r="L834" s="69">
        <f t="shared" si="171"/>
        <v>0.81700000000000006</v>
      </c>
      <c r="M834" s="69">
        <f t="shared" si="172"/>
        <v>1.5390000000000001</v>
      </c>
      <c r="N834" s="56">
        <f>INDEX(Rate_Chart!$A$1:$AK$127,MATCH(Data!J834,Rate_Chart!$A$1:$A$127,0),MATCH(Data!K834,Rate_Chart!$A$1:$AK$1,0))</f>
        <v>40.450125900000003</v>
      </c>
      <c r="O834" s="57">
        <f t="shared" si="173"/>
        <v>768.55239210000002</v>
      </c>
      <c r="P834" s="58">
        <f t="shared" si="174"/>
        <v>417.01160721649489</v>
      </c>
      <c r="Q834" s="58">
        <f t="shared" si="175"/>
        <v>278.00773814432995</v>
      </c>
      <c r="R834" s="66">
        <f t="shared" si="176"/>
        <v>13.449666861750002</v>
      </c>
      <c r="S834" s="64">
        <f t="shared" si="177"/>
        <v>71.25</v>
      </c>
      <c r="T834" s="66">
        <f t="shared" si="178"/>
        <v>853.25205896174998</v>
      </c>
      <c r="U834" s="68">
        <f t="shared" si="179"/>
        <v>44.908003103249996</v>
      </c>
      <c r="V834" s="68">
        <f t="shared" si="180"/>
        <v>462.96910415721646</v>
      </c>
      <c r="W834" s="68">
        <f t="shared" si="181"/>
        <v>308.64606943814431</v>
      </c>
    </row>
    <row r="835" spans="1:23" x14ac:dyDescent="0.25">
      <c r="A835" s="169" t="s">
        <v>889</v>
      </c>
      <c r="B835" s="61" t="s">
        <v>396</v>
      </c>
      <c r="C835" s="61" t="s">
        <v>591</v>
      </c>
      <c r="D835" s="61" t="s">
        <v>593</v>
      </c>
      <c r="E835" s="1" t="s">
        <v>370</v>
      </c>
      <c r="F835" s="62" t="str">
        <f t="shared" si="170"/>
        <v>64534</v>
      </c>
      <c r="G835" s="1">
        <v>10620038</v>
      </c>
      <c r="H835" s="1" t="s">
        <v>387</v>
      </c>
      <c r="I835" s="61">
        <v>28</v>
      </c>
      <c r="J835" s="61">
        <v>6</v>
      </c>
      <c r="K835" s="61">
        <v>8.6</v>
      </c>
      <c r="L835" s="69">
        <f t="shared" si="171"/>
        <v>1.68</v>
      </c>
      <c r="M835" s="69">
        <f t="shared" si="172"/>
        <v>2.4079999999999999</v>
      </c>
      <c r="N835" s="56">
        <f>INDEX(Rate_Chart!$A$1:$AK$127,MATCH(Data!J835,Rate_Chart!$A$1:$A$127,0),MATCH(Data!K835,Rate_Chart!$A$1:$AK$1,0))</f>
        <v>49.097999999999999</v>
      </c>
      <c r="O835" s="57">
        <f t="shared" si="173"/>
        <v>1374.7439999999999</v>
      </c>
      <c r="P835" s="58">
        <f t="shared" si="174"/>
        <v>418.44886363636368</v>
      </c>
      <c r="Q835" s="58">
        <f t="shared" si="175"/>
        <v>278.96590909090912</v>
      </c>
      <c r="R835" s="66">
        <f t="shared" si="176"/>
        <v>24.058019999999999</v>
      </c>
      <c r="S835" s="64">
        <f t="shared" si="177"/>
        <v>105</v>
      </c>
      <c r="T835" s="66">
        <f t="shared" si="178"/>
        <v>1503.8020199999999</v>
      </c>
      <c r="U835" s="68">
        <f t="shared" si="179"/>
        <v>53.707214999999998</v>
      </c>
      <c r="V835" s="68">
        <f t="shared" si="180"/>
        <v>457.7319460227273</v>
      </c>
      <c r="W835" s="68">
        <f t="shared" si="181"/>
        <v>305.15463068181822</v>
      </c>
    </row>
    <row r="836" spans="1:23" x14ac:dyDescent="0.25">
      <c r="A836" s="169" t="s">
        <v>889</v>
      </c>
      <c r="B836" s="61" t="s">
        <v>396</v>
      </c>
      <c r="C836" s="61" t="s">
        <v>591</v>
      </c>
      <c r="D836" s="61" t="s">
        <v>593</v>
      </c>
      <c r="E836" s="1" t="s">
        <v>370</v>
      </c>
      <c r="F836" s="62" t="str">
        <f t="shared" si="170"/>
        <v>64534</v>
      </c>
      <c r="G836" s="1">
        <v>10620038</v>
      </c>
      <c r="H836" s="1" t="s">
        <v>388</v>
      </c>
      <c r="I836" s="61">
        <v>18</v>
      </c>
      <c r="J836" s="61">
        <v>3.1</v>
      </c>
      <c r="K836" s="61">
        <v>8.1</v>
      </c>
      <c r="L836" s="69">
        <f t="shared" si="171"/>
        <v>0.55800000000000005</v>
      </c>
      <c r="M836" s="69">
        <f t="shared" si="172"/>
        <v>1.4579999999999997</v>
      </c>
      <c r="N836" s="56">
        <f>INDEX(Rate_Chart!$A$1:$AK$127,MATCH(Data!J836,Rate_Chart!$A$1:$A$127,0),MATCH(Data!K836,Rate_Chart!$A$1:$AK$1,0))</f>
        <v>35.446125899999998</v>
      </c>
      <c r="O836" s="57">
        <f t="shared" si="173"/>
        <v>638.03026619999991</v>
      </c>
      <c r="P836" s="58">
        <f t="shared" si="174"/>
        <v>417.01324588235298</v>
      </c>
      <c r="Q836" s="58">
        <f t="shared" si="175"/>
        <v>278.0088305882353</v>
      </c>
      <c r="R836" s="66">
        <f t="shared" si="176"/>
        <v>11.165529658499999</v>
      </c>
      <c r="S836" s="64">
        <f t="shared" si="177"/>
        <v>67.5</v>
      </c>
      <c r="T836" s="66">
        <f t="shared" si="178"/>
        <v>716.69579585849988</v>
      </c>
      <c r="U836" s="68">
        <f t="shared" si="179"/>
        <v>39.816433103249992</v>
      </c>
      <c r="V836" s="68">
        <f t="shared" si="180"/>
        <v>468.4286247441176</v>
      </c>
      <c r="W836" s="68">
        <f t="shared" si="181"/>
        <v>312.28574982941171</v>
      </c>
    </row>
    <row r="837" spans="1:23" x14ac:dyDescent="0.25">
      <c r="A837" s="169" t="s">
        <v>889</v>
      </c>
      <c r="B837" s="61" t="s">
        <v>397</v>
      </c>
      <c r="C837" s="61" t="s">
        <v>591</v>
      </c>
      <c r="D837" s="61" t="s">
        <v>593</v>
      </c>
      <c r="E837" s="1" t="s">
        <v>370</v>
      </c>
      <c r="F837" s="62" t="str">
        <f t="shared" ref="F837:F900" si="182">MID(E837,2,5)</f>
        <v>64534</v>
      </c>
      <c r="G837" s="1">
        <v>10620038</v>
      </c>
      <c r="H837" s="1" t="s">
        <v>388</v>
      </c>
      <c r="I837" s="61">
        <v>21</v>
      </c>
      <c r="J837" s="61">
        <v>4</v>
      </c>
      <c r="K837" s="61">
        <v>8.1</v>
      </c>
      <c r="L837" s="69">
        <f t="shared" si="171"/>
        <v>0.84</v>
      </c>
      <c r="M837" s="69">
        <f t="shared" si="172"/>
        <v>1.7009999999999998</v>
      </c>
      <c r="N837" s="56">
        <f>INDEX(Rate_Chart!$A$1:$AK$127,MATCH(Data!J837,Rate_Chart!$A$1:$A$127,0),MATCH(Data!K837,Rate_Chart!$A$1:$AK$1,0))</f>
        <v>39.199125899999999</v>
      </c>
      <c r="O837" s="57">
        <f t="shared" si="173"/>
        <v>823.18164389999993</v>
      </c>
      <c r="P837" s="58">
        <f t="shared" si="174"/>
        <v>417.01197765957443</v>
      </c>
      <c r="Q837" s="58">
        <f t="shared" si="175"/>
        <v>278.00798510638293</v>
      </c>
      <c r="R837" s="66">
        <f t="shared" si="176"/>
        <v>14.40567876825</v>
      </c>
      <c r="S837" s="64">
        <f t="shared" si="177"/>
        <v>78.75</v>
      </c>
      <c r="T837" s="66">
        <f t="shared" si="178"/>
        <v>916.33732266824995</v>
      </c>
      <c r="U837" s="68">
        <f t="shared" si="179"/>
        <v>43.635110603249998</v>
      </c>
      <c r="V837" s="68">
        <f t="shared" si="180"/>
        <v>464.20330428989359</v>
      </c>
      <c r="W837" s="68">
        <f t="shared" si="181"/>
        <v>309.46886952659571</v>
      </c>
    </row>
    <row r="838" spans="1:23" x14ac:dyDescent="0.25">
      <c r="A838" s="169" t="s">
        <v>890</v>
      </c>
      <c r="B838" s="61" t="s">
        <v>396</v>
      </c>
      <c r="C838" s="61" t="s">
        <v>591</v>
      </c>
      <c r="D838" s="61" t="s">
        <v>593</v>
      </c>
      <c r="E838" s="1" t="s">
        <v>370</v>
      </c>
      <c r="F838" s="62" t="str">
        <f t="shared" si="182"/>
        <v>64534</v>
      </c>
      <c r="G838" s="1">
        <v>10620038</v>
      </c>
      <c r="H838" s="1" t="s">
        <v>387</v>
      </c>
      <c r="I838" s="61">
        <v>29</v>
      </c>
      <c r="J838" s="61">
        <v>6.3</v>
      </c>
      <c r="K838" s="61">
        <v>8.8000000000000007</v>
      </c>
      <c r="L838" s="69">
        <f t="shared" si="171"/>
        <v>1.827</v>
      </c>
      <c r="M838" s="69">
        <f t="shared" si="172"/>
        <v>2.552</v>
      </c>
      <c r="N838" s="56">
        <f>INDEX(Rate_Chart!$A$1:$AK$127,MATCH(Data!J838,Rate_Chart!$A$1:$A$127,0),MATCH(Data!K838,Rate_Chart!$A$1:$AK$1,0))</f>
        <v>52.078949999999999</v>
      </c>
      <c r="O838" s="57">
        <f t="shared" si="173"/>
        <v>1510.28955</v>
      </c>
      <c r="P838" s="58">
        <f t="shared" si="174"/>
        <v>428.04616438356163</v>
      </c>
      <c r="Q838" s="58">
        <f t="shared" si="175"/>
        <v>285.36410958904111</v>
      </c>
      <c r="R838" s="66">
        <f t="shared" si="176"/>
        <v>26.430067125000001</v>
      </c>
      <c r="S838" s="64">
        <f t="shared" si="177"/>
        <v>108.75</v>
      </c>
      <c r="T838" s="66">
        <f t="shared" si="178"/>
        <v>1645.469617125</v>
      </c>
      <c r="U838" s="68">
        <f t="shared" si="179"/>
        <v>56.740331625000003</v>
      </c>
      <c r="V838" s="68">
        <f t="shared" si="180"/>
        <v>466.35889006849317</v>
      </c>
      <c r="W838" s="68">
        <f t="shared" si="181"/>
        <v>310.90592671232878</v>
      </c>
    </row>
    <row r="839" spans="1:23" x14ac:dyDescent="0.25">
      <c r="A839" s="169" t="s">
        <v>890</v>
      </c>
      <c r="B839" s="61" t="s">
        <v>396</v>
      </c>
      <c r="C839" s="61" t="s">
        <v>591</v>
      </c>
      <c r="D839" s="61" t="s">
        <v>593</v>
      </c>
      <c r="E839" s="1" t="s">
        <v>370</v>
      </c>
      <c r="F839" s="62" t="str">
        <f t="shared" si="182"/>
        <v>64534</v>
      </c>
      <c r="G839" s="1">
        <v>10620038</v>
      </c>
      <c r="H839" s="1" t="s">
        <v>388</v>
      </c>
      <c r="I839" s="61">
        <v>14</v>
      </c>
      <c r="J839" s="61">
        <v>3.2</v>
      </c>
      <c r="K839" s="61">
        <v>8.1</v>
      </c>
      <c r="L839" s="69">
        <f t="shared" si="171"/>
        <v>0.44800000000000006</v>
      </c>
      <c r="M839" s="69">
        <f t="shared" si="172"/>
        <v>1.1339999999999999</v>
      </c>
      <c r="N839" s="56">
        <f>INDEX(Rate_Chart!$A$1:$AK$127,MATCH(Data!J839,Rate_Chart!$A$1:$A$127,0),MATCH(Data!K839,Rate_Chart!$A$1:$AK$1,0))</f>
        <v>35.8631259</v>
      </c>
      <c r="O839" s="57">
        <f t="shared" si="173"/>
        <v>502.0837626</v>
      </c>
      <c r="P839" s="58">
        <f t="shared" si="174"/>
        <v>417.01309186046512</v>
      </c>
      <c r="Q839" s="58">
        <f t="shared" si="175"/>
        <v>278.00872790697673</v>
      </c>
      <c r="R839" s="66">
        <f t="shared" si="176"/>
        <v>8.7864658455000004</v>
      </c>
      <c r="S839" s="64">
        <f t="shared" si="177"/>
        <v>52.5</v>
      </c>
      <c r="T839" s="66">
        <f t="shared" si="178"/>
        <v>563.37022844550006</v>
      </c>
      <c r="U839" s="68">
        <f t="shared" si="179"/>
        <v>40.240730603250007</v>
      </c>
      <c r="V839" s="68">
        <f t="shared" si="180"/>
        <v>467.91547213081407</v>
      </c>
      <c r="W839" s="68">
        <f t="shared" si="181"/>
        <v>311.9436480872094</v>
      </c>
    </row>
    <row r="840" spans="1:23" x14ac:dyDescent="0.25">
      <c r="A840" s="169" t="s">
        <v>890</v>
      </c>
      <c r="B840" s="61" t="s">
        <v>397</v>
      </c>
      <c r="C840" s="61" t="s">
        <v>591</v>
      </c>
      <c r="D840" s="61" t="s">
        <v>593</v>
      </c>
      <c r="E840" s="1" t="s">
        <v>370</v>
      </c>
      <c r="F840" s="62" t="str">
        <f t="shared" si="182"/>
        <v>64534</v>
      </c>
      <c r="G840" s="1">
        <v>10620038</v>
      </c>
      <c r="H840" s="1" t="s">
        <v>388</v>
      </c>
      <c r="I840" s="61">
        <v>24</v>
      </c>
      <c r="J840" s="61">
        <v>4.2</v>
      </c>
      <c r="K840" s="61">
        <v>8.1999999999999993</v>
      </c>
      <c r="L840" s="69">
        <f t="shared" si="171"/>
        <v>1.008</v>
      </c>
      <c r="M840" s="69">
        <f t="shared" si="172"/>
        <v>1.9679999999999997</v>
      </c>
      <c r="N840" s="56">
        <f>INDEX(Rate_Chart!$A$1:$AK$127,MATCH(Data!J840,Rate_Chart!$A$1:$A$127,0),MATCH(Data!K840,Rate_Chart!$A$1:$AK$1,0))</f>
        <v>40.311139799999999</v>
      </c>
      <c r="O840" s="57">
        <f t="shared" si="173"/>
        <v>967.46735519999993</v>
      </c>
      <c r="P840" s="58">
        <f t="shared" si="174"/>
        <v>417.01179103448277</v>
      </c>
      <c r="Q840" s="58">
        <f t="shared" si="175"/>
        <v>278.00786068965516</v>
      </c>
      <c r="R840" s="66">
        <f t="shared" si="176"/>
        <v>16.930678715999999</v>
      </c>
      <c r="S840" s="64">
        <f t="shared" si="177"/>
        <v>90</v>
      </c>
      <c r="T840" s="66">
        <f t="shared" si="178"/>
        <v>1074.398033916</v>
      </c>
      <c r="U840" s="68">
        <f t="shared" si="179"/>
        <v>44.766584746500001</v>
      </c>
      <c r="V840" s="68">
        <f t="shared" si="180"/>
        <v>463.10260082586211</v>
      </c>
      <c r="W840" s="68">
        <f t="shared" si="181"/>
        <v>308.73506721724141</v>
      </c>
    </row>
    <row r="841" spans="1:23" x14ac:dyDescent="0.25">
      <c r="A841" s="169" t="s">
        <v>891</v>
      </c>
      <c r="B841" s="61" t="s">
        <v>396</v>
      </c>
      <c r="C841" s="61" t="s">
        <v>591</v>
      </c>
      <c r="D841" s="61" t="s">
        <v>593</v>
      </c>
      <c r="E841" s="1" t="s">
        <v>370</v>
      </c>
      <c r="F841" s="62" t="str">
        <f t="shared" si="182"/>
        <v>64534</v>
      </c>
      <c r="G841" s="1">
        <v>10620038</v>
      </c>
      <c r="H841" s="1" t="s">
        <v>387</v>
      </c>
      <c r="I841" s="61">
        <v>26</v>
      </c>
      <c r="J841" s="61">
        <v>6.3</v>
      </c>
      <c r="K841" s="61">
        <v>8.8000000000000007</v>
      </c>
      <c r="L841" s="69">
        <f t="shared" si="171"/>
        <v>1.6379999999999999</v>
      </c>
      <c r="M841" s="69">
        <f t="shared" si="172"/>
        <v>2.2880000000000003</v>
      </c>
      <c r="N841" s="56">
        <f>INDEX(Rate_Chart!$A$1:$AK$127,MATCH(Data!J841,Rate_Chart!$A$1:$A$127,0),MATCH(Data!K841,Rate_Chart!$A$1:$AK$1,0))</f>
        <v>52.078949999999999</v>
      </c>
      <c r="O841" s="57">
        <f t="shared" si="173"/>
        <v>1354.0527</v>
      </c>
      <c r="P841" s="58">
        <f t="shared" si="174"/>
        <v>428.04616438356163</v>
      </c>
      <c r="Q841" s="58">
        <f t="shared" si="175"/>
        <v>285.36410958904111</v>
      </c>
      <c r="R841" s="66">
        <f t="shared" si="176"/>
        <v>23.695922250000002</v>
      </c>
      <c r="S841" s="64">
        <f t="shared" si="177"/>
        <v>97.5</v>
      </c>
      <c r="T841" s="66">
        <f t="shared" si="178"/>
        <v>1475.2486222499999</v>
      </c>
      <c r="U841" s="68">
        <f t="shared" si="179"/>
        <v>56.740331624999996</v>
      </c>
      <c r="V841" s="68">
        <f t="shared" si="180"/>
        <v>466.35889006849311</v>
      </c>
      <c r="W841" s="68">
        <f t="shared" si="181"/>
        <v>310.90592671232872</v>
      </c>
    </row>
    <row r="842" spans="1:23" x14ac:dyDescent="0.25">
      <c r="A842" s="169" t="s">
        <v>891</v>
      </c>
      <c r="B842" s="61" t="s">
        <v>396</v>
      </c>
      <c r="C842" s="61" t="s">
        <v>591</v>
      </c>
      <c r="D842" s="61" t="s">
        <v>593</v>
      </c>
      <c r="E842" s="1" t="s">
        <v>370</v>
      </c>
      <c r="F842" s="62" t="str">
        <f t="shared" si="182"/>
        <v>64534</v>
      </c>
      <c r="G842" s="1">
        <v>10620038</v>
      </c>
      <c r="H842" s="1" t="s">
        <v>388</v>
      </c>
      <c r="I842" s="61">
        <v>17</v>
      </c>
      <c r="J842" s="61">
        <v>3.6</v>
      </c>
      <c r="K842" s="61">
        <v>8.1</v>
      </c>
      <c r="L842" s="69">
        <f t="shared" si="171"/>
        <v>0.61199999999999999</v>
      </c>
      <c r="M842" s="69">
        <f t="shared" si="172"/>
        <v>1.3769999999999998</v>
      </c>
      <c r="N842" s="56">
        <f>INDEX(Rate_Chart!$A$1:$AK$127,MATCH(Data!J842,Rate_Chart!$A$1:$A$127,0),MATCH(Data!K842,Rate_Chart!$A$1:$AK$1,0))</f>
        <v>37.531125900000006</v>
      </c>
      <c r="O842" s="57">
        <f t="shared" si="173"/>
        <v>638.02914030000011</v>
      </c>
      <c r="P842" s="58">
        <f t="shared" si="174"/>
        <v>417.01251000000008</v>
      </c>
      <c r="Q842" s="58">
        <f t="shared" si="175"/>
        <v>278.00834000000003</v>
      </c>
      <c r="R842" s="66">
        <f t="shared" si="176"/>
        <v>11.165509955250004</v>
      </c>
      <c r="S842" s="64">
        <f t="shared" si="177"/>
        <v>63.75</v>
      </c>
      <c r="T842" s="66">
        <f t="shared" si="178"/>
        <v>712.94465025525005</v>
      </c>
      <c r="U842" s="68">
        <f t="shared" si="179"/>
        <v>41.937920603250006</v>
      </c>
      <c r="V842" s="68">
        <f t="shared" si="180"/>
        <v>465.97689559166673</v>
      </c>
      <c r="W842" s="68">
        <f t="shared" si="181"/>
        <v>310.6512637277778</v>
      </c>
    </row>
    <row r="843" spans="1:23" x14ac:dyDescent="0.25">
      <c r="A843" s="169" t="s">
        <v>891</v>
      </c>
      <c r="B843" s="61" t="s">
        <v>397</v>
      </c>
      <c r="C843" s="61" t="s">
        <v>591</v>
      </c>
      <c r="D843" s="61" t="s">
        <v>593</v>
      </c>
      <c r="E843" s="1" t="s">
        <v>370</v>
      </c>
      <c r="F843" s="62" t="str">
        <f t="shared" si="182"/>
        <v>64534</v>
      </c>
      <c r="G843" s="1">
        <v>10620038</v>
      </c>
      <c r="H843" s="1" t="s">
        <v>388</v>
      </c>
      <c r="I843" s="61">
        <v>22</v>
      </c>
      <c r="J843" s="61">
        <v>4.2</v>
      </c>
      <c r="K843" s="61">
        <v>8.1</v>
      </c>
      <c r="L843" s="69">
        <f t="shared" si="171"/>
        <v>0.92400000000000004</v>
      </c>
      <c r="M843" s="69">
        <f t="shared" si="172"/>
        <v>1.7819999999999998</v>
      </c>
      <c r="N843" s="56">
        <f>INDEX(Rate_Chart!$A$1:$AK$127,MATCH(Data!J843,Rate_Chart!$A$1:$A$127,0),MATCH(Data!K843,Rate_Chart!$A$1:$AK$1,0))</f>
        <v>40.033125900000002</v>
      </c>
      <c r="O843" s="57">
        <f t="shared" si="173"/>
        <v>880.72876980000001</v>
      </c>
      <c r="P843" s="58">
        <f t="shared" si="174"/>
        <v>417.01172812499999</v>
      </c>
      <c r="Q843" s="58">
        <f t="shared" si="175"/>
        <v>278.00781875000001</v>
      </c>
      <c r="R843" s="66">
        <f t="shared" si="176"/>
        <v>15.412753471500002</v>
      </c>
      <c r="S843" s="64">
        <f t="shared" si="177"/>
        <v>82.5</v>
      </c>
      <c r="T843" s="66">
        <f t="shared" si="178"/>
        <v>978.64152327149998</v>
      </c>
      <c r="U843" s="68">
        <f t="shared" si="179"/>
        <v>44.483705603250002</v>
      </c>
      <c r="V843" s="68">
        <f t="shared" si="180"/>
        <v>463.37193336718752</v>
      </c>
      <c r="W843" s="68">
        <f t="shared" si="181"/>
        <v>308.9146222447917</v>
      </c>
    </row>
    <row r="844" spans="1:23" x14ac:dyDescent="0.25">
      <c r="A844" s="169" t="s">
        <v>892</v>
      </c>
      <c r="B844" s="61" t="s">
        <v>396</v>
      </c>
      <c r="C844" s="61" t="s">
        <v>591</v>
      </c>
      <c r="D844" s="61" t="s">
        <v>593</v>
      </c>
      <c r="E844" s="1" t="s">
        <v>370</v>
      </c>
      <c r="F844" s="62" t="str">
        <f t="shared" si="182"/>
        <v>64534</v>
      </c>
      <c r="G844" s="1">
        <v>10620038</v>
      </c>
      <c r="H844" s="1" t="s">
        <v>387</v>
      </c>
      <c r="I844" s="61">
        <v>30</v>
      </c>
      <c r="J844" s="61">
        <v>6.3</v>
      </c>
      <c r="K844" s="61">
        <v>8.8000000000000007</v>
      </c>
      <c r="L844" s="69">
        <f t="shared" si="171"/>
        <v>1.89</v>
      </c>
      <c r="M844" s="69">
        <f t="shared" si="172"/>
        <v>2.64</v>
      </c>
      <c r="N844" s="56">
        <f>INDEX(Rate_Chart!$A$1:$AK$127,MATCH(Data!J844,Rate_Chart!$A$1:$A$127,0),MATCH(Data!K844,Rate_Chart!$A$1:$AK$1,0))</f>
        <v>52.078949999999999</v>
      </c>
      <c r="O844" s="57">
        <f t="shared" si="173"/>
        <v>1562.3685</v>
      </c>
      <c r="P844" s="58">
        <f t="shared" si="174"/>
        <v>428.04616438356163</v>
      </c>
      <c r="Q844" s="58">
        <f t="shared" si="175"/>
        <v>285.36410958904111</v>
      </c>
      <c r="R844" s="66">
        <f t="shared" si="176"/>
        <v>27.341448750000005</v>
      </c>
      <c r="S844" s="64">
        <f t="shared" si="177"/>
        <v>112.5</v>
      </c>
      <c r="T844" s="66">
        <f t="shared" si="178"/>
        <v>1702.20994875</v>
      </c>
      <c r="U844" s="68">
        <f t="shared" si="179"/>
        <v>56.740331624999996</v>
      </c>
      <c r="V844" s="68">
        <f t="shared" si="180"/>
        <v>466.35889006849311</v>
      </c>
      <c r="W844" s="68">
        <f t="shared" si="181"/>
        <v>310.90592671232872</v>
      </c>
    </row>
    <row r="845" spans="1:23" x14ac:dyDescent="0.25">
      <c r="A845" s="169" t="s">
        <v>892</v>
      </c>
      <c r="B845" s="61" t="s">
        <v>396</v>
      </c>
      <c r="C845" s="61" t="s">
        <v>591</v>
      </c>
      <c r="D845" s="61" t="s">
        <v>593</v>
      </c>
      <c r="E845" s="1" t="s">
        <v>370</v>
      </c>
      <c r="F845" s="62" t="str">
        <f t="shared" si="182"/>
        <v>64534</v>
      </c>
      <c r="G845" s="1">
        <v>10620038</v>
      </c>
      <c r="H845" s="1" t="s">
        <v>388</v>
      </c>
      <c r="I845" s="61">
        <v>17</v>
      </c>
      <c r="J845" s="61">
        <v>3.2</v>
      </c>
      <c r="K845" s="61">
        <v>8.1</v>
      </c>
      <c r="L845" s="69">
        <f t="shared" si="171"/>
        <v>0.54400000000000004</v>
      </c>
      <c r="M845" s="69">
        <f t="shared" si="172"/>
        <v>1.3769999999999998</v>
      </c>
      <c r="N845" s="56">
        <f>INDEX(Rate_Chart!$A$1:$AK$127,MATCH(Data!J845,Rate_Chart!$A$1:$A$127,0),MATCH(Data!K845,Rate_Chart!$A$1:$AK$1,0))</f>
        <v>35.8631259</v>
      </c>
      <c r="O845" s="57">
        <f t="shared" si="173"/>
        <v>609.6731403</v>
      </c>
      <c r="P845" s="58">
        <f t="shared" si="174"/>
        <v>417.01309186046512</v>
      </c>
      <c r="Q845" s="58">
        <f t="shared" si="175"/>
        <v>278.00872790697673</v>
      </c>
      <c r="R845" s="66">
        <f t="shared" si="176"/>
        <v>10.669279955250001</v>
      </c>
      <c r="S845" s="64">
        <f t="shared" si="177"/>
        <v>63.75</v>
      </c>
      <c r="T845" s="66">
        <f t="shared" si="178"/>
        <v>684.09242025524998</v>
      </c>
      <c r="U845" s="68">
        <f t="shared" si="179"/>
        <v>40.24073060325</v>
      </c>
      <c r="V845" s="68">
        <f t="shared" si="180"/>
        <v>467.91547213081401</v>
      </c>
      <c r="W845" s="68">
        <f t="shared" si="181"/>
        <v>311.94364808720934</v>
      </c>
    </row>
    <row r="846" spans="1:23" x14ac:dyDescent="0.25">
      <c r="A846" s="169" t="s">
        <v>892</v>
      </c>
      <c r="B846" s="61" t="s">
        <v>397</v>
      </c>
      <c r="C846" s="61" t="s">
        <v>591</v>
      </c>
      <c r="D846" s="61" t="s">
        <v>593</v>
      </c>
      <c r="E846" s="1" t="s">
        <v>370</v>
      </c>
      <c r="F846" s="62" t="str">
        <f t="shared" si="182"/>
        <v>64534</v>
      </c>
      <c r="G846" s="1">
        <v>10620038</v>
      </c>
      <c r="H846" s="1" t="s">
        <v>388</v>
      </c>
      <c r="I846" s="61">
        <v>19</v>
      </c>
      <c r="J846" s="61">
        <v>4.7</v>
      </c>
      <c r="K846" s="61">
        <v>8.1999999999999993</v>
      </c>
      <c r="L846" s="69">
        <f t="shared" si="171"/>
        <v>0.89300000000000002</v>
      </c>
      <c r="M846" s="69">
        <f t="shared" si="172"/>
        <v>1.5579999999999998</v>
      </c>
      <c r="N846" s="56">
        <f>INDEX(Rate_Chart!$A$1:$AK$127,MATCH(Data!J846,Rate_Chart!$A$1:$A$127,0),MATCH(Data!K846,Rate_Chart!$A$1:$AK$1,0))</f>
        <v>42.3961398</v>
      </c>
      <c r="O846" s="57">
        <f t="shared" si="173"/>
        <v>805.52665620000005</v>
      </c>
      <c r="P846" s="58">
        <f t="shared" si="174"/>
        <v>417.01121114754102</v>
      </c>
      <c r="Q846" s="58">
        <f t="shared" si="175"/>
        <v>278.00747409836066</v>
      </c>
      <c r="R846" s="66">
        <f t="shared" si="176"/>
        <v>14.096716483500002</v>
      </c>
      <c r="S846" s="64">
        <f t="shared" si="177"/>
        <v>71.25</v>
      </c>
      <c r="T846" s="66">
        <f t="shared" si="178"/>
        <v>890.87337268350007</v>
      </c>
      <c r="U846" s="68">
        <f t="shared" si="179"/>
        <v>46.888072246500002</v>
      </c>
      <c r="V846" s="68">
        <f t="shared" si="180"/>
        <v>461.19415324426234</v>
      </c>
      <c r="W846" s="68">
        <f t="shared" si="181"/>
        <v>307.46276882950821</v>
      </c>
    </row>
    <row r="847" spans="1:23" x14ac:dyDescent="0.25">
      <c r="A847" s="169" t="s">
        <v>893</v>
      </c>
      <c r="B847" s="61" t="s">
        <v>396</v>
      </c>
      <c r="C847" s="61" t="s">
        <v>591</v>
      </c>
      <c r="D847" s="61" t="s">
        <v>593</v>
      </c>
      <c r="E847" s="1" t="s">
        <v>370</v>
      </c>
      <c r="F847" s="62" t="str">
        <f t="shared" si="182"/>
        <v>64534</v>
      </c>
      <c r="G847" s="1">
        <v>10620038</v>
      </c>
      <c r="H847" s="1" t="s">
        <v>387</v>
      </c>
      <c r="I847" s="61">
        <v>28</v>
      </c>
      <c r="J847" s="61">
        <v>6.4</v>
      </c>
      <c r="K847" s="61">
        <v>8.8000000000000007</v>
      </c>
      <c r="L847" s="69">
        <f t="shared" si="171"/>
        <v>1.7920000000000003</v>
      </c>
      <c r="M847" s="69">
        <f t="shared" si="172"/>
        <v>2.4640000000000004</v>
      </c>
      <c r="N847" s="56">
        <f>INDEX(Rate_Chart!$A$1:$AK$127,MATCH(Data!J847,Rate_Chart!$A$1:$A$127,0),MATCH(Data!K847,Rate_Chart!$A$1:$AK$1,0))</f>
        <v>52.9056</v>
      </c>
      <c r="O847" s="57">
        <f t="shared" si="173"/>
        <v>1481.3568</v>
      </c>
      <c r="P847" s="58">
        <f t="shared" si="174"/>
        <v>431.29565217391303</v>
      </c>
      <c r="Q847" s="58">
        <f t="shared" si="175"/>
        <v>287.53043478260867</v>
      </c>
      <c r="R847" s="66">
        <f t="shared" si="176"/>
        <v>25.923744000000003</v>
      </c>
      <c r="S847" s="64">
        <f t="shared" si="177"/>
        <v>105</v>
      </c>
      <c r="T847" s="66">
        <f t="shared" si="178"/>
        <v>1612.280544</v>
      </c>
      <c r="U847" s="68">
        <f t="shared" si="179"/>
        <v>57.581448000000002</v>
      </c>
      <c r="V847" s="68">
        <f t="shared" si="180"/>
        <v>469.41397826086956</v>
      </c>
      <c r="W847" s="68">
        <f t="shared" si="181"/>
        <v>312.94265217391302</v>
      </c>
    </row>
    <row r="848" spans="1:23" x14ac:dyDescent="0.25">
      <c r="A848" s="169" t="s">
        <v>893</v>
      </c>
      <c r="B848" s="61" t="s">
        <v>396</v>
      </c>
      <c r="C848" s="61" t="s">
        <v>591</v>
      </c>
      <c r="D848" s="61" t="s">
        <v>593</v>
      </c>
      <c r="E848" s="1" t="s">
        <v>370</v>
      </c>
      <c r="F848" s="62" t="str">
        <f t="shared" si="182"/>
        <v>64534</v>
      </c>
      <c r="G848" s="1">
        <v>10620038</v>
      </c>
      <c r="H848" s="1" t="s">
        <v>388</v>
      </c>
      <c r="I848" s="61">
        <v>16</v>
      </c>
      <c r="J848" s="61">
        <v>3.3</v>
      </c>
      <c r="K848" s="61">
        <v>8.1</v>
      </c>
      <c r="L848" s="69">
        <f t="shared" si="171"/>
        <v>0.52800000000000002</v>
      </c>
      <c r="M848" s="69">
        <f t="shared" si="172"/>
        <v>1.296</v>
      </c>
      <c r="N848" s="56">
        <f>INDEX(Rate_Chart!$A$1:$AK$127,MATCH(Data!J848,Rate_Chart!$A$1:$A$127,0),MATCH(Data!K848,Rate_Chart!$A$1:$AK$1,0))</f>
        <v>36.280125900000002</v>
      </c>
      <c r="O848" s="57">
        <f t="shared" si="173"/>
        <v>580.48201440000003</v>
      </c>
      <c r="P848" s="58">
        <f t="shared" si="174"/>
        <v>417.0129413793104</v>
      </c>
      <c r="Q848" s="58">
        <f t="shared" si="175"/>
        <v>278.00862758620696</v>
      </c>
      <c r="R848" s="66">
        <f t="shared" si="176"/>
        <v>10.158435252000002</v>
      </c>
      <c r="S848" s="64">
        <f t="shared" si="177"/>
        <v>60</v>
      </c>
      <c r="T848" s="66">
        <f t="shared" si="178"/>
        <v>650.64044965200003</v>
      </c>
      <c r="U848" s="68">
        <f t="shared" si="179"/>
        <v>40.665028103250002</v>
      </c>
      <c r="V848" s="68">
        <f t="shared" si="180"/>
        <v>467.4141161293104</v>
      </c>
      <c r="W848" s="68">
        <f t="shared" si="181"/>
        <v>311.6094107528736</v>
      </c>
    </row>
    <row r="849" spans="1:23" x14ac:dyDescent="0.25">
      <c r="A849" s="169" t="s">
        <v>893</v>
      </c>
      <c r="B849" s="61" t="s">
        <v>397</v>
      </c>
      <c r="C849" s="61" t="s">
        <v>591</v>
      </c>
      <c r="D849" s="61" t="s">
        <v>593</v>
      </c>
      <c r="E849" s="1" t="s">
        <v>370</v>
      </c>
      <c r="F849" s="62" t="str">
        <f t="shared" si="182"/>
        <v>64534</v>
      </c>
      <c r="G849" s="1">
        <v>10620038</v>
      </c>
      <c r="H849" s="1" t="s">
        <v>388</v>
      </c>
      <c r="I849" s="61">
        <v>22</v>
      </c>
      <c r="J849" s="61">
        <v>4</v>
      </c>
      <c r="K849" s="61">
        <v>8.1</v>
      </c>
      <c r="L849" s="69">
        <f t="shared" si="171"/>
        <v>0.88</v>
      </c>
      <c r="M849" s="69">
        <f t="shared" si="172"/>
        <v>1.7819999999999998</v>
      </c>
      <c r="N849" s="56">
        <f>INDEX(Rate_Chart!$A$1:$AK$127,MATCH(Data!J849,Rate_Chart!$A$1:$A$127,0),MATCH(Data!K849,Rate_Chart!$A$1:$AK$1,0))</f>
        <v>39.199125899999999</v>
      </c>
      <c r="O849" s="57">
        <f t="shared" si="173"/>
        <v>862.38076979999994</v>
      </c>
      <c r="P849" s="58">
        <f t="shared" si="174"/>
        <v>417.01197765957443</v>
      </c>
      <c r="Q849" s="58">
        <f t="shared" si="175"/>
        <v>278.00798510638293</v>
      </c>
      <c r="R849" s="66">
        <f t="shared" si="176"/>
        <v>15.0916634715</v>
      </c>
      <c r="S849" s="64">
        <f t="shared" si="177"/>
        <v>82.5</v>
      </c>
      <c r="T849" s="66">
        <f t="shared" si="178"/>
        <v>959.97243327149999</v>
      </c>
      <c r="U849" s="68">
        <f t="shared" si="179"/>
        <v>43.635110603249998</v>
      </c>
      <c r="V849" s="68">
        <f t="shared" si="180"/>
        <v>464.20330428989359</v>
      </c>
      <c r="W849" s="68">
        <f t="shared" si="181"/>
        <v>309.46886952659571</v>
      </c>
    </row>
    <row r="850" spans="1:23" x14ac:dyDescent="0.25">
      <c r="A850" s="169" t="s">
        <v>894</v>
      </c>
      <c r="B850" s="61" t="s">
        <v>396</v>
      </c>
      <c r="C850" s="61" t="s">
        <v>591</v>
      </c>
      <c r="D850" s="61" t="s">
        <v>593</v>
      </c>
      <c r="E850" s="1" t="s">
        <v>370</v>
      </c>
      <c r="F850" s="62" t="str">
        <f t="shared" si="182"/>
        <v>64534</v>
      </c>
      <c r="G850" s="1">
        <v>10620038</v>
      </c>
      <c r="H850" s="1" t="s">
        <v>387</v>
      </c>
      <c r="I850" s="61">
        <v>29</v>
      </c>
      <c r="J850" s="61">
        <v>6.2</v>
      </c>
      <c r="K850" s="61">
        <v>8.6</v>
      </c>
      <c r="L850" s="69">
        <f t="shared" si="171"/>
        <v>1.798</v>
      </c>
      <c r="M850" s="69">
        <f t="shared" si="172"/>
        <v>2.4939999999999998</v>
      </c>
      <c r="N850" s="56">
        <f>INDEX(Rate_Chart!$A$1:$AK$127,MATCH(Data!J850,Rate_Chart!$A$1:$A$127,0),MATCH(Data!K850,Rate_Chart!$A$1:$AK$1,0))</f>
        <v>50.7346</v>
      </c>
      <c r="O850" s="57">
        <f t="shared" si="173"/>
        <v>1471.3034</v>
      </c>
      <c r="P850" s="58">
        <f t="shared" si="174"/>
        <v>425.15027932960902</v>
      </c>
      <c r="Q850" s="58">
        <f t="shared" si="175"/>
        <v>283.4335195530727</v>
      </c>
      <c r="R850" s="66">
        <f t="shared" si="176"/>
        <v>25.747809500000002</v>
      </c>
      <c r="S850" s="64">
        <f t="shared" si="177"/>
        <v>108.75</v>
      </c>
      <c r="T850" s="66">
        <f t="shared" si="178"/>
        <v>1605.8012094999999</v>
      </c>
      <c r="U850" s="68">
        <f t="shared" si="179"/>
        <v>55.372455499999994</v>
      </c>
      <c r="V850" s="68">
        <f t="shared" si="180"/>
        <v>464.01499022346371</v>
      </c>
      <c r="W850" s="68">
        <f t="shared" si="181"/>
        <v>309.34332681564246</v>
      </c>
    </row>
    <row r="851" spans="1:23" x14ac:dyDescent="0.25">
      <c r="A851" s="169" t="s">
        <v>894</v>
      </c>
      <c r="B851" s="61" t="s">
        <v>396</v>
      </c>
      <c r="C851" s="61" t="s">
        <v>591</v>
      </c>
      <c r="D851" s="61" t="s">
        <v>593</v>
      </c>
      <c r="E851" s="1" t="s">
        <v>370</v>
      </c>
      <c r="F851" s="62" t="str">
        <f t="shared" si="182"/>
        <v>64534</v>
      </c>
      <c r="G851" s="1">
        <v>10620038</v>
      </c>
      <c r="H851" s="1" t="s">
        <v>388</v>
      </c>
      <c r="I851" s="61">
        <v>17</v>
      </c>
      <c r="J851" s="61">
        <v>3.2</v>
      </c>
      <c r="K851" s="61">
        <v>8</v>
      </c>
      <c r="L851" s="69">
        <f t="shared" si="171"/>
        <v>0.54400000000000004</v>
      </c>
      <c r="M851" s="69">
        <f t="shared" si="172"/>
        <v>1.36</v>
      </c>
      <c r="N851" s="56">
        <f>INDEX(Rate_Chart!$A$1:$AK$127,MATCH(Data!J851,Rate_Chart!$A$1:$A$127,0),MATCH(Data!K851,Rate_Chart!$A$1:$AK$1,0))</f>
        <v>35.585112000000002</v>
      </c>
      <c r="O851" s="57">
        <f t="shared" si="173"/>
        <v>604.94690400000002</v>
      </c>
      <c r="P851" s="58">
        <f t="shared" si="174"/>
        <v>417.01303124999998</v>
      </c>
      <c r="Q851" s="58">
        <f t="shared" si="175"/>
        <v>278.00868750000001</v>
      </c>
      <c r="R851" s="66">
        <f t="shared" si="176"/>
        <v>10.586570820000002</v>
      </c>
      <c r="S851" s="64">
        <f t="shared" si="177"/>
        <v>63.75</v>
      </c>
      <c r="T851" s="66">
        <f t="shared" si="178"/>
        <v>679.28347482000004</v>
      </c>
      <c r="U851" s="68">
        <f t="shared" si="179"/>
        <v>39.957851460000001</v>
      </c>
      <c r="V851" s="68">
        <f t="shared" si="180"/>
        <v>468.25607179687495</v>
      </c>
      <c r="W851" s="68">
        <f t="shared" si="181"/>
        <v>312.17071453124998</v>
      </c>
    </row>
    <row r="852" spans="1:23" x14ac:dyDescent="0.25">
      <c r="A852" s="169" t="s">
        <v>894</v>
      </c>
      <c r="B852" s="61" t="s">
        <v>397</v>
      </c>
      <c r="C852" s="61" t="s">
        <v>591</v>
      </c>
      <c r="D852" s="61" t="s">
        <v>593</v>
      </c>
      <c r="E852" s="1" t="s">
        <v>370</v>
      </c>
      <c r="F852" s="62" t="str">
        <f t="shared" si="182"/>
        <v>64534</v>
      </c>
      <c r="G852" s="1">
        <v>10620038</v>
      </c>
      <c r="H852" s="1" t="s">
        <v>388</v>
      </c>
      <c r="I852" s="61">
        <v>24</v>
      </c>
      <c r="J852" s="61">
        <v>4.5</v>
      </c>
      <c r="K852" s="61">
        <v>8.1</v>
      </c>
      <c r="L852" s="69">
        <f t="shared" si="171"/>
        <v>1.08</v>
      </c>
      <c r="M852" s="69">
        <f t="shared" si="172"/>
        <v>1.9439999999999997</v>
      </c>
      <c r="N852" s="56">
        <f>INDEX(Rate_Chart!$A$1:$AK$127,MATCH(Data!J852,Rate_Chart!$A$1:$A$127,0),MATCH(Data!K852,Rate_Chart!$A$1:$AK$1,0))</f>
        <v>41.284125900000006</v>
      </c>
      <c r="O852" s="57">
        <f t="shared" si="173"/>
        <v>990.81902160000016</v>
      </c>
      <c r="P852" s="58">
        <f t="shared" si="174"/>
        <v>417.01137272727277</v>
      </c>
      <c r="Q852" s="58">
        <f t="shared" si="175"/>
        <v>278.00758181818185</v>
      </c>
      <c r="R852" s="66">
        <f t="shared" si="176"/>
        <v>17.339332878000004</v>
      </c>
      <c r="S852" s="64">
        <f t="shared" si="177"/>
        <v>90</v>
      </c>
      <c r="T852" s="66">
        <f t="shared" si="178"/>
        <v>1098.1583544780001</v>
      </c>
      <c r="U852" s="68">
        <f t="shared" si="179"/>
        <v>45.756598103250006</v>
      </c>
      <c r="V852" s="68">
        <f t="shared" si="180"/>
        <v>462.18785962878792</v>
      </c>
      <c r="W852" s="68">
        <f t="shared" si="181"/>
        <v>308.12523975252526</v>
      </c>
    </row>
    <row r="853" spans="1:23" x14ac:dyDescent="0.25">
      <c r="A853" s="169" t="s">
        <v>888</v>
      </c>
      <c r="B853" s="61" t="s">
        <v>396</v>
      </c>
      <c r="C853" s="61" t="s">
        <v>591</v>
      </c>
      <c r="D853" s="61" t="s">
        <v>595</v>
      </c>
      <c r="E853" s="1" t="s">
        <v>371</v>
      </c>
      <c r="F853" s="62" t="str">
        <f t="shared" si="182"/>
        <v>64537</v>
      </c>
      <c r="G853" s="1">
        <v>10620015</v>
      </c>
      <c r="H853" s="1" t="s">
        <v>387</v>
      </c>
      <c r="I853" s="61">
        <v>20</v>
      </c>
      <c r="J853" s="61">
        <v>7.3</v>
      </c>
      <c r="K853" s="61">
        <v>8.8000000000000007</v>
      </c>
      <c r="L853" s="69">
        <f t="shared" si="171"/>
        <v>1.46</v>
      </c>
      <c r="M853" s="69">
        <f t="shared" si="172"/>
        <v>1.76</v>
      </c>
      <c r="N853" s="56">
        <f>INDEX(Rate_Chart!$A$1:$AK$127,MATCH(Data!J853,Rate_Chart!$A$1:$A$127,0),MATCH(Data!K853,Rate_Chart!$A$1:$AK$1,0))</f>
        <v>60.34545</v>
      </c>
      <c r="O853" s="57">
        <f t="shared" si="173"/>
        <v>1206.9090000000001</v>
      </c>
      <c r="P853" s="58">
        <f t="shared" si="174"/>
        <v>458.31987341772157</v>
      </c>
      <c r="Q853" s="58">
        <f t="shared" si="175"/>
        <v>305.54658227848103</v>
      </c>
      <c r="R853" s="66">
        <f t="shared" si="176"/>
        <v>21.120907500000005</v>
      </c>
      <c r="S853" s="64">
        <f t="shared" si="177"/>
        <v>75</v>
      </c>
      <c r="T853" s="66">
        <f t="shared" si="178"/>
        <v>1303.0299075</v>
      </c>
      <c r="U853" s="68">
        <f t="shared" si="179"/>
        <v>65.151495374999996</v>
      </c>
      <c r="V853" s="68">
        <f t="shared" si="180"/>
        <v>494.82148386075949</v>
      </c>
      <c r="W853" s="68">
        <f t="shared" si="181"/>
        <v>329.88098924050632</v>
      </c>
    </row>
    <row r="854" spans="1:23" x14ac:dyDescent="0.25">
      <c r="A854" s="169" t="s">
        <v>888</v>
      </c>
      <c r="B854" s="61" t="s">
        <v>396</v>
      </c>
      <c r="C854" s="61" t="s">
        <v>591</v>
      </c>
      <c r="D854" s="61" t="s">
        <v>595</v>
      </c>
      <c r="E854" s="1" t="s">
        <v>371</v>
      </c>
      <c r="F854" s="62" t="str">
        <f t="shared" si="182"/>
        <v>64537</v>
      </c>
      <c r="G854" s="1">
        <v>10620015</v>
      </c>
      <c r="H854" s="1" t="s">
        <v>388</v>
      </c>
      <c r="I854" s="61">
        <v>41</v>
      </c>
      <c r="J854" s="61">
        <v>3</v>
      </c>
      <c r="K854" s="61">
        <v>8</v>
      </c>
      <c r="L854" s="69">
        <f t="shared" si="171"/>
        <v>1.23</v>
      </c>
      <c r="M854" s="69">
        <f t="shared" si="172"/>
        <v>3.28</v>
      </c>
      <c r="N854" s="56">
        <f>INDEX(Rate_Chart!$A$1:$AK$127,MATCH(Data!J854,Rate_Chart!$A$1:$A$127,0),MATCH(Data!K854,Rate_Chart!$A$1:$AK$1,0))</f>
        <v>34.751112000000006</v>
      </c>
      <c r="O854" s="57">
        <f t="shared" si="173"/>
        <v>1424.7955920000002</v>
      </c>
      <c r="P854" s="58">
        <f t="shared" si="174"/>
        <v>417.01334400000002</v>
      </c>
      <c r="Q854" s="58">
        <f t="shared" si="175"/>
        <v>278.00889599999999</v>
      </c>
      <c r="R854" s="66">
        <f t="shared" si="176"/>
        <v>24.933922860000006</v>
      </c>
      <c r="S854" s="64">
        <f t="shared" si="177"/>
        <v>153.75</v>
      </c>
      <c r="T854" s="66">
        <f t="shared" si="178"/>
        <v>1603.4795148600001</v>
      </c>
      <c r="U854" s="68">
        <f t="shared" si="179"/>
        <v>39.109256460000005</v>
      </c>
      <c r="V854" s="68">
        <f t="shared" si="180"/>
        <v>469.31107752000003</v>
      </c>
      <c r="W854" s="68">
        <f t="shared" si="181"/>
        <v>312.87405168000004</v>
      </c>
    </row>
    <row r="855" spans="1:23" x14ac:dyDescent="0.25">
      <c r="A855" s="169" t="s">
        <v>888</v>
      </c>
      <c r="B855" s="61" t="s">
        <v>397</v>
      </c>
      <c r="C855" s="61" t="s">
        <v>591</v>
      </c>
      <c r="D855" s="61" t="s">
        <v>595</v>
      </c>
      <c r="E855" s="1" t="s">
        <v>371</v>
      </c>
      <c r="F855" s="62" t="str">
        <f t="shared" si="182"/>
        <v>64537</v>
      </c>
      <c r="G855" s="1">
        <v>10620015</v>
      </c>
      <c r="H855" s="1" t="s">
        <v>388</v>
      </c>
      <c r="I855" s="61">
        <v>24</v>
      </c>
      <c r="J855" s="61">
        <v>4.8</v>
      </c>
      <c r="K855" s="61">
        <v>8.3000000000000007</v>
      </c>
      <c r="L855" s="69">
        <f t="shared" si="171"/>
        <v>1.1519999999999999</v>
      </c>
      <c r="M855" s="69">
        <f t="shared" si="172"/>
        <v>1.9920000000000002</v>
      </c>
      <c r="N855" s="56">
        <f>INDEX(Rate_Chart!$A$1:$AK$127,MATCH(Data!J855,Rate_Chart!$A$1:$A$127,0),MATCH(Data!K855,Rate_Chart!$A$1:$AK$1,0))</f>
        <v>43.091153700000007</v>
      </c>
      <c r="O855" s="57">
        <f t="shared" si="173"/>
        <v>1034.1876888000002</v>
      </c>
      <c r="P855" s="58">
        <f t="shared" si="174"/>
        <v>417.01116483870976</v>
      </c>
      <c r="Q855" s="58">
        <f t="shared" si="175"/>
        <v>278.00744322580653</v>
      </c>
      <c r="R855" s="66">
        <f t="shared" si="176"/>
        <v>18.098284554000003</v>
      </c>
      <c r="S855" s="64">
        <f t="shared" si="177"/>
        <v>90</v>
      </c>
      <c r="T855" s="66">
        <f t="shared" si="178"/>
        <v>1142.2859733540001</v>
      </c>
      <c r="U855" s="68">
        <f t="shared" si="179"/>
        <v>47.595248889750003</v>
      </c>
      <c r="V855" s="68">
        <f t="shared" si="180"/>
        <v>460.5991828040323</v>
      </c>
      <c r="W855" s="68">
        <f t="shared" si="181"/>
        <v>307.06612186935484</v>
      </c>
    </row>
    <row r="856" spans="1:23" x14ac:dyDescent="0.25">
      <c r="A856" s="169" t="s">
        <v>889</v>
      </c>
      <c r="B856" s="61" t="s">
        <v>396</v>
      </c>
      <c r="C856" s="61" t="s">
        <v>591</v>
      </c>
      <c r="D856" s="61" t="s">
        <v>595</v>
      </c>
      <c r="E856" s="1" t="s">
        <v>371</v>
      </c>
      <c r="F856" s="62" t="str">
        <f t="shared" si="182"/>
        <v>64537</v>
      </c>
      <c r="G856" s="1">
        <v>10620015</v>
      </c>
      <c r="H856" s="1" t="s">
        <v>387</v>
      </c>
      <c r="I856" s="61">
        <v>23</v>
      </c>
      <c r="J856" s="61">
        <v>7.1</v>
      </c>
      <c r="K856" s="61">
        <v>8.8000000000000007</v>
      </c>
      <c r="L856" s="69">
        <f t="shared" si="171"/>
        <v>1.6329999999999998</v>
      </c>
      <c r="M856" s="69">
        <f t="shared" si="172"/>
        <v>2.024</v>
      </c>
      <c r="N856" s="56">
        <f>INDEX(Rate_Chart!$A$1:$AK$127,MATCH(Data!J856,Rate_Chart!$A$1:$A$127,0),MATCH(Data!K856,Rate_Chart!$A$1:$AK$1,0))</f>
        <v>58.692149999999998</v>
      </c>
      <c r="O856" s="57">
        <f t="shared" si="173"/>
        <v>1349.9194499999999</v>
      </c>
      <c r="P856" s="58">
        <f t="shared" si="174"/>
        <v>452.63868894601546</v>
      </c>
      <c r="Q856" s="58">
        <f t="shared" si="175"/>
        <v>301.75912596401031</v>
      </c>
      <c r="R856" s="66">
        <f t="shared" si="176"/>
        <v>23.623590374999999</v>
      </c>
      <c r="S856" s="64">
        <f t="shared" si="177"/>
        <v>86.25</v>
      </c>
      <c r="T856" s="66">
        <f t="shared" si="178"/>
        <v>1459.7930403749999</v>
      </c>
      <c r="U856" s="68">
        <f t="shared" si="179"/>
        <v>63.469262624999999</v>
      </c>
      <c r="V856" s="68">
        <f t="shared" si="180"/>
        <v>489.48017448586126</v>
      </c>
      <c r="W856" s="68">
        <f t="shared" si="181"/>
        <v>326.32011632390748</v>
      </c>
    </row>
    <row r="857" spans="1:23" x14ac:dyDescent="0.25">
      <c r="A857" s="169" t="s">
        <v>889</v>
      </c>
      <c r="B857" s="61" t="s">
        <v>396</v>
      </c>
      <c r="C857" s="61" t="s">
        <v>591</v>
      </c>
      <c r="D857" s="61" t="s">
        <v>595</v>
      </c>
      <c r="E857" s="1" t="s">
        <v>371</v>
      </c>
      <c r="F857" s="62" t="str">
        <f t="shared" si="182"/>
        <v>64537</v>
      </c>
      <c r="G857" s="1">
        <v>10620015</v>
      </c>
      <c r="H857" s="1" t="s">
        <v>388</v>
      </c>
      <c r="I857" s="61">
        <v>35</v>
      </c>
      <c r="J857" s="61">
        <v>3.3</v>
      </c>
      <c r="K857" s="61">
        <v>8.1</v>
      </c>
      <c r="L857" s="69">
        <f t="shared" si="171"/>
        <v>1.155</v>
      </c>
      <c r="M857" s="69">
        <f t="shared" si="172"/>
        <v>2.835</v>
      </c>
      <c r="N857" s="56">
        <f>INDEX(Rate_Chart!$A$1:$AK$127,MATCH(Data!J857,Rate_Chart!$A$1:$A$127,0),MATCH(Data!K857,Rate_Chart!$A$1:$AK$1,0))</f>
        <v>36.280125900000002</v>
      </c>
      <c r="O857" s="57">
        <f t="shared" si="173"/>
        <v>1269.8044065000001</v>
      </c>
      <c r="P857" s="58">
        <f t="shared" si="174"/>
        <v>417.0129413793104</v>
      </c>
      <c r="Q857" s="58">
        <f t="shared" si="175"/>
        <v>278.00862758620696</v>
      </c>
      <c r="R857" s="66">
        <f t="shared" si="176"/>
        <v>22.221577113750005</v>
      </c>
      <c r="S857" s="64">
        <f t="shared" si="177"/>
        <v>131.25</v>
      </c>
      <c r="T857" s="66">
        <f t="shared" si="178"/>
        <v>1423.2759836137502</v>
      </c>
      <c r="U857" s="68">
        <f t="shared" si="179"/>
        <v>40.665028103250009</v>
      </c>
      <c r="V857" s="68">
        <f t="shared" si="180"/>
        <v>467.41411612931046</v>
      </c>
      <c r="W857" s="68">
        <f t="shared" si="181"/>
        <v>311.60941075287366</v>
      </c>
    </row>
    <row r="858" spans="1:23" x14ac:dyDescent="0.25">
      <c r="A858" s="169" t="s">
        <v>889</v>
      </c>
      <c r="B858" s="61" t="s">
        <v>397</v>
      </c>
      <c r="C858" s="61" t="s">
        <v>591</v>
      </c>
      <c r="D858" s="61" t="s">
        <v>595</v>
      </c>
      <c r="E858" s="1" t="s">
        <v>371</v>
      </c>
      <c r="F858" s="62" t="str">
        <f t="shared" si="182"/>
        <v>64537</v>
      </c>
      <c r="G858" s="1">
        <v>10620015</v>
      </c>
      <c r="H858" s="1" t="s">
        <v>388</v>
      </c>
      <c r="I858" s="61">
        <v>36</v>
      </c>
      <c r="J858" s="61">
        <v>4.5</v>
      </c>
      <c r="K858" s="61">
        <v>8.1</v>
      </c>
      <c r="L858" s="69">
        <f t="shared" si="171"/>
        <v>1.62</v>
      </c>
      <c r="M858" s="69">
        <f t="shared" si="172"/>
        <v>2.9159999999999995</v>
      </c>
      <c r="N858" s="56">
        <f>INDEX(Rate_Chart!$A$1:$AK$127,MATCH(Data!J858,Rate_Chart!$A$1:$A$127,0),MATCH(Data!K858,Rate_Chart!$A$1:$AK$1,0))</f>
        <v>41.284125900000006</v>
      </c>
      <c r="O858" s="57">
        <f t="shared" si="173"/>
        <v>1486.2285324000002</v>
      </c>
      <c r="P858" s="58">
        <f t="shared" si="174"/>
        <v>417.01137272727277</v>
      </c>
      <c r="Q858" s="58">
        <f t="shared" si="175"/>
        <v>278.00758181818185</v>
      </c>
      <c r="R858" s="66">
        <f t="shared" si="176"/>
        <v>26.008999317000004</v>
      </c>
      <c r="S858" s="64">
        <f t="shared" si="177"/>
        <v>135</v>
      </c>
      <c r="T858" s="66">
        <f t="shared" si="178"/>
        <v>1647.2375317170001</v>
      </c>
      <c r="U858" s="68">
        <f t="shared" si="179"/>
        <v>45.756598103250006</v>
      </c>
      <c r="V858" s="68">
        <f t="shared" si="180"/>
        <v>462.18785962878792</v>
      </c>
      <c r="W858" s="68">
        <f t="shared" si="181"/>
        <v>308.12523975252526</v>
      </c>
    </row>
    <row r="859" spans="1:23" x14ac:dyDescent="0.25">
      <c r="A859" s="169" t="s">
        <v>890</v>
      </c>
      <c r="B859" s="61" t="s">
        <v>396</v>
      </c>
      <c r="C859" s="61" t="s">
        <v>591</v>
      </c>
      <c r="D859" s="61" t="s">
        <v>595</v>
      </c>
      <c r="E859" s="1" t="s">
        <v>371</v>
      </c>
      <c r="F859" s="62" t="str">
        <f t="shared" si="182"/>
        <v>64537</v>
      </c>
      <c r="G859" s="1">
        <v>10620015</v>
      </c>
      <c r="H859" s="1" t="s">
        <v>387</v>
      </c>
      <c r="I859" s="61">
        <v>25</v>
      </c>
      <c r="J859" s="61">
        <v>6.7</v>
      </c>
      <c r="K859" s="61">
        <v>8.8000000000000007</v>
      </c>
      <c r="L859" s="69">
        <f t="shared" si="171"/>
        <v>1.675</v>
      </c>
      <c r="M859" s="69">
        <f t="shared" si="172"/>
        <v>2.2000000000000002</v>
      </c>
      <c r="N859" s="56">
        <f>INDEX(Rate_Chart!$A$1:$AK$127,MATCH(Data!J859,Rate_Chart!$A$1:$A$127,0),MATCH(Data!K859,Rate_Chart!$A$1:$AK$1,0))</f>
        <v>55.385550000000002</v>
      </c>
      <c r="O859" s="57">
        <f t="shared" si="173"/>
        <v>1384.6387500000001</v>
      </c>
      <c r="P859" s="58">
        <f t="shared" si="174"/>
        <v>440.73381962864721</v>
      </c>
      <c r="Q859" s="58">
        <f t="shared" si="175"/>
        <v>293.82254641909816</v>
      </c>
      <c r="R859" s="66">
        <f t="shared" si="176"/>
        <v>24.231178125000003</v>
      </c>
      <c r="S859" s="64">
        <f t="shared" si="177"/>
        <v>93.75</v>
      </c>
      <c r="T859" s="66">
        <f t="shared" si="178"/>
        <v>1502.6199281250001</v>
      </c>
      <c r="U859" s="68">
        <f t="shared" si="179"/>
        <v>60.104797125000005</v>
      </c>
      <c r="V859" s="68">
        <f t="shared" si="180"/>
        <v>478.28751027851456</v>
      </c>
      <c r="W859" s="68">
        <f t="shared" si="181"/>
        <v>318.85834018567635</v>
      </c>
    </row>
    <row r="860" spans="1:23" x14ac:dyDescent="0.25">
      <c r="A860" s="169" t="s">
        <v>890</v>
      </c>
      <c r="B860" s="61" t="s">
        <v>396</v>
      </c>
      <c r="C860" s="61" t="s">
        <v>591</v>
      </c>
      <c r="D860" s="61" t="s">
        <v>595</v>
      </c>
      <c r="E860" s="1" t="s">
        <v>371</v>
      </c>
      <c r="F860" s="62" t="str">
        <f t="shared" si="182"/>
        <v>64537</v>
      </c>
      <c r="G860" s="1">
        <v>10620015</v>
      </c>
      <c r="H860" s="1" t="s">
        <v>388</v>
      </c>
      <c r="I860" s="61">
        <v>38</v>
      </c>
      <c r="J860" s="61">
        <v>3.1</v>
      </c>
      <c r="K860" s="61">
        <v>8.1</v>
      </c>
      <c r="L860" s="69">
        <f t="shared" si="171"/>
        <v>1.1779999999999999</v>
      </c>
      <c r="M860" s="69">
        <f t="shared" si="172"/>
        <v>3.0780000000000003</v>
      </c>
      <c r="N860" s="56">
        <f>INDEX(Rate_Chart!$A$1:$AK$127,MATCH(Data!J860,Rate_Chart!$A$1:$A$127,0),MATCH(Data!K860,Rate_Chart!$A$1:$AK$1,0))</f>
        <v>35.446125899999998</v>
      </c>
      <c r="O860" s="57">
        <f t="shared" si="173"/>
        <v>1346.9527842</v>
      </c>
      <c r="P860" s="58">
        <f t="shared" si="174"/>
        <v>417.01324588235298</v>
      </c>
      <c r="Q860" s="58">
        <f t="shared" si="175"/>
        <v>278.0088305882353</v>
      </c>
      <c r="R860" s="66">
        <f t="shared" si="176"/>
        <v>23.571673723500002</v>
      </c>
      <c r="S860" s="64">
        <f t="shared" si="177"/>
        <v>142.5</v>
      </c>
      <c r="T860" s="66">
        <f t="shared" si="178"/>
        <v>1513.0244579235</v>
      </c>
      <c r="U860" s="68">
        <f t="shared" si="179"/>
        <v>39.816433103249999</v>
      </c>
      <c r="V860" s="68">
        <f t="shared" si="180"/>
        <v>468.42862474411766</v>
      </c>
      <c r="W860" s="68">
        <f t="shared" si="181"/>
        <v>312.28574982941177</v>
      </c>
    </row>
    <row r="861" spans="1:23" x14ac:dyDescent="0.25">
      <c r="A861" s="169" t="s">
        <v>890</v>
      </c>
      <c r="B861" s="61" t="s">
        <v>397</v>
      </c>
      <c r="C861" s="61" t="s">
        <v>591</v>
      </c>
      <c r="D861" s="61" t="s">
        <v>595</v>
      </c>
      <c r="E861" s="1" t="s">
        <v>371</v>
      </c>
      <c r="F861" s="62" t="str">
        <f t="shared" si="182"/>
        <v>64537</v>
      </c>
      <c r="G861" s="1">
        <v>10620015</v>
      </c>
      <c r="H861" s="1" t="s">
        <v>388</v>
      </c>
      <c r="I861" s="61">
        <v>27</v>
      </c>
      <c r="J861" s="61">
        <v>4.8</v>
      </c>
      <c r="K861" s="61">
        <v>8.3000000000000007</v>
      </c>
      <c r="L861" s="69">
        <f t="shared" si="171"/>
        <v>1.296</v>
      </c>
      <c r="M861" s="69">
        <f t="shared" si="172"/>
        <v>2.2410000000000001</v>
      </c>
      <c r="N861" s="56">
        <f>INDEX(Rate_Chart!$A$1:$AK$127,MATCH(Data!J861,Rate_Chart!$A$1:$A$127,0),MATCH(Data!K861,Rate_Chart!$A$1:$AK$1,0))</f>
        <v>43.091153700000007</v>
      </c>
      <c r="O861" s="57">
        <f t="shared" si="173"/>
        <v>1163.4611499000002</v>
      </c>
      <c r="P861" s="58">
        <f t="shared" si="174"/>
        <v>417.01116483870976</v>
      </c>
      <c r="Q861" s="58">
        <f t="shared" si="175"/>
        <v>278.00744322580653</v>
      </c>
      <c r="R861" s="66">
        <f t="shared" si="176"/>
        <v>20.360570123250007</v>
      </c>
      <c r="S861" s="64">
        <f t="shared" si="177"/>
        <v>101.25</v>
      </c>
      <c r="T861" s="66">
        <f t="shared" si="178"/>
        <v>1285.0717200232502</v>
      </c>
      <c r="U861" s="68">
        <f t="shared" si="179"/>
        <v>47.59524888975001</v>
      </c>
      <c r="V861" s="68">
        <f t="shared" si="180"/>
        <v>460.59918280403235</v>
      </c>
      <c r="W861" s="68">
        <f t="shared" si="181"/>
        <v>307.0661218693549</v>
      </c>
    </row>
    <row r="862" spans="1:23" x14ac:dyDescent="0.25">
      <c r="A862" s="169" t="s">
        <v>891</v>
      </c>
      <c r="B862" s="61" t="s">
        <v>396</v>
      </c>
      <c r="C862" s="61" t="s">
        <v>591</v>
      </c>
      <c r="D862" s="61" t="s">
        <v>595</v>
      </c>
      <c r="E862" s="1" t="s">
        <v>371</v>
      </c>
      <c r="F862" s="62" t="str">
        <f t="shared" si="182"/>
        <v>64537</v>
      </c>
      <c r="G862" s="1">
        <v>10620015</v>
      </c>
      <c r="H862" s="1" t="s">
        <v>387</v>
      </c>
      <c r="I862" s="61">
        <v>30</v>
      </c>
      <c r="J862" s="61">
        <v>7</v>
      </c>
      <c r="K862" s="61">
        <v>8.8000000000000007</v>
      </c>
      <c r="L862" s="69">
        <f t="shared" si="171"/>
        <v>2.1</v>
      </c>
      <c r="M862" s="69">
        <f t="shared" si="172"/>
        <v>2.64</v>
      </c>
      <c r="N862" s="56">
        <f>INDEX(Rate_Chart!$A$1:$AK$127,MATCH(Data!J862,Rate_Chart!$A$1:$A$127,0),MATCH(Data!K862,Rate_Chart!$A$1:$AK$1,0))</f>
        <v>57.865500000000004</v>
      </c>
      <c r="O862" s="57">
        <f t="shared" si="173"/>
        <v>1735.9650000000001</v>
      </c>
      <c r="P862" s="58">
        <f t="shared" si="174"/>
        <v>449.73186528497411</v>
      </c>
      <c r="Q862" s="58">
        <f t="shared" si="175"/>
        <v>299.82124352331607</v>
      </c>
      <c r="R862" s="66">
        <f t="shared" si="176"/>
        <v>30.379387500000007</v>
      </c>
      <c r="S862" s="64">
        <f t="shared" si="177"/>
        <v>112.5</v>
      </c>
      <c r="T862" s="66">
        <f t="shared" si="178"/>
        <v>1878.8443875000003</v>
      </c>
      <c r="U862" s="68">
        <f t="shared" si="179"/>
        <v>62.628146250000007</v>
      </c>
      <c r="V862" s="68">
        <f t="shared" si="180"/>
        <v>486.74725064766841</v>
      </c>
      <c r="W862" s="68">
        <f t="shared" si="181"/>
        <v>324.49816709844561</v>
      </c>
    </row>
    <row r="863" spans="1:23" x14ac:dyDescent="0.25">
      <c r="A863" s="169" t="s">
        <v>891</v>
      </c>
      <c r="B863" s="61" t="s">
        <v>396</v>
      </c>
      <c r="C863" s="61" t="s">
        <v>591</v>
      </c>
      <c r="D863" s="61" t="s">
        <v>595</v>
      </c>
      <c r="E863" s="1" t="s">
        <v>371</v>
      </c>
      <c r="F863" s="62" t="str">
        <f t="shared" si="182"/>
        <v>64537</v>
      </c>
      <c r="G863" s="1">
        <v>10620015</v>
      </c>
      <c r="H863" s="1" t="s">
        <v>388</v>
      </c>
      <c r="I863" s="61">
        <v>35</v>
      </c>
      <c r="J863" s="61">
        <v>3.1</v>
      </c>
      <c r="K863" s="61">
        <v>8</v>
      </c>
      <c r="L863" s="69">
        <f t="shared" si="171"/>
        <v>1.085</v>
      </c>
      <c r="M863" s="69">
        <f t="shared" si="172"/>
        <v>2.8</v>
      </c>
      <c r="N863" s="56">
        <f>INDEX(Rate_Chart!$A$1:$AK$127,MATCH(Data!J863,Rate_Chart!$A$1:$A$127,0),MATCH(Data!K863,Rate_Chart!$A$1:$AK$1,0))</f>
        <v>35.168112000000008</v>
      </c>
      <c r="O863" s="57">
        <f t="shared" si="173"/>
        <v>1230.8839200000002</v>
      </c>
      <c r="P863" s="58">
        <f t="shared" si="174"/>
        <v>417.01318577075102</v>
      </c>
      <c r="Q863" s="58">
        <f t="shared" si="175"/>
        <v>278.00879051383401</v>
      </c>
      <c r="R863" s="66">
        <f t="shared" si="176"/>
        <v>21.540468600000004</v>
      </c>
      <c r="S863" s="64">
        <f t="shared" si="177"/>
        <v>131.25</v>
      </c>
      <c r="T863" s="66">
        <f t="shared" si="178"/>
        <v>1383.6743886000002</v>
      </c>
      <c r="U863" s="68">
        <f t="shared" si="179"/>
        <v>39.533553960000006</v>
      </c>
      <c r="V863" s="68">
        <f t="shared" si="180"/>
        <v>468.77731968379447</v>
      </c>
      <c r="W863" s="68">
        <f t="shared" si="181"/>
        <v>312.51821312252963</v>
      </c>
    </row>
    <row r="864" spans="1:23" x14ac:dyDescent="0.25">
      <c r="A864" s="169" t="s">
        <v>891</v>
      </c>
      <c r="B864" s="61" t="s">
        <v>397</v>
      </c>
      <c r="C864" s="61" t="s">
        <v>591</v>
      </c>
      <c r="D864" s="61" t="s">
        <v>595</v>
      </c>
      <c r="E864" s="1" t="s">
        <v>371</v>
      </c>
      <c r="F864" s="62" t="str">
        <f t="shared" si="182"/>
        <v>64537</v>
      </c>
      <c r="G864" s="1">
        <v>10620015</v>
      </c>
      <c r="H864" s="1" t="s">
        <v>387</v>
      </c>
      <c r="I864" s="61">
        <v>19</v>
      </c>
      <c r="J864" s="61">
        <v>5.6</v>
      </c>
      <c r="K864" s="61">
        <v>8.8000000000000007</v>
      </c>
      <c r="L864" s="69">
        <f t="shared" si="171"/>
        <v>1.0639999999999998</v>
      </c>
      <c r="M864" s="69">
        <f t="shared" si="172"/>
        <v>1.6720000000000002</v>
      </c>
      <c r="N864" s="56">
        <f>INDEX(Rate_Chart!$A$1:$AK$127,MATCH(Data!J864,Rate_Chart!$A$1:$A$127,0),MATCH(Data!K864,Rate_Chart!$A$1:$AK$1,0))</f>
        <v>46.292400000000001</v>
      </c>
      <c r="O864" s="57">
        <f t="shared" si="173"/>
        <v>879.55560000000003</v>
      </c>
      <c r="P864" s="58">
        <f t="shared" si="174"/>
        <v>403.71279069767445</v>
      </c>
      <c r="Q864" s="58">
        <f t="shared" si="175"/>
        <v>269.14186046511628</v>
      </c>
      <c r="R864" s="66">
        <f t="shared" si="176"/>
        <v>15.392223000000001</v>
      </c>
      <c r="S864" s="64">
        <f t="shared" si="177"/>
        <v>71.25</v>
      </c>
      <c r="T864" s="66">
        <f t="shared" si="178"/>
        <v>966.19782299999997</v>
      </c>
      <c r="U864" s="68">
        <f t="shared" si="179"/>
        <v>50.852516999999999</v>
      </c>
      <c r="V864" s="68">
        <f t="shared" si="180"/>
        <v>443.48125290697675</v>
      </c>
      <c r="W864" s="68">
        <f t="shared" si="181"/>
        <v>295.65416860465115</v>
      </c>
    </row>
    <row r="865" spans="1:23" x14ac:dyDescent="0.25">
      <c r="A865" s="169" t="s">
        <v>892</v>
      </c>
      <c r="B865" s="61" t="s">
        <v>396</v>
      </c>
      <c r="C865" s="61" t="s">
        <v>591</v>
      </c>
      <c r="D865" s="61" t="s">
        <v>595</v>
      </c>
      <c r="E865" s="1" t="s">
        <v>371</v>
      </c>
      <c r="F865" s="62" t="str">
        <f t="shared" si="182"/>
        <v>64537</v>
      </c>
      <c r="G865" s="1">
        <v>10620015</v>
      </c>
      <c r="H865" s="1" t="s">
        <v>387</v>
      </c>
      <c r="I865" s="61">
        <v>27</v>
      </c>
      <c r="J865" s="61">
        <v>7.4</v>
      </c>
      <c r="K865" s="61">
        <v>8.8000000000000007</v>
      </c>
      <c r="L865" s="69">
        <f t="shared" si="171"/>
        <v>1.9980000000000002</v>
      </c>
      <c r="M865" s="69">
        <f t="shared" si="172"/>
        <v>2.3760000000000003</v>
      </c>
      <c r="N865" s="56">
        <f>INDEX(Rate_Chart!$A$1:$AK$127,MATCH(Data!J865,Rate_Chart!$A$1:$A$127,0),MATCH(Data!K865,Rate_Chart!$A$1:$AK$1,0))</f>
        <v>61.172100000000007</v>
      </c>
      <c r="O865" s="57">
        <f t="shared" si="173"/>
        <v>1651.6467000000002</v>
      </c>
      <c r="P865" s="58">
        <f t="shared" si="174"/>
        <v>461.09623115577887</v>
      </c>
      <c r="Q865" s="58">
        <f t="shared" si="175"/>
        <v>307.39748743718593</v>
      </c>
      <c r="R865" s="66">
        <f t="shared" si="176"/>
        <v>28.903817250000007</v>
      </c>
      <c r="S865" s="64">
        <f t="shared" si="177"/>
        <v>101.25</v>
      </c>
      <c r="T865" s="66">
        <f t="shared" si="178"/>
        <v>1781.8005172500002</v>
      </c>
      <c r="U865" s="68">
        <f t="shared" si="179"/>
        <v>65.992611750000009</v>
      </c>
      <c r="V865" s="68">
        <f t="shared" si="180"/>
        <v>497.43174685929648</v>
      </c>
      <c r="W865" s="68">
        <f t="shared" si="181"/>
        <v>331.6211645728643</v>
      </c>
    </row>
    <row r="866" spans="1:23" x14ac:dyDescent="0.25">
      <c r="A866" s="169" t="s">
        <v>892</v>
      </c>
      <c r="B866" s="61" t="s">
        <v>396</v>
      </c>
      <c r="C866" s="61" t="s">
        <v>591</v>
      </c>
      <c r="D866" s="61" t="s">
        <v>595</v>
      </c>
      <c r="E866" s="1" t="s">
        <v>371</v>
      </c>
      <c r="F866" s="62" t="str">
        <f t="shared" si="182"/>
        <v>64537</v>
      </c>
      <c r="G866" s="1">
        <v>10620015</v>
      </c>
      <c r="H866" s="1" t="s">
        <v>388</v>
      </c>
      <c r="I866" s="61">
        <v>41</v>
      </c>
      <c r="J866" s="61">
        <v>3.2</v>
      </c>
      <c r="K866" s="61">
        <v>8.1</v>
      </c>
      <c r="L866" s="69">
        <f t="shared" si="171"/>
        <v>1.3120000000000003</v>
      </c>
      <c r="M866" s="69">
        <f t="shared" si="172"/>
        <v>3.3209999999999997</v>
      </c>
      <c r="N866" s="56">
        <f>INDEX(Rate_Chart!$A$1:$AK$127,MATCH(Data!J866,Rate_Chart!$A$1:$A$127,0),MATCH(Data!K866,Rate_Chart!$A$1:$AK$1,0))</f>
        <v>35.8631259</v>
      </c>
      <c r="O866" s="57">
        <f t="shared" si="173"/>
        <v>1470.3881618999999</v>
      </c>
      <c r="P866" s="58">
        <f t="shared" si="174"/>
        <v>417.01309186046512</v>
      </c>
      <c r="Q866" s="58">
        <f t="shared" si="175"/>
        <v>278.00872790697673</v>
      </c>
      <c r="R866" s="66">
        <f t="shared" si="176"/>
        <v>25.731792833250001</v>
      </c>
      <c r="S866" s="64">
        <f t="shared" si="177"/>
        <v>153.75</v>
      </c>
      <c r="T866" s="66">
        <f t="shared" si="178"/>
        <v>1649.8699547332499</v>
      </c>
      <c r="U866" s="68">
        <f t="shared" si="179"/>
        <v>40.24073060325</v>
      </c>
      <c r="V866" s="68">
        <f t="shared" si="180"/>
        <v>467.91547213081401</v>
      </c>
      <c r="W866" s="68">
        <f t="shared" si="181"/>
        <v>311.94364808720934</v>
      </c>
    </row>
    <row r="867" spans="1:23" x14ac:dyDescent="0.25">
      <c r="A867" s="169" t="s">
        <v>892</v>
      </c>
      <c r="B867" s="61" t="s">
        <v>397</v>
      </c>
      <c r="C867" s="61" t="s">
        <v>591</v>
      </c>
      <c r="D867" s="61" t="s">
        <v>595</v>
      </c>
      <c r="E867" s="1" t="s">
        <v>371</v>
      </c>
      <c r="F867" s="62" t="str">
        <f t="shared" si="182"/>
        <v>64537</v>
      </c>
      <c r="G867" s="1">
        <v>10620015</v>
      </c>
      <c r="H867" s="1" t="s">
        <v>388</v>
      </c>
      <c r="I867" s="61">
        <v>25</v>
      </c>
      <c r="J867" s="61">
        <v>4.7</v>
      </c>
      <c r="K867" s="61">
        <v>8.4</v>
      </c>
      <c r="L867" s="69">
        <f t="shared" si="171"/>
        <v>1.175</v>
      </c>
      <c r="M867" s="69">
        <f t="shared" si="172"/>
        <v>2.1</v>
      </c>
      <c r="N867" s="56">
        <f>INDEX(Rate_Chart!$A$1:$AK$127,MATCH(Data!J867,Rate_Chart!$A$1:$A$127,0),MATCH(Data!K867,Rate_Chart!$A$1:$AK$1,0))</f>
        <v>42.95216760000001</v>
      </c>
      <c r="O867" s="57">
        <f t="shared" si="173"/>
        <v>1073.8041900000003</v>
      </c>
      <c r="P867" s="58">
        <f t="shared" si="174"/>
        <v>417.01133592233015</v>
      </c>
      <c r="Q867" s="58">
        <f t="shared" si="175"/>
        <v>278.00755728155343</v>
      </c>
      <c r="R867" s="66">
        <f t="shared" si="176"/>
        <v>18.791573325000005</v>
      </c>
      <c r="S867" s="64">
        <f t="shared" si="177"/>
        <v>93.75</v>
      </c>
      <c r="T867" s="66">
        <f t="shared" si="178"/>
        <v>1186.3457633250002</v>
      </c>
      <c r="U867" s="68">
        <f t="shared" si="179"/>
        <v>47.453830533000009</v>
      </c>
      <c r="V867" s="68">
        <f t="shared" si="180"/>
        <v>460.71680129126219</v>
      </c>
      <c r="W867" s="68">
        <f t="shared" si="181"/>
        <v>307.14453419417481</v>
      </c>
    </row>
    <row r="868" spans="1:23" x14ac:dyDescent="0.25">
      <c r="A868" s="169" t="s">
        <v>893</v>
      </c>
      <c r="B868" s="61" t="s">
        <v>396</v>
      </c>
      <c r="C868" s="61" t="s">
        <v>591</v>
      </c>
      <c r="D868" s="61" t="s">
        <v>595</v>
      </c>
      <c r="E868" s="1" t="s">
        <v>371</v>
      </c>
      <c r="F868" s="62" t="str">
        <f t="shared" si="182"/>
        <v>64537</v>
      </c>
      <c r="G868" s="1">
        <v>10620015</v>
      </c>
      <c r="H868" s="1" t="s">
        <v>387</v>
      </c>
      <c r="I868" s="61">
        <v>26</v>
      </c>
      <c r="J868" s="61">
        <v>7.1</v>
      </c>
      <c r="K868" s="61">
        <v>8.8000000000000007</v>
      </c>
      <c r="L868" s="69">
        <f t="shared" si="171"/>
        <v>1.8459999999999999</v>
      </c>
      <c r="M868" s="69">
        <f t="shared" si="172"/>
        <v>2.2880000000000003</v>
      </c>
      <c r="N868" s="56">
        <f>INDEX(Rate_Chart!$A$1:$AK$127,MATCH(Data!J868,Rate_Chart!$A$1:$A$127,0),MATCH(Data!K868,Rate_Chart!$A$1:$AK$1,0))</f>
        <v>58.692149999999998</v>
      </c>
      <c r="O868" s="57">
        <f t="shared" si="173"/>
        <v>1525.9958999999999</v>
      </c>
      <c r="P868" s="58">
        <f t="shared" si="174"/>
        <v>452.63868894601546</v>
      </c>
      <c r="Q868" s="58">
        <f t="shared" si="175"/>
        <v>301.75912596401031</v>
      </c>
      <c r="R868" s="66">
        <f t="shared" si="176"/>
        <v>26.704928250000002</v>
      </c>
      <c r="S868" s="64">
        <f t="shared" si="177"/>
        <v>97.5</v>
      </c>
      <c r="T868" s="66">
        <f t="shared" si="178"/>
        <v>1650.2008282499999</v>
      </c>
      <c r="U868" s="68">
        <f t="shared" si="179"/>
        <v>63.469262624999992</v>
      </c>
      <c r="V868" s="68">
        <f t="shared" si="180"/>
        <v>489.4801744858612</v>
      </c>
      <c r="W868" s="68">
        <f t="shared" si="181"/>
        <v>326.32011632390748</v>
      </c>
    </row>
    <row r="869" spans="1:23" x14ac:dyDescent="0.25">
      <c r="A869" s="169" t="s">
        <v>893</v>
      </c>
      <c r="B869" s="61" t="s">
        <v>396</v>
      </c>
      <c r="C869" s="61" t="s">
        <v>591</v>
      </c>
      <c r="D869" s="61" t="s">
        <v>595</v>
      </c>
      <c r="E869" s="1" t="s">
        <v>371</v>
      </c>
      <c r="F869" s="62" t="str">
        <f t="shared" si="182"/>
        <v>64537</v>
      </c>
      <c r="G869" s="1">
        <v>10620015</v>
      </c>
      <c r="H869" s="1" t="s">
        <v>388</v>
      </c>
      <c r="I869" s="61">
        <v>41</v>
      </c>
      <c r="J869" s="61">
        <v>3.4</v>
      </c>
      <c r="K869" s="61">
        <v>8.1</v>
      </c>
      <c r="L869" s="69">
        <f t="shared" si="171"/>
        <v>1.3940000000000001</v>
      </c>
      <c r="M869" s="69">
        <f t="shared" si="172"/>
        <v>3.3209999999999997</v>
      </c>
      <c r="N869" s="56">
        <f>INDEX(Rate_Chart!$A$1:$AK$127,MATCH(Data!J869,Rate_Chart!$A$1:$A$127,0),MATCH(Data!K869,Rate_Chart!$A$1:$AK$1,0))</f>
        <v>36.697125900000003</v>
      </c>
      <c r="O869" s="57">
        <f t="shared" si="173"/>
        <v>1504.5821619000001</v>
      </c>
      <c r="P869" s="58">
        <f t="shared" si="174"/>
        <v>417.01279431818188</v>
      </c>
      <c r="Q869" s="58">
        <f t="shared" si="175"/>
        <v>278.00852954545456</v>
      </c>
      <c r="R869" s="66">
        <f t="shared" si="176"/>
        <v>26.330187833250005</v>
      </c>
      <c r="S869" s="64">
        <f t="shared" si="177"/>
        <v>153.75</v>
      </c>
      <c r="T869" s="66">
        <f t="shared" si="178"/>
        <v>1684.66234973325</v>
      </c>
      <c r="U869" s="68">
        <f t="shared" si="179"/>
        <v>41.089325603250003</v>
      </c>
      <c r="V869" s="68">
        <f t="shared" si="180"/>
        <v>466.92415458238645</v>
      </c>
      <c r="W869" s="68">
        <f t="shared" si="181"/>
        <v>311.28276972159097</v>
      </c>
    </row>
    <row r="870" spans="1:23" x14ac:dyDescent="0.25">
      <c r="A870" s="169" t="s">
        <v>893</v>
      </c>
      <c r="B870" s="61" t="s">
        <v>397</v>
      </c>
      <c r="C870" s="61" t="s">
        <v>591</v>
      </c>
      <c r="D870" s="61" t="s">
        <v>595</v>
      </c>
      <c r="E870" s="1" t="s">
        <v>371</v>
      </c>
      <c r="F870" s="62" t="str">
        <f t="shared" si="182"/>
        <v>64537</v>
      </c>
      <c r="G870" s="1">
        <v>10620015</v>
      </c>
      <c r="H870" s="1" t="s">
        <v>388</v>
      </c>
      <c r="I870" s="61">
        <v>30</v>
      </c>
      <c r="J870" s="61">
        <v>4.3</v>
      </c>
      <c r="K870" s="61">
        <v>8.1</v>
      </c>
      <c r="L870" s="69">
        <f t="shared" si="171"/>
        <v>1.29</v>
      </c>
      <c r="M870" s="69">
        <f t="shared" si="172"/>
        <v>2.4300000000000002</v>
      </c>
      <c r="N870" s="56">
        <f>INDEX(Rate_Chart!$A$1:$AK$127,MATCH(Data!J870,Rate_Chart!$A$1:$A$127,0),MATCH(Data!K870,Rate_Chart!$A$1:$AK$1,0))</f>
        <v>40.450125900000003</v>
      </c>
      <c r="O870" s="57">
        <f t="shared" si="173"/>
        <v>1213.5037770000001</v>
      </c>
      <c r="P870" s="58">
        <f t="shared" si="174"/>
        <v>417.01160721649489</v>
      </c>
      <c r="Q870" s="58">
        <f t="shared" si="175"/>
        <v>278.00773814432995</v>
      </c>
      <c r="R870" s="66">
        <f t="shared" si="176"/>
        <v>21.236316097500005</v>
      </c>
      <c r="S870" s="64">
        <f t="shared" si="177"/>
        <v>112.5</v>
      </c>
      <c r="T870" s="66">
        <f t="shared" si="178"/>
        <v>1347.2400930975002</v>
      </c>
      <c r="U870" s="68">
        <f t="shared" si="179"/>
        <v>44.90800310325001</v>
      </c>
      <c r="V870" s="68">
        <f t="shared" si="180"/>
        <v>462.96910415721658</v>
      </c>
      <c r="W870" s="68">
        <f t="shared" si="181"/>
        <v>308.64606943814437</v>
      </c>
    </row>
    <row r="871" spans="1:23" x14ac:dyDescent="0.25">
      <c r="A871" s="169" t="s">
        <v>894</v>
      </c>
      <c r="B871" s="61" t="s">
        <v>396</v>
      </c>
      <c r="C871" s="61" t="s">
        <v>591</v>
      </c>
      <c r="D871" s="61" t="s">
        <v>595</v>
      </c>
      <c r="E871" s="1" t="s">
        <v>371</v>
      </c>
      <c r="F871" s="62" t="str">
        <f t="shared" si="182"/>
        <v>64537</v>
      </c>
      <c r="G871" s="1">
        <v>10620015</v>
      </c>
      <c r="H871" s="1" t="s">
        <v>387</v>
      </c>
      <c r="I871" s="61">
        <v>24</v>
      </c>
      <c r="J871" s="61">
        <v>7.2</v>
      </c>
      <c r="K871" s="61">
        <v>8.8000000000000007</v>
      </c>
      <c r="L871" s="69">
        <f t="shared" si="171"/>
        <v>1.7280000000000002</v>
      </c>
      <c r="M871" s="69">
        <f t="shared" si="172"/>
        <v>2.1120000000000001</v>
      </c>
      <c r="N871" s="56">
        <f>INDEX(Rate_Chart!$A$1:$AK$127,MATCH(Data!J871,Rate_Chart!$A$1:$A$127,0),MATCH(Data!K871,Rate_Chart!$A$1:$AK$1,0))</f>
        <v>59.518800000000006</v>
      </c>
      <c r="O871" s="57">
        <f t="shared" si="173"/>
        <v>1428.4512000000002</v>
      </c>
      <c r="P871" s="58">
        <f t="shared" si="174"/>
        <v>455.50102040816324</v>
      </c>
      <c r="Q871" s="58">
        <f t="shared" si="175"/>
        <v>303.66734693877549</v>
      </c>
      <c r="R871" s="66">
        <f t="shared" si="176"/>
        <v>24.997896000000004</v>
      </c>
      <c r="S871" s="64">
        <f t="shared" si="177"/>
        <v>90</v>
      </c>
      <c r="T871" s="66">
        <f t="shared" si="178"/>
        <v>1543.4490960000003</v>
      </c>
      <c r="U871" s="68">
        <f t="shared" si="179"/>
        <v>64.310379000000012</v>
      </c>
      <c r="V871" s="68">
        <f t="shared" si="180"/>
        <v>492.17126785714288</v>
      </c>
      <c r="W871" s="68">
        <f t="shared" si="181"/>
        <v>328.11417857142857</v>
      </c>
    </row>
    <row r="872" spans="1:23" x14ac:dyDescent="0.25">
      <c r="A872" s="169" t="s">
        <v>894</v>
      </c>
      <c r="B872" s="61" t="s">
        <v>396</v>
      </c>
      <c r="C872" s="61" t="s">
        <v>591</v>
      </c>
      <c r="D872" s="61" t="s">
        <v>595</v>
      </c>
      <c r="E872" s="1" t="s">
        <v>371</v>
      </c>
      <c r="F872" s="62" t="str">
        <f t="shared" si="182"/>
        <v>64537</v>
      </c>
      <c r="G872" s="1">
        <v>10620015</v>
      </c>
      <c r="H872" s="1" t="s">
        <v>388</v>
      </c>
      <c r="I872" s="61">
        <v>30</v>
      </c>
      <c r="J872" s="61">
        <v>3.3</v>
      </c>
      <c r="K872" s="61">
        <v>8.1</v>
      </c>
      <c r="L872" s="69">
        <f t="shared" si="171"/>
        <v>0.99</v>
      </c>
      <c r="M872" s="69">
        <f t="shared" si="172"/>
        <v>2.4300000000000002</v>
      </c>
      <c r="N872" s="56">
        <f>INDEX(Rate_Chart!$A$1:$AK$127,MATCH(Data!J872,Rate_Chart!$A$1:$A$127,0),MATCH(Data!K872,Rate_Chart!$A$1:$AK$1,0))</f>
        <v>36.280125900000002</v>
      </c>
      <c r="O872" s="57">
        <f t="shared" si="173"/>
        <v>1088.403777</v>
      </c>
      <c r="P872" s="58">
        <f t="shared" si="174"/>
        <v>417.0129413793104</v>
      </c>
      <c r="Q872" s="58">
        <f t="shared" si="175"/>
        <v>278.00862758620696</v>
      </c>
      <c r="R872" s="66">
        <f t="shared" si="176"/>
        <v>19.0470660975</v>
      </c>
      <c r="S872" s="64">
        <f t="shared" si="177"/>
        <v>112.5</v>
      </c>
      <c r="T872" s="66">
        <f t="shared" si="178"/>
        <v>1219.9508430975</v>
      </c>
      <c r="U872" s="68">
        <f t="shared" si="179"/>
        <v>40.665028103250002</v>
      </c>
      <c r="V872" s="68">
        <f t="shared" si="180"/>
        <v>467.4141161293104</v>
      </c>
      <c r="W872" s="68">
        <f t="shared" si="181"/>
        <v>311.6094107528736</v>
      </c>
    </row>
    <row r="873" spans="1:23" x14ac:dyDescent="0.25">
      <c r="A873" s="169" t="s">
        <v>894</v>
      </c>
      <c r="B873" s="61" t="s">
        <v>397</v>
      </c>
      <c r="C873" s="61" t="s">
        <v>591</v>
      </c>
      <c r="D873" s="61" t="s">
        <v>595</v>
      </c>
      <c r="E873" s="1" t="s">
        <v>371</v>
      </c>
      <c r="F873" s="62" t="str">
        <f t="shared" si="182"/>
        <v>64537</v>
      </c>
      <c r="G873" s="1">
        <v>10620015</v>
      </c>
      <c r="H873" s="1" t="s">
        <v>388</v>
      </c>
      <c r="I873" s="61">
        <v>22</v>
      </c>
      <c r="J873" s="61">
        <v>4.3</v>
      </c>
      <c r="K873" s="61">
        <v>8.1</v>
      </c>
      <c r="L873" s="69">
        <f t="shared" si="171"/>
        <v>0.94599999999999995</v>
      </c>
      <c r="M873" s="69">
        <f t="shared" si="172"/>
        <v>1.7819999999999998</v>
      </c>
      <c r="N873" s="56">
        <f>INDEX(Rate_Chart!$A$1:$AK$127,MATCH(Data!J873,Rate_Chart!$A$1:$A$127,0),MATCH(Data!K873,Rate_Chart!$A$1:$AK$1,0))</f>
        <v>40.450125900000003</v>
      </c>
      <c r="O873" s="57">
        <f t="shared" si="173"/>
        <v>889.9027698000001</v>
      </c>
      <c r="P873" s="58">
        <f t="shared" si="174"/>
        <v>417.01160721649489</v>
      </c>
      <c r="Q873" s="58">
        <f t="shared" si="175"/>
        <v>278.00773814432995</v>
      </c>
      <c r="R873" s="66">
        <f t="shared" si="176"/>
        <v>15.573298471500003</v>
      </c>
      <c r="S873" s="64">
        <f t="shared" si="177"/>
        <v>82.5</v>
      </c>
      <c r="T873" s="66">
        <f t="shared" si="178"/>
        <v>987.97606827150014</v>
      </c>
      <c r="U873" s="68">
        <f t="shared" si="179"/>
        <v>44.908003103250003</v>
      </c>
      <c r="V873" s="68">
        <f t="shared" si="180"/>
        <v>462.96910415721652</v>
      </c>
      <c r="W873" s="68">
        <f t="shared" si="181"/>
        <v>308.64606943814437</v>
      </c>
    </row>
    <row r="874" spans="1:23" x14ac:dyDescent="0.25">
      <c r="A874" s="169" t="s">
        <v>888</v>
      </c>
      <c r="B874" s="61" t="s">
        <v>396</v>
      </c>
      <c r="C874" s="61" t="s">
        <v>591</v>
      </c>
      <c r="D874" s="61" t="s">
        <v>592</v>
      </c>
      <c r="E874" s="1" t="s">
        <v>372</v>
      </c>
      <c r="F874" s="62" t="str">
        <f t="shared" si="182"/>
        <v>64539</v>
      </c>
      <c r="G874" s="1">
        <v>10620068</v>
      </c>
      <c r="H874" s="1" t="s">
        <v>387</v>
      </c>
      <c r="I874" s="61">
        <v>2</v>
      </c>
      <c r="J874" s="61">
        <v>5.6</v>
      </c>
      <c r="K874" s="61">
        <v>8.5</v>
      </c>
      <c r="L874" s="69">
        <f t="shared" si="171"/>
        <v>0.11199999999999999</v>
      </c>
      <c r="M874" s="69">
        <f t="shared" si="172"/>
        <v>0.17</v>
      </c>
      <c r="N874" s="56">
        <f>INDEX(Rate_Chart!$A$1:$AK$127,MATCH(Data!J874,Rate_Chart!$A$1:$A$127,0),MATCH(Data!K874,Rate_Chart!$A$1:$AK$1,0))</f>
        <v>45.357199999999999</v>
      </c>
      <c r="O874" s="57">
        <f t="shared" si="173"/>
        <v>90.714399999999998</v>
      </c>
      <c r="P874" s="58">
        <f t="shared" si="174"/>
        <v>402.57869822485208</v>
      </c>
      <c r="Q874" s="58">
        <f t="shared" si="175"/>
        <v>268.38579881656807</v>
      </c>
      <c r="R874" s="66">
        <f t="shared" si="176"/>
        <v>1.5875020000000002</v>
      </c>
      <c r="S874" s="64">
        <f t="shared" si="177"/>
        <v>7.5</v>
      </c>
      <c r="T874" s="66">
        <f t="shared" si="178"/>
        <v>99.801901999999998</v>
      </c>
      <c r="U874" s="68">
        <f t="shared" si="179"/>
        <v>49.900950999999999</v>
      </c>
      <c r="V874" s="68">
        <f t="shared" si="180"/>
        <v>442.90784911242605</v>
      </c>
      <c r="W874" s="68">
        <f t="shared" si="181"/>
        <v>295.27189940828401</v>
      </c>
    </row>
    <row r="875" spans="1:23" x14ac:dyDescent="0.25">
      <c r="A875" s="169" t="s">
        <v>888</v>
      </c>
      <c r="B875" s="61" t="s">
        <v>397</v>
      </c>
      <c r="C875" s="61" t="s">
        <v>591</v>
      </c>
      <c r="D875" s="61" t="s">
        <v>592</v>
      </c>
      <c r="E875" s="1" t="s">
        <v>372</v>
      </c>
      <c r="F875" s="62" t="str">
        <f t="shared" si="182"/>
        <v>64539</v>
      </c>
      <c r="G875" s="1">
        <v>10620068</v>
      </c>
      <c r="H875" s="1" t="s">
        <v>387</v>
      </c>
      <c r="I875" s="61">
        <v>36</v>
      </c>
      <c r="J875" s="61">
        <v>6.8</v>
      </c>
      <c r="K875" s="61">
        <v>9</v>
      </c>
      <c r="L875" s="69">
        <f t="shared" si="171"/>
        <v>2.448</v>
      </c>
      <c r="M875" s="69">
        <f t="shared" si="172"/>
        <v>3.24</v>
      </c>
      <c r="N875" s="56">
        <f>INDEX(Rate_Chart!$A$1:$AK$127,MATCH(Data!J875,Rate_Chart!$A$1:$A$127,0),MATCH(Data!K875,Rate_Chart!$A$1:$AK$1,0))</f>
        <v>56.78</v>
      </c>
      <c r="O875" s="57">
        <f t="shared" si="173"/>
        <v>2044.08</v>
      </c>
      <c r="P875" s="58">
        <f t="shared" si="174"/>
        <v>443.59375</v>
      </c>
      <c r="Q875" s="58">
        <f t="shared" si="175"/>
        <v>295.72916666666669</v>
      </c>
      <c r="R875" s="66">
        <f t="shared" si="176"/>
        <v>35.7714</v>
      </c>
      <c r="S875" s="64">
        <f t="shared" si="177"/>
        <v>135</v>
      </c>
      <c r="T875" s="66">
        <f t="shared" si="178"/>
        <v>2214.8514</v>
      </c>
      <c r="U875" s="68">
        <f t="shared" si="179"/>
        <v>61.523650000000004</v>
      </c>
      <c r="V875" s="68">
        <f t="shared" si="180"/>
        <v>480.65351562500001</v>
      </c>
      <c r="W875" s="68">
        <f t="shared" si="181"/>
        <v>320.43567708333336</v>
      </c>
    </row>
    <row r="876" spans="1:23" x14ac:dyDescent="0.25">
      <c r="A876" s="169" t="s">
        <v>888</v>
      </c>
      <c r="B876" s="61" t="s">
        <v>397</v>
      </c>
      <c r="C876" s="61" t="s">
        <v>591</v>
      </c>
      <c r="D876" s="61" t="s">
        <v>592</v>
      </c>
      <c r="E876" s="1" t="s">
        <v>372</v>
      </c>
      <c r="F876" s="62" t="str">
        <f t="shared" si="182"/>
        <v>64539</v>
      </c>
      <c r="G876" s="1">
        <v>10620068</v>
      </c>
      <c r="H876" s="1" t="s">
        <v>388</v>
      </c>
      <c r="I876" s="61">
        <v>40</v>
      </c>
      <c r="J876" s="61">
        <v>3.1</v>
      </c>
      <c r="K876" s="61">
        <v>8.1</v>
      </c>
      <c r="L876" s="69">
        <f t="shared" si="171"/>
        <v>1.24</v>
      </c>
      <c r="M876" s="69">
        <f t="shared" si="172"/>
        <v>3.24</v>
      </c>
      <c r="N876" s="56">
        <f>INDEX(Rate_Chart!$A$1:$AK$127,MATCH(Data!J876,Rate_Chart!$A$1:$A$127,0),MATCH(Data!K876,Rate_Chart!$A$1:$AK$1,0))</f>
        <v>35.446125899999998</v>
      </c>
      <c r="O876" s="57">
        <f t="shared" si="173"/>
        <v>1417.8450359999999</v>
      </c>
      <c r="P876" s="58">
        <f t="shared" si="174"/>
        <v>417.01324588235298</v>
      </c>
      <c r="Q876" s="58">
        <f t="shared" si="175"/>
        <v>278.0088305882353</v>
      </c>
      <c r="R876" s="66">
        <f t="shared" si="176"/>
        <v>24.812288130000002</v>
      </c>
      <c r="S876" s="64">
        <f t="shared" si="177"/>
        <v>150</v>
      </c>
      <c r="T876" s="66">
        <f t="shared" si="178"/>
        <v>1592.65732413</v>
      </c>
      <c r="U876" s="68">
        <f t="shared" si="179"/>
        <v>39.816433103249999</v>
      </c>
      <c r="V876" s="68">
        <f t="shared" si="180"/>
        <v>468.42862474411766</v>
      </c>
      <c r="W876" s="68">
        <f t="shared" si="181"/>
        <v>312.28574982941177</v>
      </c>
    </row>
    <row r="877" spans="1:23" x14ac:dyDescent="0.25">
      <c r="A877" s="169" t="s">
        <v>889</v>
      </c>
      <c r="B877" s="61" t="s">
        <v>396</v>
      </c>
      <c r="C877" s="61" t="s">
        <v>591</v>
      </c>
      <c r="D877" s="61" t="s">
        <v>592</v>
      </c>
      <c r="E877" s="1" t="s">
        <v>372</v>
      </c>
      <c r="F877" s="62" t="str">
        <f t="shared" si="182"/>
        <v>64539</v>
      </c>
      <c r="G877" s="1">
        <v>10620068</v>
      </c>
      <c r="H877" s="1" t="s">
        <v>387</v>
      </c>
      <c r="I877" s="61">
        <v>41</v>
      </c>
      <c r="J877" s="61">
        <v>6.8</v>
      </c>
      <c r="K877" s="61">
        <v>9</v>
      </c>
      <c r="L877" s="69">
        <f t="shared" si="171"/>
        <v>2.7880000000000003</v>
      </c>
      <c r="M877" s="69">
        <f t="shared" si="172"/>
        <v>3.69</v>
      </c>
      <c r="N877" s="56">
        <f>INDEX(Rate_Chart!$A$1:$AK$127,MATCH(Data!J877,Rate_Chart!$A$1:$A$127,0),MATCH(Data!K877,Rate_Chart!$A$1:$AK$1,0))</f>
        <v>56.78</v>
      </c>
      <c r="O877" s="57">
        <f t="shared" si="173"/>
        <v>2327.98</v>
      </c>
      <c r="P877" s="58">
        <f t="shared" si="174"/>
        <v>443.59375</v>
      </c>
      <c r="Q877" s="58">
        <f t="shared" si="175"/>
        <v>295.72916666666669</v>
      </c>
      <c r="R877" s="66">
        <f t="shared" si="176"/>
        <v>40.739650000000005</v>
      </c>
      <c r="S877" s="64">
        <f t="shared" si="177"/>
        <v>153.75</v>
      </c>
      <c r="T877" s="66">
        <f t="shared" si="178"/>
        <v>2522.46965</v>
      </c>
      <c r="U877" s="68">
        <f t="shared" si="179"/>
        <v>61.523650000000004</v>
      </c>
      <c r="V877" s="68">
        <f t="shared" si="180"/>
        <v>480.65351562500001</v>
      </c>
      <c r="W877" s="68">
        <f t="shared" si="181"/>
        <v>320.43567708333336</v>
      </c>
    </row>
    <row r="878" spans="1:23" x14ac:dyDescent="0.25">
      <c r="A878" s="169" t="s">
        <v>889</v>
      </c>
      <c r="B878" s="61" t="s">
        <v>397</v>
      </c>
      <c r="C878" s="61" t="s">
        <v>591</v>
      </c>
      <c r="D878" s="61" t="s">
        <v>592</v>
      </c>
      <c r="E878" s="1" t="s">
        <v>372</v>
      </c>
      <c r="F878" s="62" t="str">
        <f t="shared" si="182"/>
        <v>64539</v>
      </c>
      <c r="G878" s="1">
        <v>10620068</v>
      </c>
      <c r="H878" s="1" t="s">
        <v>387</v>
      </c>
      <c r="I878" s="61">
        <v>27</v>
      </c>
      <c r="J878" s="61">
        <v>6.8</v>
      </c>
      <c r="K878" s="61">
        <v>8.8000000000000007</v>
      </c>
      <c r="L878" s="69">
        <f t="shared" si="171"/>
        <v>1.8359999999999999</v>
      </c>
      <c r="M878" s="69">
        <f t="shared" si="172"/>
        <v>2.3760000000000003</v>
      </c>
      <c r="N878" s="56">
        <f>INDEX(Rate_Chart!$A$1:$AK$127,MATCH(Data!J878,Rate_Chart!$A$1:$A$127,0),MATCH(Data!K878,Rate_Chart!$A$1:$AK$1,0))</f>
        <v>56.212200000000003</v>
      </c>
      <c r="O878" s="57">
        <f t="shared" si="173"/>
        <v>1517.7294000000002</v>
      </c>
      <c r="P878" s="58">
        <f t="shared" si="174"/>
        <v>443.78052631578947</v>
      </c>
      <c r="Q878" s="58">
        <f t="shared" si="175"/>
        <v>295.8536842105263</v>
      </c>
      <c r="R878" s="66">
        <f t="shared" si="176"/>
        <v>26.560264500000006</v>
      </c>
      <c r="S878" s="64">
        <f t="shared" si="177"/>
        <v>101.25</v>
      </c>
      <c r="T878" s="66">
        <f t="shared" si="178"/>
        <v>1645.5396645000001</v>
      </c>
      <c r="U878" s="68">
        <f t="shared" si="179"/>
        <v>60.945913500000003</v>
      </c>
      <c r="V878" s="68">
        <f t="shared" si="180"/>
        <v>481.15194868421054</v>
      </c>
      <c r="W878" s="68">
        <f t="shared" si="181"/>
        <v>320.76796578947369</v>
      </c>
    </row>
    <row r="879" spans="1:23" x14ac:dyDescent="0.25">
      <c r="A879" s="169" t="s">
        <v>889</v>
      </c>
      <c r="B879" s="61" t="s">
        <v>397</v>
      </c>
      <c r="C879" s="61" t="s">
        <v>591</v>
      </c>
      <c r="D879" s="61" t="s">
        <v>592</v>
      </c>
      <c r="E879" s="1" t="s">
        <v>372</v>
      </c>
      <c r="F879" s="62" t="str">
        <f t="shared" si="182"/>
        <v>64539</v>
      </c>
      <c r="G879" s="1">
        <v>10620068</v>
      </c>
      <c r="H879" s="1" t="s">
        <v>388</v>
      </c>
      <c r="I879" s="61">
        <v>40</v>
      </c>
      <c r="J879" s="61">
        <v>3</v>
      </c>
      <c r="K879" s="61">
        <v>8</v>
      </c>
      <c r="L879" s="69">
        <f t="shared" si="171"/>
        <v>1.2</v>
      </c>
      <c r="M879" s="69">
        <f t="shared" si="172"/>
        <v>3.2</v>
      </c>
      <c r="N879" s="56">
        <f>INDEX(Rate_Chart!$A$1:$AK$127,MATCH(Data!J879,Rate_Chart!$A$1:$A$127,0),MATCH(Data!K879,Rate_Chart!$A$1:$AK$1,0))</f>
        <v>34.751112000000006</v>
      </c>
      <c r="O879" s="57">
        <f t="shared" si="173"/>
        <v>1390.0444800000002</v>
      </c>
      <c r="P879" s="58">
        <f t="shared" si="174"/>
        <v>417.01334400000002</v>
      </c>
      <c r="Q879" s="58">
        <f t="shared" si="175"/>
        <v>278.00889599999999</v>
      </c>
      <c r="R879" s="66">
        <f t="shared" si="176"/>
        <v>24.325778400000008</v>
      </c>
      <c r="S879" s="64">
        <f t="shared" si="177"/>
        <v>150</v>
      </c>
      <c r="T879" s="66">
        <f t="shared" si="178"/>
        <v>1564.3702584000002</v>
      </c>
      <c r="U879" s="68">
        <f t="shared" si="179"/>
        <v>39.109256460000005</v>
      </c>
      <c r="V879" s="68">
        <f t="shared" si="180"/>
        <v>469.31107752000003</v>
      </c>
      <c r="W879" s="68">
        <f t="shared" si="181"/>
        <v>312.87405168000004</v>
      </c>
    </row>
    <row r="880" spans="1:23" x14ac:dyDescent="0.25">
      <c r="A880" s="169" t="s">
        <v>890</v>
      </c>
      <c r="B880" s="61" t="s">
        <v>396</v>
      </c>
      <c r="C880" s="61" t="s">
        <v>591</v>
      </c>
      <c r="D880" s="61" t="s">
        <v>592</v>
      </c>
      <c r="E880" s="1" t="s">
        <v>372</v>
      </c>
      <c r="F880" s="62" t="str">
        <f t="shared" si="182"/>
        <v>64539</v>
      </c>
      <c r="G880" s="1">
        <v>10620068</v>
      </c>
      <c r="H880" s="1" t="s">
        <v>387</v>
      </c>
      <c r="I880" s="61">
        <v>36</v>
      </c>
      <c r="J880" s="61">
        <v>6.6</v>
      </c>
      <c r="K880" s="61">
        <v>9</v>
      </c>
      <c r="L880" s="69">
        <f t="shared" ref="L880:L943" si="183">J880*I880/100</f>
        <v>2.3759999999999999</v>
      </c>
      <c r="M880" s="69">
        <f t="shared" ref="M880:M943" si="184">K880*I880/100</f>
        <v>3.24</v>
      </c>
      <c r="N880" s="56">
        <f>INDEX(Rate_Chart!$A$1:$AK$127,MATCH(Data!J880,Rate_Chart!$A$1:$A$127,0),MATCH(Data!K880,Rate_Chart!$A$1:$AK$1,0))</f>
        <v>55.11</v>
      </c>
      <c r="O880" s="57">
        <f t="shared" ref="O880:O943" si="185">N880*I880</f>
        <v>1983.96</v>
      </c>
      <c r="P880" s="58">
        <f t="shared" ref="P880:P943" si="186">N880/(J880%+K880%*2/3)</f>
        <v>437.38095238095235</v>
      </c>
      <c r="Q880" s="58">
        <f t="shared" ref="Q880:Q943" si="187">P880*2/3</f>
        <v>291.58730158730157</v>
      </c>
      <c r="R880" s="66">
        <f t="shared" ref="R880:R943" si="188">O880*1.75%</f>
        <v>34.719300000000004</v>
      </c>
      <c r="S880" s="64">
        <f t="shared" ref="S880:S943" si="189">I880*3.75</f>
        <v>135</v>
      </c>
      <c r="T880" s="66">
        <f t="shared" ref="T880:T943" si="190">R880+S880+O880</f>
        <v>2153.6793000000002</v>
      </c>
      <c r="U880" s="68">
        <f t="shared" ref="U880:U943" si="191">T880/I880</f>
        <v>59.824425000000005</v>
      </c>
      <c r="V880" s="68">
        <f t="shared" ref="V880:V943" si="192">U880/(J880%+K880%*2/3)</f>
        <v>474.79702380952386</v>
      </c>
      <c r="W880" s="68">
        <f t="shared" ref="W880:W943" si="193">V880*2/3</f>
        <v>316.53134920634926</v>
      </c>
    </row>
    <row r="881" spans="1:23" x14ac:dyDescent="0.25">
      <c r="A881" s="169" t="s">
        <v>890</v>
      </c>
      <c r="B881" s="61" t="s">
        <v>396</v>
      </c>
      <c r="C881" s="61" t="s">
        <v>591</v>
      </c>
      <c r="D881" s="61" t="s">
        <v>592</v>
      </c>
      <c r="E881" s="1" t="s">
        <v>372</v>
      </c>
      <c r="F881" s="62" t="str">
        <f t="shared" si="182"/>
        <v>64539</v>
      </c>
      <c r="G881" s="1">
        <v>10620068</v>
      </c>
      <c r="H881" s="1" t="s">
        <v>388</v>
      </c>
      <c r="I881" s="61">
        <v>40</v>
      </c>
      <c r="J881" s="61">
        <v>3.4</v>
      </c>
      <c r="K881" s="61">
        <v>8.1</v>
      </c>
      <c r="L881" s="69">
        <f t="shared" si="183"/>
        <v>1.36</v>
      </c>
      <c r="M881" s="69">
        <f t="shared" si="184"/>
        <v>3.24</v>
      </c>
      <c r="N881" s="56">
        <f>INDEX(Rate_Chart!$A$1:$AK$127,MATCH(Data!J881,Rate_Chart!$A$1:$A$127,0),MATCH(Data!K881,Rate_Chart!$A$1:$AK$1,0))</f>
        <v>36.697125900000003</v>
      </c>
      <c r="O881" s="57">
        <f t="shared" si="185"/>
        <v>1467.8850360000001</v>
      </c>
      <c r="P881" s="58">
        <f t="shared" si="186"/>
        <v>417.01279431818188</v>
      </c>
      <c r="Q881" s="58">
        <f t="shared" si="187"/>
        <v>278.00852954545456</v>
      </c>
      <c r="R881" s="66">
        <f t="shared" si="188"/>
        <v>25.687988130000004</v>
      </c>
      <c r="S881" s="64">
        <f t="shared" si="189"/>
        <v>150</v>
      </c>
      <c r="T881" s="66">
        <f t="shared" si="190"/>
        <v>1643.5730241300002</v>
      </c>
      <c r="U881" s="68">
        <f t="shared" si="191"/>
        <v>41.089325603250003</v>
      </c>
      <c r="V881" s="68">
        <f t="shared" si="192"/>
        <v>466.92415458238645</v>
      </c>
      <c r="W881" s="68">
        <f t="shared" si="193"/>
        <v>311.28276972159097</v>
      </c>
    </row>
    <row r="882" spans="1:23" x14ac:dyDescent="0.25">
      <c r="A882" s="169" t="s">
        <v>890</v>
      </c>
      <c r="B882" s="61" t="s">
        <v>397</v>
      </c>
      <c r="C882" s="61" t="s">
        <v>591</v>
      </c>
      <c r="D882" s="61" t="s">
        <v>592</v>
      </c>
      <c r="E882" s="1" t="s">
        <v>372</v>
      </c>
      <c r="F882" s="62" t="str">
        <f t="shared" si="182"/>
        <v>64539</v>
      </c>
      <c r="G882" s="1">
        <v>10620068</v>
      </c>
      <c r="H882" s="1" t="s">
        <v>387</v>
      </c>
      <c r="I882" s="61">
        <v>30</v>
      </c>
      <c r="J882" s="61">
        <v>6.5</v>
      </c>
      <c r="K882" s="61">
        <v>9</v>
      </c>
      <c r="L882" s="69">
        <f t="shared" si="183"/>
        <v>1.95</v>
      </c>
      <c r="M882" s="69">
        <f t="shared" si="184"/>
        <v>2.7</v>
      </c>
      <c r="N882" s="56">
        <f>INDEX(Rate_Chart!$A$1:$AK$127,MATCH(Data!J882,Rate_Chart!$A$1:$A$127,0),MATCH(Data!K882,Rate_Chart!$A$1:$AK$1,0))</f>
        <v>54.274999999999999</v>
      </c>
      <c r="O882" s="57">
        <f t="shared" si="185"/>
        <v>1628.25</v>
      </c>
      <c r="P882" s="58">
        <f t="shared" si="186"/>
        <v>434.2</v>
      </c>
      <c r="Q882" s="58">
        <f t="shared" si="187"/>
        <v>289.46666666666664</v>
      </c>
      <c r="R882" s="66">
        <f t="shared" si="188"/>
        <v>28.494375000000002</v>
      </c>
      <c r="S882" s="64">
        <f t="shared" si="189"/>
        <v>112.5</v>
      </c>
      <c r="T882" s="66">
        <f t="shared" si="190"/>
        <v>1769.244375</v>
      </c>
      <c r="U882" s="68">
        <f t="shared" si="191"/>
        <v>58.974812499999999</v>
      </c>
      <c r="V882" s="68">
        <f t="shared" si="192"/>
        <v>471.79849999999999</v>
      </c>
      <c r="W882" s="68">
        <f t="shared" si="193"/>
        <v>314.53233333333333</v>
      </c>
    </row>
    <row r="883" spans="1:23" x14ac:dyDescent="0.25">
      <c r="A883" s="169" t="s">
        <v>890</v>
      </c>
      <c r="B883" s="61" t="s">
        <v>397</v>
      </c>
      <c r="C883" s="61" t="s">
        <v>591</v>
      </c>
      <c r="D883" s="61" t="s">
        <v>592</v>
      </c>
      <c r="E883" s="1" t="s">
        <v>372</v>
      </c>
      <c r="F883" s="62" t="str">
        <f t="shared" si="182"/>
        <v>64539</v>
      </c>
      <c r="G883" s="1">
        <v>10620068</v>
      </c>
      <c r="H883" s="1" t="s">
        <v>388</v>
      </c>
      <c r="I883" s="61">
        <v>40</v>
      </c>
      <c r="J883" s="61">
        <v>3.1</v>
      </c>
      <c r="K883" s="61">
        <v>8.1</v>
      </c>
      <c r="L883" s="69">
        <f t="shared" si="183"/>
        <v>1.24</v>
      </c>
      <c r="M883" s="69">
        <f t="shared" si="184"/>
        <v>3.24</v>
      </c>
      <c r="N883" s="56">
        <f>INDEX(Rate_Chart!$A$1:$AK$127,MATCH(Data!J883,Rate_Chart!$A$1:$A$127,0),MATCH(Data!K883,Rate_Chart!$A$1:$AK$1,0))</f>
        <v>35.446125899999998</v>
      </c>
      <c r="O883" s="57">
        <f t="shared" si="185"/>
        <v>1417.8450359999999</v>
      </c>
      <c r="P883" s="58">
        <f t="shared" si="186"/>
        <v>417.01324588235298</v>
      </c>
      <c r="Q883" s="58">
        <f t="shared" si="187"/>
        <v>278.0088305882353</v>
      </c>
      <c r="R883" s="66">
        <f t="shared" si="188"/>
        <v>24.812288130000002</v>
      </c>
      <c r="S883" s="64">
        <f t="shared" si="189"/>
        <v>150</v>
      </c>
      <c r="T883" s="66">
        <f t="shared" si="190"/>
        <v>1592.65732413</v>
      </c>
      <c r="U883" s="68">
        <f t="shared" si="191"/>
        <v>39.816433103249999</v>
      </c>
      <c r="V883" s="68">
        <f t="shared" si="192"/>
        <v>468.42862474411766</v>
      </c>
      <c r="W883" s="68">
        <f t="shared" si="193"/>
        <v>312.28574982941177</v>
      </c>
    </row>
    <row r="884" spans="1:23" x14ac:dyDescent="0.25">
      <c r="A884" s="169" t="s">
        <v>891</v>
      </c>
      <c r="B884" s="61" t="s">
        <v>396</v>
      </c>
      <c r="C884" s="61" t="s">
        <v>591</v>
      </c>
      <c r="D884" s="61" t="s">
        <v>592</v>
      </c>
      <c r="E884" s="1" t="s">
        <v>372</v>
      </c>
      <c r="F884" s="62" t="str">
        <f t="shared" si="182"/>
        <v>64539</v>
      </c>
      <c r="G884" s="1">
        <v>10620068</v>
      </c>
      <c r="H884" s="1" t="s">
        <v>387</v>
      </c>
      <c r="I884" s="61">
        <v>40</v>
      </c>
      <c r="J884" s="61">
        <v>7</v>
      </c>
      <c r="K884" s="61">
        <v>9</v>
      </c>
      <c r="L884" s="69">
        <f t="shared" si="183"/>
        <v>2.8</v>
      </c>
      <c r="M884" s="69">
        <f t="shared" si="184"/>
        <v>3.6</v>
      </c>
      <c r="N884" s="56">
        <f>INDEX(Rate_Chart!$A$1:$AK$127,MATCH(Data!J884,Rate_Chart!$A$1:$A$127,0),MATCH(Data!K884,Rate_Chart!$A$1:$AK$1,0))</f>
        <v>58.45</v>
      </c>
      <c r="O884" s="57">
        <f t="shared" si="185"/>
        <v>2338</v>
      </c>
      <c r="P884" s="58">
        <f t="shared" si="186"/>
        <v>449.61538461538464</v>
      </c>
      <c r="Q884" s="58">
        <f t="shared" si="187"/>
        <v>299.74358974358978</v>
      </c>
      <c r="R884" s="66">
        <f t="shared" si="188"/>
        <v>40.915000000000006</v>
      </c>
      <c r="S884" s="64">
        <f t="shared" si="189"/>
        <v>150</v>
      </c>
      <c r="T884" s="66">
        <f t="shared" si="190"/>
        <v>2528.915</v>
      </c>
      <c r="U884" s="68">
        <f t="shared" si="191"/>
        <v>63.222875000000002</v>
      </c>
      <c r="V884" s="68">
        <f t="shared" si="192"/>
        <v>486.32980769230767</v>
      </c>
      <c r="W884" s="68">
        <f t="shared" si="193"/>
        <v>324.21987179487178</v>
      </c>
    </row>
    <row r="885" spans="1:23" x14ac:dyDescent="0.25">
      <c r="A885" s="169" t="s">
        <v>891</v>
      </c>
      <c r="B885" s="61" t="s">
        <v>396</v>
      </c>
      <c r="C885" s="61" t="s">
        <v>591</v>
      </c>
      <c r="D885" s="61" t="s">
        <v>592</v>
      </c>
      <c r="E885" s="1" t="s">
        <v>372</v>
      </c>
      <c r="F885" s="62" t="str">
        <f t="shared" si="182"/>
        <v>64539</v>
      </c>
      <c r="G885" s="1">
        <v>10620068</v>
      </c>
      <c r="H885" s="1" t="s">
        <v>388</v>
      </c>
      <c r="I885" s="61">
        <v>43</v>
      </c>
      <c r="J885" s="61">
        <v>4.2</v>
      </c>
      <c r="K885" s="61">
        <v>8.1</v>
      </c>
      <c r="L885" s="69">
        <f t="shared" si="183"/>
        <v>1.806</v>
      </c>
      <c r="M885" s="69">
        <f t="shared" si="184"/>
        <v>3.4830000000000001</v>
      </c>
      <c r="N885" s="56">
        <f>INDEX(Rate_Chart!$A$1:$AK$127,MATCH(Data!J885,Rate_Chart!$A$1:$A$127,0),MATCH(Data!K885,Rate_Chart!$A$1:$AK$1,0))</f>
        <v>40.033125900000002</v>
      </c>
      <c r="O885" s="57">
        <f t="shared" si="185"/>
        <v>1721.4244137000001</v>
      </c>
      <c r="P885" s="58">
        <f t="shared" si="186"/>
        <v>417.01172812499999</v>
      </c>
      <c r="Q885" s="58">
        <f t="shared" si="187"/>
        <v>278.00781875000001</v>
      </c>
      <c r="R885" s="66">
        <f t="shared" si="188"/>
        <v>30.124927239750004</v>
      </c>
      <c r="S885" s="64">
        <f t="shared" si="189"/>
        <v>161.25</v>
      </c>
      <c r="T885" s="66">
        <f t="shared" si="190"/>
        <v>1912.79934093975</v>
      </c>
      <c r="U885" s="68">
        <f t="shared" si="191"/>
        <v>44.483705603250002</v>
      </c>
      <c r="V885" s="68">
        <f t="shared" si="192"/>
        <v>463.37193336718752</v>
      </c>
      <c r="W885" s="68">
        <f t="shared" si="193"/>
        <v>308.9146222447917</v>
      </c>
    </row>
    <row r="886" spans="1:23" x14ac:dyDescent="0.25">
      <c r="A886" s="169" t="s">
        <v>891</v>
      </c>
      <c r="B886" s="61" t="s">
        <v>397</v>
      </c>
      <c r="C886" s="61" t="s">
        <v>591</v>
      </c>
      <c r="D886" s="61" t="s">
        <v>592</v>
      </c>
      <c r="E886" s="1" t="s">
        <v>372</v>
      </c>
      <c r="F886" s="62" t="str">
        <f t="shared" si="182"/>
        <v>64539</v>
      </c>
      <c r="G886" s="1">
        <v>10620068</v>
      </c>
      <c r="H886" s="1" t="s">
        <v>387</v>
      </c>
      <c r="I886" s="61">
        <v>19</v>
      </c>
      <c r="J886" s="61">
        <v>6.4</v>
      </c>
      <c r="K886" s="61">
        <v>8.8000000000000007</v>
      </c>
      <c r="L886" s="69">
        <f t="shared" si="183"/>
        <v>1.2160000000000002</v>
      </c>
      <c r="M886" s="69">
        <f t="shared" si="184"/>
        <v>1.6720000000000002</v>
      </c>
      <c r="N886" s="56">
        <f>INDEX(Rate_Chart!$A$1:$AK$127,MATCH(Data!J886,Rate_Chart!$A$1:$A$127,0),MATCH(Data!K886,Rate_Chart!$A$1:$AK$1,0))</f>
        <v>52.9056</v>
      </c>
      <c r="O886" s="57">
        <f t="shared" si="185"/>
        <v>1005.2064</v>
      </c>
      <c r="P886" s="58">
        <f t="shared" si="186"/>
        <v>431.29565217391303</v>
      </c>
      <c r="Q886" s="58">
        <f t="shared" si="187"/>
        <v>287.53043478260867</v>
      </c>
      <c r="R886" s="66">
        <f t="shared" si="188"/>
        <v>17.591112000000003</v>
      </c>
      <c r="S886" s="64">
        <f t="shared" si="189"/>
        <v>71.25</v>
      </c>
      <c r="T886" s="66">
        <f t="shared" si="190"/>
        <v>1094.0475120000001</v>
      </c>
      <c r="U886" s="68">
        <f t="shared" si="191"/>
        <v>57.581448000000002</v>
      </c>
      <c r="V886" s="68">
        <f t="shared" si="192"/>
        <v>469.41397826086956</v>
      </c>
      <c r="W886" s="68">
        <f t="shared" si="193"/>
        <v>312.94265217391302</v>
      </c>
    </row>
    <row r="887" spans="1:23" x14ac:dyDescent="0.25">
      <c r="A887" s="169" t="s">
        <v>891</v>
      </c>
      <c r="B887" s="61" t="s">
        <v>397</v>
      </c>
      <c r="C887" s="61" t="s">
        <v>591</v>
      </c>
      <c r="D887" s="61" t="s">
        <v>592</v>
      </c>
      <c r="E887" s="1" t="s">
        <v>372</v>
      </c>
      <c r="F887" s="62" t="str">
        <f t="shared" si="182"/>
        <v>64539</v>
      </c>
      <c r="G887" s="1">
        <v>10620068</v>
      </c>
      <c r="H887" s="1" t="s">
        <v>388</v>
      </c>
      <c r="I887" s="61">
        <v>40</v>
      </c>
      <c r="J887" s="61">
        <v>3</v>
      </c>
      <c r="K887" s="61">
        <v>8.1</v>
      </c>
      <c r="L887" s="69">
        <f t="shared" si="183"/>
        <v>1.2</v>
      </c>
      <c r="M887" s="69">
        <f t="shared" si="184"/>
        <v>3.24</v>
      </c>
      <c r="N887" s="56">
        <f>INDEX(Rate_Chart!$A$1:$AK$127,MATCH(Data!J887,Rate_Chart!$A$1:$A$127,0),MATCH(Data!K887,Rate_Chart!$A$1:$AK$1,0))</f>
        <v>35.029125900000004</v>
      </c>
      <c r="O887" s="57">
        <f t="shared" si="185"/>
        <v>1401.1650360000001</v>
      </c>
      <c r="P887" s="58">
        <f t="shared" si="186"/>
        <v>417.01340357142868</v>
      </c>
      <c r="Q887" s="58">
        <f t="shared" si="187"/>
        <v>278.00893571428577</v>
      </c>
      <c r="R887" s="66">
        <f t="shared" si="188"/>
        <v>24.520388130000004</v>
      </c>
      <c r="S887" s="64">
        <f t="shared" si="189"/>
        <v>150</v>
      </c>
      <c r="T887" s="66">
        <f t="shared" si="190"/>
        <v>1575.6854241300002</v>
      </c>
      <c r="U887" s="68">
        <f t="shared" si="191"/>
        <v>39.392135603250004</v>
      </c>
      <c r="V887" s="68">
        <f t="shared" si="192"/>
        <v>468.9539952767858</v>
      </c>
      <c r="W887" s="68">
        <f t="shared" si="193"/>
        <v>312.63599685119055</v>
      </c>
    </row>
    <row r="888" spans="1:23" x14ac:dyDescent="0.25">
      <c r="A888" s="169" t="s">
        <v>892</v>
      </c>
      <c r="B888" s="61" t="s">
        <v>396</v>
      </c>
      <c r="C888" s="61" t="s">
        <v>591</v>
      </c>
      <c r="D888" s="61" t="s">
        <v>592</v>
      </c>
      <c r="E888" s="1" t="s">
        <v>372</v>
      </c>
      <c r="F888" s="62" t="str">
        <f t="shared" si="182"/>
        <v>64539</v>
      </c>
      <c r="G888" s="1">
        <v>10620068</v>
      </c>
      <c r="H888" s="1" t="s">
        <v>387</v>
      </c>
      <c r="I888" s="61">
        <v>40</v>
      </c>
      <c r="J888" s="61">
        <v>7</v>
      </c>
      <c r="K888" s="61">
        <v>9</v>
      </c>
      <c r="L888" s="69">
        <f t="shared" si="183"/>
        <v>2.8</v>
      </c>
      <c r="M888" s="69">
        <f t="shared" si="184"/>
        <v>3.6</v>
      </c>
      <c r="N888" s="56">
        <f>INDEX(Rate_Chart!$A$1:$AK$127,MATCH(Data!J888,Rate_Chart!$A$1:$A$127,0),MATCH(Data!K888,Rate_Chart!$A$1:$AK$1,0))</f>
        <v>58.45</v>
      </c>
      <c r="O888" s="57">
        <f t="shared" si="185"/>
        <v>2338</v>
      </c>
      <c r="P888" s="58">
        <f t="shared" si="186"/>
        <v>449.61538461538464</v>
      </c>
      <c r="Q888" s="58">
        <f t="shared" si="187"/>
        <v>299.74358974358978</v>
      </c>
      <c r="R888" s="66">
        <f t="shared" si="188"/>
        <v>40.915000000000006</v>
      </c>
      <c r="S888" s="64">
        <f t="shared" si="189"/>
        <v>150</v>
      </c>
      <c r="T888" s="66">
        <f t="shared" si="190"/>
        <v>2528.915</v>
      </c>
      <c r="U888" s="68">
        <f t="shared" si="191"/>
        <v>63.222875000000002</v>
      </c>
      <c r="V888" s="68">
        <f t="shared" si="192"/>
        <v>486.32980769230767</v>
      </c>
      <c r="W888" s="68">
        <f t="shared" si="193"/>
        <v>324.21987179487178</v>
      </c>
    </row>
    <row r="889" spans="1:23" x14ac:dyDescent="0.25">
      <c r="A889" s="169" t="s">
        <v>892</v>
      </c>
      <c r="B889" s="61" t="s">
        <v>396</v>
      </c>
      <c r="C889" s="61" t="s">
        <v>591</v>
      </c>
      <c r="D889" s="61" t="s">
        <v>592</v>
      </c>
      <c r="E889" s="1" t="s">
        <v>372</v>
      </c>
      <c r="F889" s="62" t="str">
        <f t="shared" si="182"/>
        <v>64539</v>
      </c>
      <c r="G889" s="1">
        <v>10620068</v>
      </c>
      <c r="H889" s="1" t="s">
        <v>388</v>
      </c>
      <c r="I889" s="61">
        <v>48</v>
      </c>
      <c r="J889" s="61">
        <v>3.6</v>
      </c>
      <c r="K889" s="61">
        <v>8.1</v>
      </c>
      <c r="L889" s="69">
        <f t="shared" si="183"/>
        <v>1.7280000000000002</v>
      </c>
      <c r="M889" s="69">
        <f t="shared" si="184"/>
        <v>3.8879999999999995</v>
      </c>
      <c r="N889" s="56">
        <f>INDEX(Rate_Chart!$A$1:$AK$127,MATCH(Data!J889,Rate_Chart!$A$1:$A$127,0),MATCH(Data!K889,Rate_Chart!$A$1:$AK$1,0))</f>
        <v>37.531125900000006</v>
      </c>
      <c r="O889" s="57">
        <f t="shared" si="185"/>
        <v>1801.4940432000003</v>
      </c>
      <c r="P889" s="58">
        <f t="shared" si="186"/>
        <v>417.01251000000008</v>
      </c>
      <c r="Q889" s="58">
        <f t="shared" si="187"/>
        <v>278.00834000000003</v>
      </c>
      <c r="R889" s="66">
        <f t="shared" si="188"/>
        <v>31.526145756000009</v>
      </c>
      <c r="S889" s="64">
        <f t="shared" si="189"/>
        <v>180</v>
      </c>
      <c r="T889" s="66">
        <f t="shared" si="190"/>
        <v>2013.0201889560003</v>
      </c>
      <c r="U889" s="68">
        <f t="shared" si="191"/>
        <v>41.937920603250006</v>
      </c>
      <c r="V889" s="68">
        <f t="shared" si="192"/>
        <v>465.97689559166673</v>
      </c>
      <c r="W889" s="68">
        <f t="shared" si="193"/>
        <v>310.6512637277778</v>
      </c>
    </row>
    <row r="890" spans="1:23" x14ac:dyDescent="0.25">
      <c r="A890" s="169" t="s">
        <v>892</v>
      </c>
      <c r="B890" s="61" t="s">
        <v>397</v>
      </c>
      <c r="C890" s="61" t="s">
        <v>591</v>
      </c>
      <c r="D890" s="61" t="s">
        <v>592</v>
      </c>
      <c r="E890" s="1" t="s">
        <v>372</v>
      </c>
      <c r="F890" s="62" t="str">
        <f t="shared" si="182"/>
        <v>64539</v>
      </c>
      <c r="G890" s="1">
        <v>10620068</v>
      </c>
      <c r="H890" s="1" t="s">
        <v>387</v>
      </c>
      <c r="I890" s="61">
        <v>25</v>
      </c>
      <c r="J890" s="61">
        <v>5.8</v>
      </c>
      <c r="K890" s="61">
        <v>8.4</v>
      </c>
      <c r="L890" s="69">
        <f t="shared" si="183"/>
        <v>1.45</v>
      </c>
      <c r="M890" s="69">
        <f t="shared" si="184"/>
        <v>2.1</v>
      </c>
      <c r="N890" s="56">
        <f>INDEX(Rate_Chart!$A$1:$AK$127,MATCH(Data!J890,Rate_Chart!$A$1:$A$127,0),MATCH(Data!K890,Rate_Chart!$A$1:$AK$1,0))</f>
        <v>46.9771</v>
      </c>
      <c r="O890" s="57">
        <f t="shared" si="185"/>
        <v>1174.4275</v>
      </c>
      <c r="P890" s="58">
        <f t="shared" si="186"/>
        <v>412.07982456140354</v>
      </c>
      <c r="Q890" s="58">
        <f t="shared" si="187"/>
        <v>274.71988304093571</v>
      </c>
      <c r="R890" s="66">
        <f t="shared" si="188"/>
        <v>20.552481250000003</v>
      </c>
      <c r="S890" s="64">
        <f t="shared" si="189"/>
        <v>93.75</v>
      </c>
      <c r="T890" s="66">
        <f t="shared" si="190"/>
        <v>1288.72998125</v>
      </c>
      <c r="U890" s="68">
        <f t="shared" si="191"/>
        <v>51.549199250000001</v>
      </c>
      <c r="V890" s="68">
        <f t="shared" si="192"/>
        <v>452.18595833333336</v>
      </c>
      <c r="W890" s="68">
        <f t="shared" si="193"/>
        <v>301.45730555555559</v>
      </c>
    </row>
    <row r="891" spans="1:23" x14ac:dyDescent="0.25">
      <c r="A891" s="169" t="s">
        <v>892</v>
      </c>
      <c r="B891" s="61" t="s">
        <v>397</v>
      </c>
      <c r="C891" s="61" t="s">
        <v>591</v>
      </c>
      <c r="D891" s="61" t="s">
        <v>592</v>
      </c>
      <c r="E891" s="1" t="s">
        <v>372</v>
      </c>
      <c r="F891" s="62" t="str">
        <f t="shared" si="182"/>
        <v>64539</v>
      </c>
      <c r="G891" s="1">
        <v>10620068</v>
      </c>
      <c r="H891" s="1" t="s">
        <v>388</v>
      </c>
      <c r="I891" s="61">
        <v>40</v>
      </c>
      <c r="J891" s="61">
        <v>3</v>
      </c>
      <c r="K891" s="61">
        <v>8.1</v>
      </c>
      <c r="L891" s="69">
        <f t="shared" si="183"/>
        <v>1.2</v>
      </c>
      <c r="M891" s="69">
        <f t="shared" si="184"/>
        <v>3.24</v>
      </c>
      <c r="N891" s="56">
        <f>INDEX(Rate_Chart!$A$1:$AK$127,MATCH(Data!J891,Rate_Chart!$A$1:$A$127,0),MATCH(Data!K891,Rate_Chart!$A$1:$AK$1,0))</f>
        <v>35.029125900000004</v>
      </c>
      <c r="O891" s="57">
        <f t="shared" si="185"/>
        <v>1401.1650360000001</v>
      </c>
      <c r="P891" s="58">
        <f t="shared" si="186"/>
        <v>417.01340357142868</v>
      </c>
      <c r="Q891" s="58">
        <f t="shared" si="187"/>
        <v>278.00893571428577</v>
      </c>
      <c r="R891" s="66">
        <f t="shared" si="188"/>
        <v>24.520388130000004</v>
      </c>
      <c r="S891" s="64">
        <f t="shared" si="189"/>
        <v>150</v>
      </c>
      <c r="T891" s="66">
        <f t="shared" si="190"/>
        <v>1575.6854241300002</v>
      </c>
      <c r="U891" s="68">
        <f t="shared" si="191"/>
        <v>39.392135603250004</v>
      </c>
      <c r="V891" s="68">
        <f t="shared" si="192"/>
        <v>468.9539952767858</v>
      </c>
      <c r="W891" s="68">
        <f t="shared" si="193"/>
        <v>312.63599685119055</v>
      </c>
    </row>
    <row r="892" spans="1:23" x14ac:dyDescent="0.25">
      <c r="A892" s="169" t="s">
        <v>893</v>
      </c>
      <c r="B892" s="61" t="s">
        <v>396</v>
      </c>
      <c r="C892" s="61" t="s">
        <v>591</v>
      </c>
      <c r="D892" s="61" t="s">
        <v>592</v>
      </c>
      <c r="E892" s="1" t="s">
        <v>372</v>
      </c>
      <c r="F892" s="62" t="str">
        <f t="shared" si="182"/>
        <v>64539</v>
      </c>
      <c r="G892" s="1">
        <v>10620068</v>
      </c>
      <c r="H892" s="1" t="s">
        <v>387</v>
      </c>
      <c r="I892" s="61">
        <v>21</v>
      </c>
      <c r="J892" s="61">
        <v>6.2</v>
      </c>
      <c r="K892" s="61">
        <v>8.8000000000000007</v>
      </c>
      <c r="L892" s="69">
        <f t="shared" si="183"/>
        <v>1.3020000000000003</v>
      </c>
      <c r="M892" s="69">
        <f t="shared" si="184"/>
        <v>1.8480000000000001</v>
      </c>
      <c r="N892" s="56">
        <f>INDEX(Rate_Chart!$A$1:$AK$127,MATCH(Data!J892,Rate_Chart!$A$1:$A$127,0),MATCH(Data!K892,Rate_Chart!$A$1:$AK$1,0))</f>
        <v>51.252300000000005</v>
      </c>
      <c r="O892" s="57">
        <f t="shared" si="185"/>
        <v>1076.2983000000002</v>
      </c>
      <c r="P892" s="58">
        <f t="shared" si="186"/>
        <v>424.74281767955802</v>
      </c>
      <c r="Q892" s="58">
        <f t="shared" si="187"/>
        <v>283.1618784530387</v>
      </c>
      <c r="R892" s="66">
        <f t="shared" si="188"/>
        <v>18.835220250000006</v>
      </c>
      <c r="S892" s="64">
        <f t="shared" si="189"/>
        <v>78.75</v>
      </c>
      <c r="T892" s="66">
        <f t="shared" si="190"/>
        <v>1173.8835202500002</v>
      </c>
      <c r="U892" s="68">
        <f t="shared" si="191"/>
        <v>55.899215250000012</v>
      </c>
      <c r="V892" s="68">
        <f t="shared" si="192"/>
        <v>463.2531650552487</v>
      </c>
      <c r="W892" s="68">
        <f t="shared" si="193"/>
        <v>308.83544337016582</v>
      </c>
    </row>
    <row r="893" spans="1:23" x14ac:dyDescent="0.25">
      <c r="A893" s="169" t="s">
        <v>893</v>
      </c>
      <c r="B893" s="61" t="s">
        <v>397</v>
      </c>
      <c r="C893" s="61" t="s">
        <v>591</v>
      </c>
      <c r="D893" s="61" t="s">
        <v>592</v>
      </c>
      <c r="E893" s="1" t="s">
        <v>372</v>
      </c>
      <c r="F893" s="62" t="str">
        <f t="shared" si="182"/>
        <v>64539</v>
      </c>
      <c r="G893" s="1">
        <v>10620068</v>
      </c>
      <c r="H893" s="1" t="s">
        <v>387</v>
      </c>
      <c r="I893" s="61">
        <v>21</v>
      </c>
      <c r="J893" s="61">
        <v>6.6</v>
      </c>
      <c r="K893" s="61">
        <v>8.8000000000000007</v>
      </c>
      <c r="L893" s="69">
        <f t="shared" si="183"/>
        <v>1.3859999999999999</v>
      </c>
      <c r="M893" s="69">
        <f t="shared" si="184"/>
        <v>1.8480000000000001</v>
      </c>
      <c r="N893" s="56">
        <f>INDEX(Rate_Chart!$A$1:$AK$127,MATCH(Data!J893,Rate_Chart!$A$1:$A$127,0),MATCH(Data!K893,Rate_Chart!$A$1:$AK$1,0))</f>
        <v>54.558900000000001</v>
      </c>
      <c r="O893" s="57">
        <f t="shared" si="185"/>
        <v>1145.7369000000001</v>
      </c>
      <c r="P893" s="58">
        <f t="shared" si="186"/>
        <v>437.63823529411764</v>
      </c>
      <c r="Q893" s="58">
        <f t="shared" si="187"/>
        <v>291.75882352941176</v>
      </c>
      <c r="R893" s="66">
        <f t="shared" si="188"/>
        <v>20.050395750000003</v>
      </c>
      <c r="S893" s="64">
        <f t="shared" si="189"/>
        <v>78.75</v>
      </c>
      <c r="T893" s="66">
        <f t="shared" si="190"/>
        <v>1244.5372957500001</v>
      </c>
      <c r="U893" s="68">
        <f t="shared" si="191"/>
        <v>59.263680750000006</v>
      </c>
      <c r="V893" s="68">
        <f t="shared" si="192"/>
        <v>475.37711831550803</v>
      </c>
      <c r="W893" s="68">
        <f t="shared" si="193"/>
        <v>316.91807887700537</v>
      </c>
    </row>
    <row r="894" spans="1:23" x14ac:dyDescent="0.25">
      <c r="A894" s="169" t="s">
        <v>893</v>
      </c>
      <c r="B894" s="61" t="s">
        <v>397</v>
      </c>
      <c r="C894" s="61" t="s">
        <v>591</v>
      </c>
      <c r="D894" s="61" t="s">
        <v>592</v>
      </c>
      <c r="E894" s="1" t="s">
        <v>372</v>
      </c>
      <c r="F894" s="62" t="str">
        <f t="shared" si="182"/>
        <v>64539</v>
      </c>
      <c r="G894" s="1">
        <v>10620068</v>
      </c>
      <c r="H894" s="1" t="s">
        <v>388</v>
      </c>
      <c r="I894" s="61">
        <v>40</v>
      </c>
      <c r="J894" s="61">
        <v>3.1</v>
      </c>
      <c r="K894" s="61">
        <v>8.1999999999999993</v>
      </c>
      <c r="L894" s="69">
        <f t="shared" si="183"/>
        <v>1.24</v>
      </c>
      <c r="M894" s="69">
        <f t="shared" si="184"/>
        <v>3.28</v>
      </c>
      <c r="N894" s="56">
        <f>INDEX(Rate_Chart!$A$1:$AK$127,MATCH(Data!J894,Rate_Chart!$A$1:$A$127,0),MATCH(Data!K894,Rate_Chart!$A$1:$AK$1,0))</f>
        <v>35.724139800000003</v>
      </c>
      <c r="O894" s="57">
        <f t="shared" si="185"/>
        <v>1428.965592</v>
      </c>
      <c r="P894" s="58">
        <f t="shared" si="186"/>
        <v>417.0133050583658</v>
      </c>
      <c r="Q894" s="58">
        <f t="shared" si="187"/>
        <v>278.00887003891052</v>
      </c>
      <c r="R894" s="66">
        <f t="shared" si="188"/>
        <v>25.006897860000002</v>
      </c>
      <c r="S894" s="64">
        <f t="shared" si="189"/>
        <v>150</v>
      </c>
      <c r="T894" s="66">
        <f t="shared" si="190"/>
        <v>1603.97248986</v>
      </c>
      <c r="U894" s="68">
        <f t="shared" si="191"/>
        <v>40.099312246499998</v>
      </c>
      <c r="V894" s="68">
        <f t="shared" si="192"/>
        <v>468.085356963035</v>
      </c>
      <c r="W894" s="68">
        <f t="shared" si="193"/>
        <v>312.05690464202331</v>
      </c>
    </row>
    <row r="895" spans="1:23" x14ac:dyDescent="0.25">
      <c r="A895" s="169" t="s">
        <v>894</v>
      </c>
      <c r="B895" s="61" t="s">
        <v>396</v>
      </c>
      <c r="C895" s="61" t="s">
        <v>591</v>
      </c>
      <c r="D895" s="61" t="s">
        <v>592</v>
      </c>
      <c r="E895" s="1" t="s">
        <v>372</v>
      </c>
      <c r="F895" s="62" t="str">
        <f t="shared" si="182"/>
        <v>64539</v>
      </c>
      <c r="G895" s="1">
        <v>10620068</v>
      </c>
      <c r="H895" s="1" t="s">
        <v>387</v>
      </c>
      <c r="I895" s="61">
        <v>14</v>
      </c>
      <c r="J895" s="61">
        <v>5.6</v>
      </c>
      <c r="K895" s="61">
        <v>8.4</v>
      </c>
      <c r="L895" s="69">
        <f t="shared" si="183"/>
        <v>0.78399999999999992</v>
      </c>
      <c r="M895" s="69">
        <f t="shared" si="184"/>
        <v>1.1760000000000002</v>
      </c>
      <c r="N895" s="56">
        <f>INDEX(Rate_Chart!$A$1:$AK$127,MATCH(Data!J895,Rate_Chart!$A$1:$A$127,0),MATCH(Data!K895,Rate_Chart!$A$1:$AK$1,0))</f>
        <v>45.357199999999999</v>
      </c>
      <c r="O895" s="57">
        <f t="shared" si="185"/>
        <v>635.00080000000003</v>
      </c>
      <c r="P895" s="58">
        <f t="shared" si="186"/>
        <v>404.97500000000002</v>
      </c>
      <c r="Q895" s="58">
        <f t="shared" si="187"/>
        <v>269.98333333333335</v>
      </c>
      <c r="R895" s="66">
        <f t="shared" si="188"/>
        <v>11.112514000000001</v>
      </c>
      <c r="S895" s="64">
        <f t="shared" si="189"/>
        <v>52.5</v>
      </c>
      <c r="T895" s="66">
        <f t="shared" si="190"/>
        <v>698.61331400000006</v>
      </c>
      <c r="U895" s="68">
        <f t="shared" si="191"/>
        <v>49.900951000000006</v>
      </c>
      <c r="V895" s="68">
        <f t="shared" si="192"/>
        <v>445.54420535714297</v>
      </c>
      <c r="W895" s="68">
        <f t="shared" si="193"/>
        <v>297.02947023809531</v>
      </c>
    </row>
    <row r="896" spans="1:23" x14ac:dyDescent="0.25">
      <c r="A896" s="169" t="s">
        <v>894</v>
      </c>
      <c r="B896" s="61" t="s">
        <v>397</v>
      </c>
      <c r="C896" s="61" t="s">
        <v>591</v>
      </c>
      <c r="D896" s="61" t="s">
        <v>592</v>
      </c>
      <c r="E896" s="1" t="s">
        <v>372</v>
      </c>
      <c r="F896" s="62" t="str">
        <f t="shared" si="182"/>
        <v>64539</v>
      </c>
      <c r="G896" s="1">
        <v>10620068</v>
      </c>
      <c r="H896" s="1" t="s">
        <v>387</v>
      </c>
      <c r="I896" s="61">
        <v>22</v>
      </c>
      <c r="J896" s="61">
        <v>6.1</v>
      </c>
      <c r="K896" s="61">
        <v>8.8000000000000007</v>
      </c>
      <c r="L896" s="69">
        <f t="shared" si="183"/>
        <v>1.3419999999999999</v>
      </c>
      <c r="M896" s="69">
        <f t="shared" si="184"/>
        <v>1.9360000000000002</v>
      </c>
      <c r="N896" s="56">
        <f>INDEX(Rate_Chart!$A$1:$AK$127,MATCH(Data!J896,Rate_Chart!$A$1:$A$127,0),MATCH(Data!K896,Rate_Chart!$A$1:$AK$1,0))</f>
        <v>50.425650000000005</v>
      </c>
      <c r="O896" s="57">
        <f t="shared" si="185"/>
        <v>1109.3643000000002</v>
      </c>
      <c r="P896" s="58">
        <f t="shared" si="186"/>
        <v>421.38426183844012</v>
      </c>
      <c r="Q896" s="58">
        <f t="shared" si="187"/>
        <v>280.92284122562677</v>
      </c>
      <c r="R896" s="66">
        <f t="shared" si="188"/>
        <v>19.413875250000004</v>
      </c>
      <c r="S896" s="64">
        <f t="shared" si="189"/>
        <v>82.5</v>
      </c>
      <c r="T896" s="66">
        <f t="shared" si="190"/>
        <v>1211.2781752500002</v>
      </c>
      <c r="U896" s="68">
        <f t="shared" si="191"/>
        <v>55.058098875000013</v>
      </c>
      <c r="V896" s="68">
        <f t="shared" si="192"/>
        <v>460.09553377437334</v>
      </c>
      <c r="W896" s="68">
        <f t="shared" si="193"/>
        <v>306.73035584958222</v>
      </c>
    </row>
    <row r="897" spans="1:23" x14ac:dyDescent="0.25">
      <c r="A897" s="169" t="s">
        <v>894</v>
      </c>
      <c r="B897" s="61" t="s">
        <v>397</v>
      </c>
      <c r="C897" s="61" t="s">
        <v>591</v>
      </c>
      <c r="D897" s="61" t="s">
        <v>592</v>
      </c>
      <c r="E897" s="1" t="s">
        <v>372</v>
      </c>
      <c r="F897" s="62" t="str">
        <f t="shared" si="182"/>
        <v>64539</v>
      </c>
      <c r="G897" s="1">
        <v>10620068</v>
      </c>
      <c r="H897" s="1" t="s">
        <v>388</v>
      </c>
      <c r="I897" s="61">
        <v>36</v>
      </c>
      <c r="J897" s="61">
        <v>3.3</v>
      </c>
      <c r="K897" s="61">
        <v>8.1999999999999993</v>
      </c>
      <c r="L897" s="69">
        <f t="shared" si="183"/>
        <v>1.1879999999999999</v>
      </c>
      <c r="M897" s="69">
        <f t="shared" si="184"/>
        <v>2.952</v>
      </c>
      <c r="N897" s="56">
        <f>INDEX(Rate_Chart!$A$1:$AK$127,MATCH(Data!J897,Rate_Chart!$A$1:$A$127,0),MATCH(Data!K897,Rate_Chart!$A$1:$AK$1,0))</f>
        <v>36.558139799999999</v>
      </c>
      <c r="O897" s="57">
        <f t="shared" si="185"/>
        <v>1316.0930327999999</v>
      </c>
      <c r="P897" s="58">
        <f t="shared" si="186"/>
        <v>417.0130015209125</v>
      </c>
      <c r="Q897" s="58">
        <f t="shared" si="187"/>
        <v>278.00866768060831</v>
      </c>
      <c r="R897" s="66">
        <f t="shared" si="188"/>
        <v>23.031628074</v>
      </c>
      <c r="S897" s="64">
        <f t="shared" si="189"/>
        <v>135</v>
      </c>
      <c r="T897" s="66">
        <f t="shared" si="190"/>
        <v>1474.124660874</v>
      </c>
      <c r="U897" s="68">
        <f t="shared" si="191"/>
        <v>40.947907246500002</v>
      </c>
      <c r="V897" s="68">
        <f t="shared" si="192"/>
        <v>467.08639444676805</v>
      </c>
      <c r="W897" s="68">
        <f t="shared" si="193"/>
        <v>311.39092963117872</v>
      </c>
    </row>
    <row r="898" spans="1:23" x14ac:dyDescent="0.25">
      <c r="A898" s="169" t="s">
        <v>888</v>
      </c>
      <c r="B898" s="61" t="s">
        <v>396</v>
      </c>
      <c r="C898" s="61" t="s">
        <v>591</v>
      </c>
      <c r="D898" s="61" t="s">
        <v>595</v>
      </c>
      <c r="E898" s="1" t="s">
        <v>373</v>
      </c>
      <c r="F898" s="62" t="str">
        <f t="shared" si="182"/>
        <v>64541</v>
      </c>
      <c r="G898" s="1">
        <v>10620058</v>
      </c>
      <c r="H898" s="1" t="s">
        <v>388</v>
      </c>
      <c r="I898" s="61">
        <v>18</v>
      </c>
      <c r="J898" s="61">
        <v>3.1</v>
      </c>
      <c r="K898" s="61">
        <v>8.1</v>
      </c>
      <c r="L898" s="69">
        <f t="shared" si="183"/>
        <v>0.55800000000000005</v>
      </c>
      <c r="M898" s="69">
        <f t="shared" si="184"/>
        <v>1.4579999999999997</v>
      </c>
      <c r="N898" s="56">
        <f>INDEX(Rate_Chart!$A$1:$AK$127,MATCH(Data!J898,Rate_Chart!$A$1:$A$127,0),MATCH(Data!K898,Rate_Chart!$A$1:$AK$1,0))</f>
        <v>35.446125899999998</v>
      </c>
      <c r="O898" s="57">
        <f t="shared" si="185"/>
        <v>638.03026619999991</v>
      </c>
      <c r="P898" s="58">
        <f t="shared" si="186"/>
        <v>417.01324588235298</v>
      </c>
      <c r="Q898" s="58">
        <f t="shared" si="187"/>
        <v>278.0088305882353</v>
      </c>
      <c r="R898" s="66">
        <f t="shared" si="188"/>
        <v>11.165529658499999</v>
      </c>
      <c r="S898" s="64">
        <f t="shared" si="189"/>
        <v>67.5</v>
      </c>
      <c r="T898" s="66">
        <f t="shared" si="190"/>
        <v>716.69579585849988</v>
      </c>
      <c r="U898" s="68">
        <f t="shared" si="191"/>
        <v>39.816433103249992</v>
      </c>
      <c r="V898" s="68">
        <f t="shared" si="192"/>
        <v>468.4286247441176</v>
      </c>
      <c r="W898" s="68">
        <f t="shared" si="193"/>
        <v>312.28574982941171</v>
      </c>
    </row>
    <row r="899" spans="1:23" x14ac:dyDescent="0.25">
      <c r="A899" s="169" t="s">
        <v>888</v>
      </c>
      <c r="B899" s="61" t="s">
        <v>397</v>
      </c>
      <c r="C899" s="61" t="s">
        <v>591</v>
      </c>
      <c r="D899" s="61" t="s">
        <v>595</v>
      </c>
      <c r="E899" s="1" t="s">
        <v>373</v>
      </c>
      <c r="F899" s="62" t="str">
        <f t="shared" si="182"/>
        <v>64541</v>
      </c>
      <c r="G899" s="1">
        <v>10620058</v>
      </c>
      <c r="H899" s="1" t="s">
        <v>387</v>
      </c>
      <c r="I899" s="61">
        <v>4</v>
      </c>
      <c r="J899" s="61">
        <v>7.4</v>
      </c>
      <c r="K899" s="61">
        <v>8.8000000000000007</v>
      </c>
      <c r="L899" s="69">
        <f t="shared" si="183"/>
        <v>0.29600000000000004</v>
      </c>
      <c r="M899" s="69">
        <f t="shared" si="184"/>
        <v>0.35200000000000004</v>
      </c>
      <c r="N899" s="56">
        <f>INDEX(Rate_Chart!$A$1:$AK$127,MATCH(Data!J899,Rate_Chart!$A$1:$A$127,0),MATCH(Data!K899,Rate_Chart!$A$1:$AK$1,0))</f>
        <v>61.172100000000007</v>
      </c>
      <c r="O899" s="57">
        <f t="shared" si="185"/>
        <v>244.68840000000003</v>
      </c>
      <c r="P899" s="58">
        <f t="shared" si="186"/>
        <v>461.09623115577887</v>
      </c>
      <c r="Q899" s="58">
        <f t="shared" si="187"/>
        <v>307.39748743718593</v>
      </c>
      <c r="R899" s="66">
        <f t="shared" si="188"/>
        <v>4.2820470000000013</v>
      </c>
      <c r="S899" s="64">
        <f t="shared" si="189"/>
        <v>15</v>
      </c>
      <c r="T899" s="66">
        <f t="shared" si="190"/>
        <v>263.97044700000004</v>
      </c>
      <c r="U899" s="68">
        <f t="shared" si="191"/>
        <v>65.992611750000009</v>
      </c>
      <c r="V899" s="68">
        <f t="shared" si="192"/>
        <v>497.43174685929648</v>
      </c>
      <c r="W899" s="68">
        <f t="shared" si="193"/>
        <v>331.6211645728643</v>
      </c>
    </row>
    <row r="900" spans="1:23" x14ac:dyDescent="0.25">
      <c r="A900" s="169" t="s">
        <v>888</v>
      </c>
      <c r="B900" s="61" t="s">
        <v>397</v>
      </c>
      <c r="C900" s="61" t="s">
        <v>591</v>
      </c>
      <c r="D900" s="61" t="s">
        <v>595</v>
      </c>
      <c r="E900" s="1" t="s">
        <v>373</v>
      </c>
      <c r="F900" s="62" t="str">
        <f t="shared" si="182"/>
        <v>64541</v>
      </c>
      <c r="G900" s="1">
        <v>10620058</v>
      </c>
      <c r="H900" s="1" t="s">
        <v>388</v>
      </c>
      <c r="I900" s="61">
        <v>11</v>
      </c>
      <c r="J900" s="61">
        <v>3.2</v>
      </c>
      <c r="K900" s="61">
        <v>8</v>
      </c>
      <c r="L900" s="69">
        <f t="shared" si="183"/>
        <v>0.35200000000000004</v>
      </c>
      <c r="M900" s="69">
        <f t="shared" si="184"/>
        <v>0.88</v>
      </c>
      <c r="N900" s="56">
        <f>INDEX(Rate_Chart!$A$1:$AK$127,MATCH(Data!J900,Rate_Chart!$A$1:$A$127,0),MATCH(Data!K900,Rate_Chart!$A$1:$AK$1,0))</f>
        <v>35.585112000000002</v>
      </c>
      <c r="O900" s="57">
        <f t="shared" si="185"/>
        <v>391.43623200000002</v>
      </c>
      <c r="P900" s="58">
        <f t="shared" si="186"/>
        <v>417.01303124999998</v>
      </c>
      <c r="Q900" s="58">
        <f t="shared" si="187"/>
        <v>278.00868750000001</v>
      </c>
      <c r="R900" s="66">
        <f t="shared" si="188"/>
        <v>6.8501340600000011</v>
      </c>
      <c r="S900" s="64">
        <f t="shared" si="189"/>
        <v>41.25</v>
      </c>
      <c r="T900" s="66">
        <f t="shared" si="190"/>
        <v>439.53636606000003</v>
      </c>
      <c r="U900" s="68">
        <f t="shared" si="191"/>
        <v>39.957851460000001</v>
      </c>
      <c r="V900" s="68">
        <f t="shared" si="192"/>
        <v>468.25607179687495</v>
      </c>
      <c r="W900" s="68">
        <f t="shared" si="193"/>
        <v>312.17071453124998</v>
      </c>
    </row>
    <row r="901" spans="1:23" x14ac:dyDescent="0.25">
      <c r="A901" s="169" t="s">
        <v>889</v>
      </c>
      <c r="B901" s="61" t="s">
        <v>396</v>
      </c>
      <c r="C901" s="61" t="s">
        <v>591</v>
      </c>
      <c r="D901" s="61" t="s">
        <v>595</v>
      </c>
      <c r="E901" s="1" t="s">
        <v>373</v>
      </c>
      <c r="F901" s="62" t="str">
        <f t="shared" ref="F901:F964" si="194">MID(E901,2,5)</f>
        <v>64541</v>
      </c>
      <c r="G901" s="1">
        <v>10620058</v>
      </c>
      <c r="H901" s="1" t="s">
        <v>388</v>
      </c>
      <c r="I901" s="61">
        <v>14</v>
      </c>
      <c r="J901" s="61">
        <v>3.2</v>
      </c>
      <c r="K901" s="61">
        <v>8.1</v>
      </c>
      <c r="L901" s="69">
        <f t="shared" si="183"/>
        <v>0.44800000000000006</v>
      </c>
      <c r="M901" s="69">
        <f t="shared" si="184"/>
        <v>1.1339999999999999</v>
      </c>
      <c r="N901" s="56">
        <f>INDEX(Rate_Chart!$A$1:$AK$127,MATCH(Data!J901,Rate_Chart!$A$1:$A$127,0),MATCH(Data!K901,Rate_Chart!$A$1:$AK$1,0))</f>
        <v>35.8631259</v>
      </c>
      <c r="O901" s="57">
        <f t="shared" si="185"/>
        <v>502.0837626</v>
      </c>
      <c r="P901" s="58">
        <f t="shared" si="186"/>
        <v>417.01309186046512</v>
      </c>
      <c r="Q901" s="58">
        <f t="shared" si="187"/>
        <v>278.00872790697673</v>
      </c>
      <c r="R901" s="66">
        <f t="shared" si="188"/>
        <v>8.7864658455000004</v>
      </c>
      <c r="S901" s="64">
        <f t="shared" si="189"/>
        <v>52.5</v>
      </c>
      <c r="T901" s="66">
        <f t="shared" si="190"/>
        <v>563.37022844550006</v>
      </c>
      <c r="U901" s="68">
        <f t="shared" si="191"/>
        <v>40.240730603250007</v>
      </c>
      <c r="V901" s="68">
        <f t="shared" si="192"/>
        <v>467.91547213081407</v>
      </c>
      <c r="W901" s="68">
        <f t="shared" si="193"/>
        <v>311.9436480872094</v>
      </c>
    </row>
    <row r="902" spans="1:23" x14ac:dyDescent="0.25">
      <c r="A902" s="169" t="s">
        <v>889</v>
      </c>
      <c r="B902" s="61" t="s">
        <v>397</v>
      </c>
      <c r="C902" s="61" t="s">
        <v>591</v>
      </c>
      <c r="D902" s="61" t="s">
        <v>595</v>
      </c>
      <c r="E902" s="1" t="s">
        <v>373</v>
      </c>
      <c r="F902" s="62" t="str">
        <f t="shared" si="194"/>
        <v>64541</v>
      </c>
      <c r="G902" s="1">
        <v>10620058</v>
      </c>
      <c r="H902" s="1" t="s">
        <v>387</v>
      </c>
      <c r="I902" s="61">
        <v>5</v>
      </c>
      <c r="J902" s="61">
        <v>7</v>
      </c>
      <c r="K902" s="61">
        <v>8.8000000000000007</v>
      </c>
      <c r="L902" s="69">
        <f t="shared" si="183"/>
        <v>0.35</v>
      </c>
      <c r="M902" s="69">
        <f t="shared" si="184"/>
        <v>0.44</v>
      </c>
      <c r="N902" s="56">
        <f>INDEX(Rate_Chart!$A$1:$AK$127,MATCH(Data!J902,Rate_Chart!$A$1:$A$127,0),MATCH(Data!K902,Rate_Chart!$A$1:$AK$1,0))</f>
        <v>57.865500000000004</v>
      </c>
      <c r="O902" s="57">
        <f t="shared" si="185"/>
        <v>289.32750000000004</v>
      </c>
      <c r="P902" s="58">
        <f t="shared" si="186"/>
        <v>449.73186528497411</v>
      </c>
      <c r="Q902" s="58">
        <f t="shared" si="187"/>
        <v>299.82124352331607</v>
      </c>
      <c r="R902" s="66">
        <f t="shared" si="188"/>
        <v>5.0632312500000012</v>
      </c>
      <c r="S902" s="64">
        <f t="shared" si="189"/>
        <v>18.75</v>
      </c>
      <c r="T902" s="66">
        <f t="shared" si="190"/>
        <v>313.14073125000004</v>
      </c>
      <c r="U902" s="68">
        <f t="shared" si="191"/>
        <v>62.628146250000007</v>
      </c>
      <c r="V902" s="68">
        <f t="shared" si="192"/>
        <v>486.74725064766841</v>
      </c>
      <c r="W902" s="68">
        <f t="shared" si="193"/>
        <v>324.49816709844561</v>
      </c>
    </row>
    <row r="903" spans="1:23" x14ac:dyDescent="0.25">
      <c r="A903" s="169" t="s">
        <v>889</v>
      </c>
      <c r="B903" s="61" t="s">
        <v>397</v>
      </c>
      <c r="C903" s="61" t="s">
        <v>591</v>
      </c>
      <c r="D903" s="61" t="s">
        <v>595</v>
      </c>
      <c r="E903" s="1" t="s">
        <v>373</v>
      </c>
      <c r="F903" s="62" t="str">
        <f t="shared" si="194"/>
        <v>64541</v>
      </c>
      <c r="G903" s="1">
        <v>10620058</v>
      </c>
      <c r="H903" s="1" t="s">
        <v>388</v>
      </c>
      <c r="I903" s="61">
        <v>10</v>
      </c>
      <c r="J903" s="61">
        <v>3</v>
      </c>
      <c r="K903" s="61">
        <v>8</v>
      </c>
      <c r="L903" s="69">
        <f t="shared" si="183"/>
        <v>0.3</v>
      </c>
      <c r="M903" s="69">
        <f t="shared" si="184"/>
        <v>0.8</v>
      </c>
      <c r="N903" s="56">
        <f>INDEX(Rate_Chart!$A$1:$AK$127,MATCH(Data!J903,Rate_Chart!$A$1:$A$127,0),MATCH(Data!K903,Rate_Chart!$A$1:$AK$1,0))</f>
        <v>34.751112000000006</v>
      </c>
      <c r="O903" s="57">
        <f t="shared" si="185"/>
        <v>347.51112000000006</v>
      </c>
      <c r="P903" s="58">
        <f t="shared" si="186"/>
        <v>417.01334400000002</v>
      </c>
      <c r="Q903" s="58">
        <f t="shared" si="187"/>
        <v>278.00889599999999</v>
      </c>
      <c r="R903" s="66">
        <f t="shared" si="188"/>
        <v>6.081444600000002</v>
      </c>
      <c r="S903" s="64">
        <f t="shared" si="189"/>
        <v>37.5</v>
      </c>
      <c r="T903" s="66">
        <f t="shared" si="190"/>
        <v>391.09256460000006</v>
      </c>
      <c r="U903" s="68">
        <f t="shared" si="191"/>
        <v>39.109256460000005</v>
      </c>
      <c r="V903" s="68">
        <f t="shared" si="192"/>
        <v>469.31107752000003</v>
      </c>
      <c r="W903" s="68">
        <f t="shared" si="193"/>
        <v>312.87405168000004</v>
      </c>
    </row>
    <row r="904" spans="1:23" x14ac:dyDescent="0.25">
      <c r="A904" s="169" t="s">
        <v>890</v>
      </c>
      <c r="B904" s="61" t="s">
        <v>396</v>
      </c>
      <c r="C904" s="61" t="s">
        <v>591</v>
      </c>
      <c r="D904" s="61" t="s">
        <v>595</v>
      </c>
      <c r="E904" s="1" t="s">
        <v>373</v>
      </c>
      <c r="F904" s="62" t="str">
        <f t="shared" si="194"/>
        <v>64541</v>
      </c>
      <c r="G904" s="1">
        <v>10620058</v>
      </c>
      <c r="H904" s="1" t="s">
        <v>388</v>
      </c>
      <c r="I904" s="61">
        <v>16</v>
      </c>
      <c r="J904" s="61">
        <v>3.2</v>
      </c>
      <c r="K904" s="61">
        <v>8.1</v>
      </c>
      <c r="L904" s="69">
        <f t="shared" si="183"/>
        <v>0.51200000000000001</v>
      </c>
      <c r="M904" s="69">
        <f t="shared" si="184"/>
        <v>1.296</v>
      </c>
      <c r="N904" s="56">
        <f>INDEX(Rate_Chart!$A$1:$AK$127,MATCH(Data!J904,Rate_Chart!$A$1:$A$127,0),MATCH(Data!K904,Rate_Chart!$A$1:$AK$1,0))</f>
        <v>35.8631259</v>
      </c>
      <c r="O904" s="57">
        <f t="shared" si="185"/>
        <v>573.8100144</v>
      </c>
      <c r="P904" s="58">
        <f t="shared" si="186"/>
        <v>417.01309186046512</v>
      </c>
      <c r="Q904" s="58">
        <f t="shared" si="187"/>
        <v>278.00872790697673</v>
      </c>
      <c r="R904" s="66">
        <f t="shared" si="188"/>
        <v>10.041675252000001</v>
      </c>
      <c r="S904" s="64">
        <f t="shared" si="189"/>
        <v>60</v>
      </c>
      <c r="T904" s="66">
        <f t="shared" si="190"/>
        <v>643.851689652</v>
      </c>
      <c r="U904" s="68">
        <f t="shared" si="191"/>
        <v>40.24073060325</v>
      </c>
      <c r="V904" s="68">
        <f t="shared" si="192"/>
        <v>467.91547213081401</v>
      </c>
      <c r="W904" s="68">
        <f t="shared" si="193"/>
        <v>311.94364808720934</v>
      </c>
    </row>
    <row r="905" spans="1:23" x14ac:dyDescent="0.25">
      <c r="A905" s="169" t="s">
        <v>890</v>
      </c>
      <c r="B905" s="61" t="s">
        <v>397</v>
      </c>
      <c r="C905" s="61" t="s">
        <v>591</v>
      </c>
      <c r="D905" s="61" t="s">
        <v>595</v>
      </c>
      <c r="E905" s="1" t="s">
        <v>373</v>
      </c>
      <c r="F905" s="62" t="str">
        <f t="shared" si="194"/>
        <v>64541</v>
      </c>
      <c r="G905" s="1">
        <v>10620058</v>
      </c>
      <c r="H905" s="1" t="s">
        <v>387</v>
      </c>
      <c r="I905" s="61">
        <v>14</v>
      </c>
      <c r="J905" s="61">
        <v>5.6</v>
      </c>
      <c r="K905" s="61">
        <v>8.4</v>
      </c>
      <c r="L905" s="69">
        <f t="shared" si="183"/>
        <v>0.78399999999999992</v>
      </c>
      <c r="M905" s="69">
        <f t="shared" si="184"/>
        <v>1.1760000000000002</v>
      </c>
      <c r="N905" s="56">
        <f>INDEX(Rate_Chart!$A$1:$AK$127,MATCH(Data!J905,Rate_Chart!$A$1:$A$127,0),MATCH(Data!K905,Rate_Chart!$A$1:$AK$1,0))</f>
        <v>45.357199999999999</v>
      </c>
      <c r="O905" s="57">
        <f t="shared" si="185"/>
        <v>635.00080000000003</v>
      </c>
      <c r="P905" s="58">
        <f t="shared" si="186"/>
        <v>404.97500000000002</v>
      </c>
      <c r="Q905" s="58">
        <f t="shared" si="187"/>
        <v>269.98333333333335</v>
      </c>
      <c r="R905" s="66">
        <f t="shared" si="188"/>
        <v>11.112514000000001</v>
      </c>
      <c r="S905" s="64">
        <f t="shared" si="189"/>
        <v>52.5</v>
      </c>
      <c r="T905" s="66">
        <f t="shared" si="190"/>
        <v>698.61331400000006</v>
      </c>
      <c r="U905" s="68">
        <f t="shared" si="191"/>
        <v>49.900951000000006</v>
      </c>
      <c r="V905" s="68">
        <f t="shared" si="192"/>
        <v>445.54420535714297</v>
      </c>
      <c r="W905" s="68">
        <f t="shared" si="193"/>
        <v>297.02947023809531</v>
      </c>
    </row>
    <row r="906" spans="1:23" x14ac:dyDescent="0.25">
      <c r="A906" s="169" t="s">
        <v>891</v>
      </c>
      <c r="B906" s="61" t="s">
        <v>396</v>
      </c>
      <c r="C906" s="61" t="s">
        <v>591</v>
      </c>
      <c r="D906" s="61" t="s">
        <v>595</v>
      </c>
      <c r="E906" s="1" t="s">
        <v>373</v>
      </c>
      <c r="F906" s="62" t="str">
        <f t="shared" si="194"/>
        <v>64541</v>
      </c>
      <c r="G906" s="1">
        <v>10620058</v>
      </c>
      <c r="H906" s="1" t="s">
        <v>388</v>
      </c>
      <c r="I906" s="61">
        <v>17</v>
      </c>
      <c r="J906" s="61">
        <v>3.3</v>
      </c>
      <c r="K906" s="61">
        <v>8.1</v>
      </c>
      <c r="L906" s="69">
        <f t="shared" si="183"/>
        <v>0.56099999999999994</v>
      </c>
      <c r="M906" s="69">
        <f t="shared" si="184"/>
        <v>1.3769999999999998</v>
      </c>
      <c r="N906" s="56">
        <f>INDEX(Rate_Chart!$A$1:$AK$127,MATCH(Data!J906,Rate_Chart!$A$1:$A$127,0),MATCH(Data!K906,Rate_Chart!$A$1:$AK$1,0))</f>
        <v>36.280125900000002</v>
      </c>
      <c r="O906" s="57">
        <f t="shared" si="185"/>
        <v>616.76214030000006</v>
      </c>
      <c r="P906" s="58">
        <f t="shared" si="186"/>
        <v>417.0129413793104</v>
      </c>
      <c r="Q906" s="58">
        <f t="shared" si="187"/>
        <v>278.00862758620696</v>
      </c>
      <c r="R906" s="66">
        <f t="shared" si="188"/>
        <v>10.793337455250002</v>
      </c>
      <c r="S906" s="64">
        <f t="shared" si="189"/>
        <v>63.75</v>
      </c>
      <c r="T906" s="66">
        <f t="shared" si="190"/>
        <v>691.30547775525008</v>
      </c>
      <c r="U906" s="68">
        <f t="shared" si="191"/>
        <v>40.665028103250002</v>
      </c>
      <c r="V906" s="68">
        <f t="shared" si="192"/>
        <v>467.4141161293104</v>
      </c>
      <c r="W906" s="68">
        <f t="shared" si="193"/>
        <v>311.6094107528736</v>
      </c>
    </row>
    <row r="907" spans="1:23" x14ac:dyDescent="0.25">
      <c r="A907" s="169" t="s">
        <v>891</v>
      </c>
      <c r="B907" s="61" t="s">
        <v>397</v>
      </c>
      <c r="C907" s="61" t="s">
        <v>591</v>
      </c>
      <c r="D907" s="61" t="s">
        <v>595</v>
      </c>
      <c r="E907" s="1" t="s">
        <v>373</v>
      </c>
      <c r="F907" s="62" t="str">
        <f t="shared" si="194"/>
        <v>64541</v>
      </c>
      <c r="G907" s="1">
        <v>10620058</v>
      </c>
      <c r="H907" s="1" t="s">
        <v>387</v>
      </c>
      <c r="I907" s="61">
        <v>5</v>
      </c>
      <c r="J907" s="61">
        <v>7.2</v>
      </c>
      <c r="K907" s="61">
        <v>8.8000000000000007</v>
      </c>
      <c r="L907" s="69">
        <f t="shared" si="183"/>
        <v>0.36</v>
      </c>
      <c r="M907" s="69">
        <f t="shared" si="184"/>
        <v>0.44</v>
      </c>
      <c r="N907" s="56">
        <f>INDEX(Rate_Chart!$A$1:$AK$127,MATCH(Data!J907,Rate_Chart!$A$1:$A$127,0),MATCH(Data!K907,Rate_Chart!$A$1:$AK$1,0))</f>
        <v>59.518800000000006</v>
      </c>
      <c r="O907" s="57">
        <f t="shared" si="185"/>
        <v>297.59400000000005</v>
      </c>
      <c r="P907" s="58">
        <f t="shared" si="186"/>
        <v>455.50102040816324</v>
      </c>
      <c r="Q907" s="58">
        <f t="shared" si="187"/>
        <v>303.66734693877549</v>
      </c>
      <c r="R907" s="66">
        <f t="shared" si="188"/>
        <v>5.2078950000000015</v>
      </c>
      <c r="S907" s="64">
        <f t="shared" si="189"/>
        <v>18.75</v>
      </c>
      <c r="T907" s="66">
        <f t="shared" si="190"/>
        <v>321.55189500000006</v>
      </c>
      <c r="U907" s="68">
        <f t="shared" si="191"/>
        <v>64.310379000000012</v>
      </c>
      <c r="V907" s="68">
        <f t="shared" si="192"/>
        <v>492.17126785714288</v>
      </c>
      <c r="W907" s="68">
        <f t="shared" si="193"/>
        <v>328.11417857142857</v>
      </c>
    </row>
    <row r="908" spans="1:23" x14ac:dyDescent="0.25">
      <c r="A908" s="169" t="s">
        <v>891</v>
      </c>
      <c r="B908" s="61" t="s">
        <v>397</v>
      </c>
      <c r="C908" s="61" t="s">
        <v>591</v>
      </c>
      <c r="D908" s="61" t="s">
        <v>595</v>
      </c>
      <c r="E908" s="1" t="s">
        <v>373</v>
      </c>
      <c r="F908" s="62" t="str">
        <f t="shared" si="194"/>
        <v>64541</v>
      </c>
      <c r="G908" s="1">
        <v>10620058</v>
      </c>
      <c r="H908" s="1" t="s">
        <v>388</v>
      </c>
      <c r="I908" s="61">
        <v>7</v>
      </c>
      <c r="J908" s="61">
        <v>3.3</v>
      </c>
      <c r="K908" s="61">
        <v>8</v>
      </c>
      <c r="L908" s="69">
        <f t="shared" si="183"/>
        <v>0.23099999999999998</v>
      </c>
      <c r="M908" s="69">
        <f t="shared" si="184"/>
        <v>0.56000000000000005</v>
      </c>
      <c r="N908" s="56">
        <f>INDEX(Rate_Chart!$A$1:$AK$127,MATCH(Data!J908,Rate_Chart!$A$1:$A$127,0),MATCH(Data!K908,Rate_Chart!$A$1:$AK$1,0))</f>
        <v>36.002112000000004</v>
      </c>
      <c r="O908" s="57">
        <f t="shared" si="185"/>
        <v>252.01478400000002</v>
      </c>
      <c r="P908" s="58">
        <f t="shared" si="186"/>
        <v>417.01288030888031</v>
      </c>
      <c r="Q908" s="58">
        <f t="shared" si="187"/>
        <v>278.00858687258687</v>
      </c>
      <c r="R908" s="66">
        <f t="shared" si="188"/>
        <v>4.4102587200000007</v>
      </c>
      <c r="S908" s="64">
        <f t="shared" si="189"/>
        <v>26.25</v>
      </c>
      <c r="T908" s="66">
        <f t="shared" si="190"/>
        <v>282.67504272000002</v>
      </c>
      <c r="U908" s="68">
        <f t="shared" si="191"/>
        <v>40.382148960000002</v>
      </c>
      <c r="V908" s="68">
        <f t="shared" si="192"/>
        <v>467.74689915057911</v>
      </c>
      <c r="W908" s="68">
        <f t="shared" si="193"/>
        <v>311.83126610038607</v>
      </c>
    </row>
    <row r="909" spans="1:23" x14ac:dyDescent="0.25">
      <c r="A909" s="169" t="s">
        <v>892</v>
      </c>
      <c r="B909" s="61" t="s">
        <v>396</v>
      </c>
      <c r="C909" s="61" t="s">
        <v>591</v>
      </c>
      <c r="D909" s="61" t="s">
        <v>595</v>
      </c>
      <c r="E909" s="1" t="s">
        <v>373</v>
      </c>
      <c r="F909" s="62" t="str">
        <f t="shared" si="194"/>
        <v>64541</v>
      </c>
      <c r="G909" s="1">
        <v>10620058</v>
      </c>
      <c r="H909" s="1" t="s">
        <v>388</v>
      </c>
      <c r="I909" s="61">
        <v>14</v>
      </c>
      <c r="J909" s="61">
        <v>3.3</v>
      </c>
      <c r="K909" s="61">
        <v>8.1</v>
      </c>
      <c r="L909" s="69">
        <f t="shared" si="183"/>
        <v>0.46199999999999997</v>
      </c>
      <c r="M909" s="69">
        <f t="shared" si="184"/>
        <v>1.1339999999999999</v>
      </c>
      <c r="N909" s="56">
        <f>INDEX(Rate_Chart!$A$1:$AK$127,MATCH(Data!J909,Rate_Chart!$A$1:$A$127,0),MATCH(Data!K909,Rate_Chart!$A$1:$AK$1,0))</f>
        <v>36.280125900000002</v>
      </c>
      <c r="O909" s="57">
        <f t="shared" si="185"/>
        <v>507.92176260000002</v>
      </c>
      <c r="P909" s="58">
        <f t="shared" si="186"/>
        <v>417.0129413793104</v>
      </c>
      <c r="Q909" s="58">
        <f t="shared" si="187"/>
        <v>278.00862758620696</v>
      </c>
      <c r="R909" s="66">
        <f t="shared" si="188"/>
        <v>8.8886308455000016</v>
      </c>
      <c r="S909" s="64">
        <f t="shared" si="189"/>
        <v>52.5</v>
      </c>
      <c r="T909" s="66">
        <f t="shared" si="190"/>
        <v>569.31039344550004</v>
      </c>
      <c r="U909" s="68">
        <f t="shared" si="191"/>
        <v>40.665028103250002</v>
      </c>
      <c r="V909" s="68">
        <f t="shared" si="192"/>
        <v>467.4141161293104</v>
      </c>
      <c r="W909" s="68">
        <f t="shared" si="193"/>
        <v>311.6094107528736</v>
      </c>
    </row>
    <row r="910" spans="1:23" x14ac:dyDescent="0.25">
      <c r="A910" s="169" t="s">
        <v>892</v>
      </c>
      <c r="B910" s="61" t="s">
        <v>397</v>
      </c>
      <c r="C910" s="61" t="s">
        <v>591</v>
      </c>
      <c r="D910" s="61" t="s">
        <v>595</v>
      </c>
      <c r="E910" s="1" t="s">
        <v>373</v>
      </c>
      <c r="F910" s="62" t="str">
        <f t="shared" si="194"/>
        <v>64541</v>
      </c>
      <c r="G910" s="1">
        <v>10620058</v>
      </c>
      <c r="H910" s="1" t="s">
        <v>387</v>
      </c>
      <c r="I910" s="61">
        <v>8</v>
      </c>
      <c r="J910" s="61">
        <v>7.1</v>
      </c>
      <c r="K910" s="61">
        <v>9</v>
      </c>
      <c r="L910" s="69">
        <f t="shared" si="183"/>
        <v>0.56799999999999995</v>
      </c>
      <c r="M910" s="69">
        <f t="shared" si="184"/>
        <v>0.72</v>
      </c>
      <c r="N910" s="56">
        <f>INDEX(Rate_Chart!$A$1:$AK$127,MATCH(Data!J910,Rate_Chart!$A$1:$A$127,0),MATCH(Data!K910,Rate_Chart!$A$1:$AK$1,0))</f>
        <v>59.284999999999997</v>
      </c>
      <c r="O910" s="57">
        <f t="shared" si="185"/>
        <v>474.28</v>
      </c>
      <c r="P910" s="58">
        <f t="shared" si="186"/>
        <v>452.55725190839689</v>
      </c>
      <c r="Q910" s="58">
        <f t="shared" si="187"/>
        <v>301.70483460559791</v>
      </c>
      <c r="R910" s="66">
        <f t="shared" si="188"/>
        <v>8.2999000000000009</v>
      </c>
      <c r="S910" s="64">
        <f t="shared" si="189"/>
        <v>30</v>
      </c>
      <c r="T910" s="66">
        <f t="shared" si="190"/>
        <v>512.57989999999995</v>
      </c>
      <c r="U910" s="68">
        <f t="shared" si="191"/>
        <v>64.072487499999994</v>
      </c>
      <c r="V910" s="68">
        <f t="shared" si="192"/>
        <v>489.10295801526712</v>
      </c>
      <c r="W910" s="68">
        <f t="shared" si="193"/>
        <v>326.06863867684473</v>
      </c>
    </row>
    <row r="911" spans="1:23" x14ac:dyDescent="0.25">
      <c r="A911" s="169" t="s">
        <v>892</v>
      </c>
      <c r="B911" s="61" t="s">
        <v>397</v>
      </c>
      <c r="C911" s="61" t="s">
        <v>591</v>
      </c>
      <c r="D911" s="61" t="s">
        <v>595</v>
      </c>
      <c r="E911" s="1" t="s">
        <v>373</v>
      </c>
      <c r="F911" s="62" t="str">
        <f t="shared" si="194"/>
        <v>64541</v>
      </c>
      <c r="G911" s="1">
        <v>10620058</v>
      </c>
      <c r="H911" s="1" t="s">
        <v>388</v>
      </c>
      <c r="I911" s="61">
        <v>7</v>
      </c>
      <c r="J911" s="61">
        <v>3.3</v>
      </c>
      <c r="K911" s="61">
        <v>8.1</v>
      </c>
      <c r="L911" s="69">
        <f t="shared" si="183"/>
        <v>0.23099999999999998</v>
      </c>
      <c r="M911" s="69">
        <f t="shared" si="184"/>
        <v>0.56699999999999995</v>
      </c>
      <c r="N911" s="56">
        <f>INDEX(Rate_Chart!$A$1:$AK$127,MATCH(Data!J911,Rate_Chart!$A$1:$A$127,0),MATCH(Data!K911,Rate_Chart!$A$1:$AK$1,0))</f>
        <v>36.280125900000002</v>
      </c>
      <c r="O911" s="57">
        <f t="shared" si="185"/>
        <v>253.96088130000001</v>
      </c>
      <c r="P911" s="58">
        <f t="shared" si="186"/>
        <v>417.0129413793104</v>
      </c>
      <c r="Q911" s="58">
        <f t="shared" si="187"/>
        <v>278.00862758620696</v>
      </c>
      <c r="R911" s="66">
        <f t="shared" si="188"/>
        <v>4.4443154227500008</v>
      </c>
      <c r="S911" s="64">
        <f t="shared" si="189"/>
        <v>26.25</v>
      </c>
      <c r="T911" s="66">
        <f t="shared" si="190"/>
        <v>284.65519672275002</v>
      </c>
      <c r="U911" s="68">
        <f t="shared" si="191"/>
        <v>40.665028103250002</v>
      </c>
      <c r="V911" s="68">
        <f t="shared" si="192"/>
        <v>467.4141161293104</v>
      </c>
      <c r="W911" s="68">
        <f t="shared" si="193"/>
        <v>311.6094107528736</v>
      </c>
    </row>
    <row r="912" spans="1:23" x14ac:dyDescent="0.25">
      <c r="A912" s="169" t="s">
        <v>893</v>
      </c>
      <c r="B912" s="61" t="s">
        <v>396</v>
      </c>
      <c r="C912" s="61" t="s">
        <v>591</v>
      </c>
      <c r="D912" s="61" t="s">
        <v>595</v>
      </c>
      <c r="E912" s="1" t="s">
        <v>373</v>
      </c>
      <c r="F912" s="62" t="str">
        <f t="shared" si="194"/>
        <v>64541</v>
      </c>
      <c r="G912" s="1">
        <v>10620058</v>
      </c>
      <c r="H912" s="1" t="s">
        <v>388</v>
      </c>
      <c r="I912" s="61">
        <v>15</v>
      </c>
      <c r="J912" s="61">
        <v>3.6</v>
      </c>
      <c r="K912" s="61">
        <v>8.1</v>
      </c>
      <c r="L912" s="69">
        <f t="shared" si="183"/>
        <v>0.54</v>
      </c>
      <c r="M912" s="69">
        <f t="shared" si="184"/>
        <v>1.2150000000000001</v>
      </c>
      <c r="N912" s="56">
        <f>INDEX(Rate_Chart!$A$1:$AK$127,MATCH(Data!J912,Rate_Chart!$A$1:$A$127,0),MATCH(Data!K912,Rate_Chart!$A$1:$AK$1,0))</f>
        <v>37.531125900000006</v>
      </c>
      <c r="O912" s="57">
        <f t="shared" si="185"/>
        <v>562.9668885000001</v>
      </c>
      <c r="P912" s="58">
        <f t="shared" si="186"/>
        <v>417.01251000000008</v>
      </c>
      <c r="Q912" s="58">
        <f t="shared" si="187"/>
        <v>278.00834000000003</v>
      </c>
      <c r="R912" s="66">
        <f t="shared" si="188"/>
        <v>9.8519205487500034</v>
      </c>
      <c r="S912" s="64">
        <f t="shared" si="189"/>
        <v>56.25</v>
      </c>
      <c r="T912" s="66">
        <f t="shared" si="190"/>
        <v>629.06880904875015</v>
      </c>
      <c r="U912" s="68">
        <f t="shared" si="191"/>
        <v>41.937920603250014</v>
      </c>
      <c r="V912" s="68">
        <f t="shared" si="192"/>
        <v>465.97689559166685</v>
      </c>
      <c r="W912" s="68">
        <f t="shared" si="193"/>
        <v>310.65126372777792</v>
      </c>
    </row>
    <row r="913" spans="1:23" x14ac:dyDescent="0.25">
      <c r="A913" s="169" t="s">
        <v>893</v>
      </c>
      <c r="B913" s="61" t="s">
        <v>397</v>
      </c>
      <c r="C913" s="61" t="s">
        <v>591</v>
      </c>
      <c r="D913" s="61" t="s">
        <v>595</v>
      </c>
      <c r="E913" s="1" t="s">
        <v>373</v>
      </c>
      <c r="F913" s="62" t="str">
        <f t="shared" si="194"/>
        <v>64541</v>
      </c>
      <c r="G913" s="1">
        <v>10620058</v>
      </c>
      <c r="H913" s="1" t="s">
        <v>387</v>
      </c>
      <c r="I913" s="61">
        <v>5</v>
      </c>
      <c r="J913" s="61">
        <v>6.5</v>
      </c>
      <c r="K913" s="61">
        <v>8.8000000000000007</v>
      </c>
      <c r="L913" s="69">
        <f t="shared" si="183"/>
        <v>0.32500000000000001</v>
      </c>
      <c r="M913" s="69">
        <f t="shared" si="184"/>
        <v>0.44</v>
      </c>
      <c r="N913" s="56">
        <f>INDEX(Rate_Chart!$A$1:$AK$127,MATCH(Data!J913,Rate_Chart!$A$1:$A$127,0),MATCH(Data!K913,Rate_Chart!$A$1:$AK$1,0))</f>
        <v>53.732250000000001</v>
      </c>
      <c r="O913" s="57">
        <f t="shared" si="185"/>
        <v>268.66125</v>
      </c>
      <c r="P913" s="58">
        <f t="shared" si="186"/>
        <v>434.49258760107813</v>
      </c>
      <c r="Q913" s="58">
        <f t="shared" si="187"/>
        <v>289.66172506738542</v>
      </c>
      <c r="R913" s="66">
        <f t="shared" si="188"/>
        <v>4.701571875</v>
      </c>
      <c r="S913" s="64">
        <f t="shared" si="189"/>
        <v>18.75</v>
      </c>
      <c r="T913" s="66">
        <f t="shared" si="190"/>
        <v>292.11282187500001</v>
      </c>
      <c r="U913" s="68">
        <f t="shared" si="191"/>
        <v>58.422564375</v>
      </c>
      <c r="V913" s="68">
        <f t="shared" si="192"/>
        <v>472.41965801886789</v>
      </c>
      <c r="W913" s="68">
        <f t="shared" si="193"/>
        <v>314.94643867924526</v>
      </c>
    </row>
    <row r="914" spans="1:23" x14ac:dyDescent="0.25">
      <c r="A914" s="169" t="s">
        <v>893</v>
      </c>
      <c r="B914" s="61" t="s">
        <v>397</v>
      </c>
      <c r="C914" s="61" t="s">
        <v>591</v>
      </c>
      <c r="D914" s="61" t="s">
        <v>595</v>
      </c>
      <c r="E914" s="1" t="s">
        <v>373</v>
      </c>
      <c r="F914" s="62" t="str">
        <f t="shared" si="194"/>
        <v>64541</v>
      </c>
      <c r="G914" s="1">
        <v>10620058</v>
      </c>
      <c r="H914" s="1" t="s">
        <v>388</v>
      </c>
      <c r="I914" s="61">
        <v>10</v>
      </c>
      <c r="J914" s="61">
        <v>3.1</v>
      </c>
      <c r="K914" s="61">
        <v>8.1</v>
      </c>
      <c r="L914" s="69">
        <f t="shared" si="183"/>
        <v>0.31</v>
      </c>
      <c r="M914" s="69">
        <f t="shared" si="184"/>
        <v>0.81</v>
      </c>
      <c r="N914" s="56">
        <f>INDEX(Rate_Chart!$A$1:$AK$127,MATCH(Data!J914,Rate_Chart!$A$1:$A$127,0),MATCH(Data!K914,Rate_Chart!$A$1:$AK$1,0))</f>
        <v>35.446125899999998</v>
      </c>
      <c r="O914" s="57">
        <f t="shared" si="185"/>
        <v>354.46125899999998</v>
      </c>
      <c r="P914" s="58">
        <f t="shared" si="186"/>
        <v>417.01324588235298</v>
      </c>
      <c r="Q914" s="58">
        <f t="shared" si="187"/>
        <v>278.0088305882353</v>
      </c>
      <c r="R914" s="66">
        <f t="shared" si="188"/>
        <v>6.2030720325000006</v>
      </c>
      <c r="S914" s="64">
        <f t="shared" si="189"/>
        <v>37.5</v>
      </c>
      <c r="T914" s="66">
        <f t="shared" si="190"/>
        <v>398.1643310325</v>
      </c>
      <c r="U914" s="68">
        <f t="shared" si="191"/>
        <v>39.816433103249999</v>
      </c>
      <c r="V914" s="68">
        <f t="shared" si="192"/>
        <v>468.42862474411766</v>
      </c>
      <c r="W914" s="68">
        <f t="shared" si="193"/>
        <v>312.28574982941177</v>
      </c>
    </row>
    <row r="915" spans="1:23" x14ac:dyDescent="0.25">
      <c r="A915" s="169" t="s">
        <v>894</v>
      </c>
      <c r="B915" s="61" t="s">
        <v>396</v>
      </c>
      <c r="C915" s="61" t="s">
        <v>591</v>
      </c>
      <c r="D915" s="61" t="s">
        <v>595</v>
      </c>
      <c r="E915" s="1" t="s">
        <v>373</v>
      </c>
      <c r="F915" s="62" t="str">
        <f t="shared" si="194"/>
        <v>64541</v>
      </c>
      <c r="G915" s="1">
        <v>10620058</v>
      </c>
      <c r="H915" s="1" t="s">
        <v>388</v>
      </c>
      <c r="I915" s="61">
        <v>17</v>
      </c>
      <c r="J915" s="61">
        <v>3.8</v>
      </c>
      <c r="K915" s="61">
        <v>8.1999999999999993</v>
      </c>
      <c r="L915" s="69">
        <f t="shared" si="183"/>
        <v>0.64599999999999991</v>
      </c>
      <c r="M915" s="69">
        <f t="shared" si="184"/>
        <v>1.3939999999999997</v>
      </c>
      <c r="N915" s="56">
        <f>INDEX(Rate_Chart!$A$1:$AK$127,MATCH(Data!J915,Rate_Chart!$A$1:$A$127,0),MATCH(Data!K915,Rate_Chart!$A$1:$AK$1,0))</f>
        <v>38.6431398</v>
      </c>
      <c r="O915" s="57">
        <f t="shared" si="185"/>
        <v>656.93337659999997</v>
      </c>
      <c r="P915" s="58">
        <f t="shared" si="186"/>
        <v>417.01230000000004</v>
      </c>
      <c r="Q915" s="58">
        <f t="shared" si="187"/>
        <v>278.00820000000004</v>
      </c>
      <c r="R915" s="66">
        <f t="shared" si="188"/>
        <v>11.496334090500001</v>
      </c>
      <c r="S915" s="64">
        <f t="shared" si="189"/>
        <v>63.75</v>
      </c>
      <c r="T915" s="66">
        <f t="shared" si="190"/>
        <v>732.17971069049997</v>
      </c>
      <c r="U915" s="68">
        <f t="shared" si="191"/>
        <v>43.069394746499995</v>
      </c>
      <c r="V915" s="68">
        <f t="shared" si="192"/>
        <v>464.77764114928056</v>
      </c>
      <c r="W915" s="68">
        <f t="shared" si="193"/>
        <v>309.85176076618706</v>
      </c>
    </row>
    <row r="916" spans="1:23" x14ac:dyDescent="0.25">
      <c r="A916" s="169" t="s">
        <v>894</v>
      </c>
      <c r="B916" s="61" t="s">
        <v>397</v>
      </c>
      <c r="C916" s="61" t="s">
        <v>591</v>
      </c>
      <c r="D916" s="61" t="s">
        <v>595</v>
      </c>
      <c r="E916" s="1" t="s">
        <v>373</v>
      </c>
      <c r="F916" s="62" t="str">
        <f t="shared" si="194"/>
        <v>64541</v>
      </c>
      <c r="G916" s="1">
        <v>10620058</v>
      </c>
      <c r="H916" s="1" t="s">
        <v>387</v>
      </c>
      <c r="I916" s="61">
        <v>5</v>
      </c>
      <c r="J916" s="61">
        <v>7</v>
      </c>
      <c r="K916" s="61">
        <v>8.8000000000000007</v>
      </c>
      <c r="L916" s="69">
        <f t="shared" si="183"/>
        <v>0.35</v>
      </c>
      <c r="M916" s="69">
        <f t="shared" si="184"/>
        <v>0.44</v>
      </c>
      <c r="N916" s="56">
        <f>INDEX(Rate_Chart!$A$1:$AK$127,MATCH(Data!J916,Rate_Chart!$A$1:$A$127,0),MATCH(Data!K916,Rate_Chart!$A$1:$AK$1,0))</f>
        <v>57.865500000000004</v>
      </c>
      <c r="O916" s="57">
        <f t="shared" si="185"/>
        <v>289.32750000000004</v>
      </c>
      <c r="P916" s="58">
        <f t="shared" si="186"/>
        <v>449.73186528497411</v>
      </c>
      <c r="Q916" s="58">
        <f t="shared" si="187"/>
        <v>299.82124352331607</v>
      </c>
      <c r="R916" s="66">
        <f t="shared" si="188"/>
        <v>5.0632312500000012</v>
      </c>
      <c r="S916" s="64">
        <f t="shared" si="189"/>
        <v>18.75</v>
      </c>
      <c r="T916" s="66">
        <f t="shared" si="190"/>
        <v>313.14073125000004</v>
      </c>
      <c r="U916" s="68">
        <f t="shared" si="191"/>
        <v>62.628146250000007</v>
      </c>
      <c r="V916" s="68">
        <f t="shared" si="192"/>
        <v>486.74725064766841</v>
      </c>
      <c r="W916" s="68">
        <f t="shared" si="193"/>
        <v>324.49816709844561</v>
      </c>
    </row>
    <row r="917" spans="1:23" x14ac:dyDescent="0.25">
      <c r="A917" s="169" t="s">
        <v>894</v>
      </c>
      <c r="B917" s="61" t="s">
        <v>397</v>
      </c>
      <c r="C917" s="61" t="s">
        <v>591</v>
      </c>
      <c r="D917" s="61" t="s">
        <v>595</v>
      </c>
      <c r="E917" s="1" t="s">
        <v>373</v>
      </c>
      <c r="F917" s="62" t="str">
        <f t="shared" si="194"/>
        <v>64541</v>
      </c>
      <c r="G917" s="1">
        <v>10620058</v>
      </c>
      <c r="H917" s="1" t="s">
        <v>388</v>
      </c>
      <c r="I917" s="61">
        <v>7</v>
      </c>
      <c r="J917" s="61">
        <v>3.2</v>
      </c>
      <c r="K917" s="61">
        <v>8.1</v>
      </c>
      <c r="L917" s="69">
        <f t="shared" si="183"/>
        <v>0.22400000000000003</v>
      </c>
      <c r="M917" s="69">
        <f t="shared" si="184"/>
        <v>0.56699999999999995</v>
      </c>
      <c r="N917" s="56">
        <f>INDEX(Rate_Chart!$A$1:$AK$127,MATCH(Data!J917,Rate_Chart!$A$1:$A$127,0),MATCH(Data!K917,Rate_Chart!$A$1:$AK$1,0))</f>
        <v>35.8631259</v>
      </c>
      <c r="O917" s="57">
        <f t="shared" si="185"/>
        <v>251.0418813</v>
      </c>
      <c r="P917" s="58">
        <f t="shared" si="186"/>
        <v>417.01309186046512</v>
      </c>
      <c r="Q917" s="58">
        <f t="shared" si="187"/>
        <v>278.00872790697673</v>
      </c>
      <c r="R917" s="66">
        <f t="shared" si="188"/>
        <v>4.3932329227500002</v>
      </c>
      <c r="S917" s="64">
        <f t="shared" si="189"/>
        <v>26.25</v>
      </c>
      <c r="T917" s="66">
        <f t="shared" si="190"/>
        <v>281.68511422275003</v>
      </c>
      <c r="U917" s="68">
        <f t="shared" si="191"/>
        <v>40.240730603250007</v>
      </c>
      <c r="V917" s="68">
        <f t="shared" si="192"/>
        <v>467.91547213081407</v>
      </c>
      <c r="W917" s="68">
        <f t="shared" si="193"/>
        <v>311.9436480872094</v>
      </c>
    </row>
    <row r="918" spans="1:23" x14ac:dyDescent="0.25">
      <c r="A918" s="169" t="s">
        <v>888</v>
      </c>
      <c r="B918" s="61" t="s">
        <v>396</v>
      </c>
      <c r="C918" s="61" t="s">
        <v>591</v>
      </c>
      <c r="D918" s="61" t="s">
        <v>592</v>
      </c>
      <c r="E918" s="1" t="s">
        <v>879</v>
      </c>
      <c r="F918" s="62" t="str">
        <f t="shared" si="194"/>
        <v>64542</v>
      </c>
      <c r="G918" s="1">
        <v>10620075</v>
      </c>
      <c r="H918" s="1" t="s">
        <v>387</v>
      </c>
      <c r="I918" s="61">
        <v>30</v>
      </c>
      <c r="J918" s="61">
        <v>8.1999999999999993</v>
      </c>
      <c r="K918" s="61">
        <v>9</v>
      </c>
      <c r="L918" s="69">
        <f t="shared" si="183"/>
        <v>2.4599999999999995</v>
      </c>
      <c r="M918" s="69">
        <f t="shared" si="184"/>
        <v>2.7</v>
      </c>
      <c r="N918" s="56">
        <f>INDEX(Rate_Chart!$A$1:$AK$127,MATCH(Data!J918,Rate_Chart!$A$1:$A$127,0),MATCH(Data!K918,Rate_Chart!$A$1:$AK$1,0))</f>
        <v>68.469999999999985</v>
      </c>
      <c r="O918" s="57">
        <f t="shared" si="185"/>
        <v>2054.0999999999995</v>
      </c>
      <c r="P918" s="58">
        <f t="shared" si="186"/>
        <v>482.18309859154925</v>
      </c>
      <c r="Q918" s="58">
        <f t="shared" si="187"/>
        <v>321.45539906103284</v>
      </c>
      <c r="R918" s="66">
        <f t="shared" si="188"/>
        <v>35.946749999999994</v>
      </c>
      <c r="S918" s="64">
        <f t="shared" si="189"/>
        <v>112.5</v>
      </c>
      <c r="T918" s="66">
        <f t="shared" si="190"/>
        <v>2202.5467499999995</v>
      </c>
      <c r="U918" s="68">
        <f t="shared" si="191"/>
        <v>73.418224999999978</v>
      </c>
      <c r="V918" s="68">
        <f t="shared" si="192"/>
        <v>517.02975352112662</v>
      </c>
      <c r="W918" s="68">
        <f t="shared" si="193"/>
        <v>344.68650234741773</v>
      </c>
    </row>
    <row r="919" spans="1:23" x14ac:dyDescent="0.25">
      <c r="A919" s="169" t="s">
        <v>888</v>
      </c>
      <c r="B919" s="61" t="s">
        <v>396</v>
      </c>
      <c r="C919" s="61" t="s">
        <v>591</v>
      </c>
      <c r="D919" s="61" t="s">
        <v>592</v>
      </c>
      <c r="E919" s="1" t="s">
        <v>879</v>
      </c>
      <c r="F919" s="62" t="str">
        <f t="shared" si="194"/>
        <v>64542</v>
      </c>
      <c r="G919" s="1">
        <v>10620075</v>
      </c>
      <c r="H919" s="1" t="s">
        <v>388</v>
      </c>
      <c r="I919" s="61">
        <v>29</v>
      </c>
      <c r="J919" s="61">
        <v>4.3</v>
      </c>
      <c r="K919" s="61">
        <v>8.1999999999999993</v>
      </c>
      <c r="L919" s="69">
        <f t="shared" si="183"/>
        <v>1.2469999999999999</v>
      </c>
      <c r="M919" s="69">
        <f t="shared" si="184"/>
        <v>2.3779999999999997</v>
      </c>
      <c r="N919" s="56">
        <f>INDEX(Rate_Chart!$A$1:$AK$127,MATCH(Data!J919,Rate_Chart!$A$1:$A$127,0),MATCH(Data!K919,Rate_Chart!$A$1:$AK$1,0))</f>
        <v>40.728139799999994</v>
      </c>
      <c r="O919" s="57">
        <f t="shared" si="185"/>
        <v>1181.1160541999998</v>
      </c>
      <c r="P919" s="58">
        <f t="shared" si="186"/>
        <v>417.01167030716726</v>
      </c>
      <c r="Q919" s="58">
        <f t="shared" si="187"/>
        <v>278.00778020477816</v>
      </c>
      <c r="R919" s="66">
        <f t="shared" si="188"/>
        <v>20.669530948499997</v>
      </c>
      <c r="S919" s="64">
        <f t="shared" si="189"/>
        <v>108.75</v>
      </c>
      <c r="T919" s="66">
        <f t="shared" si="190"/>
        <v>1310.5355851484996</v>
      </c>
      <c r="U919" s="68">
        <f t="shared" si="191"/>
        <v>45.190882246499989</v>
      </c>
      <c r="V919" s="68">
        <f t="shared" si="192"/>
        <v>462.70527897440269</v>
      </c>
      <c r="W919" s="68">
        <f t="shared" si="193"/>
        <v>308.47018598293511</v>
      </c>
    </row>
    <row r="920" spans="1:23" x14ac:dyDescent="0.25">
      <c r="A920" s="169" t="s">
        <v>888</v>
      </c>
      <c r="B920" s="61" t="s">
        <v>397</v>
      </c>
      <c r="C920" s="61" t="s">
        <v>591</v>
      </c>
      <c r="D920" s="61" t="s">
        <v>592</v>
      </c>
      <c r="E920" s="1" t="s">
        <v>879</v>
      </c>
      <c r="F920" s="62" t="str">
        <f t="shared" si="194"/>
        <v>64542</v>
      </c>
      <c r="G920" s="1">
        <v>10620075</v>
      </c>
      <c r="H920" s="1" t="s">
        <v>387</v>
      </c>
      <c r="I920" s="61">
        <v>12</v>
      </c>
      <c r="J920" s="61">
        <v>8.4</v>
      </c>
      <c r="K920" s="61">
        <v>9</v>
      </c>
      <c r="L920" s="69">
        <f t="shared" si="183"/>
        <v>1.008</v>
      </c>
      <c r="M920" s="69">
        <f t="shared" si="184"/>
        <v>1.08</v>
      </c>
      <c r="N920" s="56">
        <f>INDEX(Rate_Chart!$A$1:$AK$127,MATCH(Data!J920,Rate_Chart!$A$1:$A$127,0),MATCH(Data!K920,Rate_Chart!$A$1:$AK$1,0))</f>
        <v>70.14</v>
      </c>
      <c r="O920" s="57">
        <f t="shared" si="185"/>
        <v>841.68000000000006</v>
      </c>
      <c r="P920" s="58">
        <f t="shared" si="186"/>
        <v>487.08333333333326</v>
      </c>
      <c r="Q920" s="58">
        <f t="shared" si="187"/>
        <v>324.72222222222217</v>
      </c>
      <c r="R920" s="66">
        <f t="shared" si="188"/>
        <v>14.729400000000002</v>
      </c>
      <c r="S920" s="64">
        <f t="shared" si="189"/>
        <v>45</v>
      </c>
      <c r="T920" s="66">
        <f t="shared" si="190"/>
        <v>901.40940000000001</v>
      </c>
      <c r="U920" s="68">
        <f t="shared" si="191"/>
        <v>75.117450000000005</v>
      </c>
      <c r="V920" s="68">
        <f t="shared" si="192"/>
        <v>521.64895833333333</v>
      </c>
      <c r="W920" s="68">
        <f t="shared" si="193"/>
        <v>347.76597222222222</v>
      </c>
    </row>
    <row r="921" spans="1:23" x14ac:dyDescent="0.25">
      <c r="A921" s="169" t="s">
        <v>888</v>
      </c>
      <c r="B921" s="61" t="s">
        <v>397</v>
      </c>
      <c r="C921" s="61" t="s">
        <v>591</v>
      </c>
      <c r="D921" s="61" t="s">
        <v>592</v>
      </c>
      <c r="E921" s="1" t="s">
        <v>879</v>
      </c>
      <c r="F921" s="62" t="str">
        <f t="shared" si="194"/>
        <v>64542</v>
      </c>
      <c r="G921" s="1">
        <v>10620075</v>
      </c>
      <c r="H921" s="1" t="s">
        <v>388</v>
      </c>
      <c r="I921" s="61">
        <v>32</v>
      </c>
      <c r="J921" s="61">
        <v>3.8</v>
      </c>
      <c r="K921" s="61">
        <v>8.3000000000000007</v>
      </c>
      <c r="L921" s="69">
        <f t="shared" si="183"/>
        <v>1.216</v>
      </c>
      <c r="M921" s="69">
        <f t="shared" si="184"/>
        <v>2.6560000000000001</v>
      </c>
      <c r="N921" s="56">
        <f>INDEX(Rate_Chart!$A$1:$AK$127,MATCH(Data!J921,Rate_Chart!$A$1:$A$127,0),MATCH(Data!K921,Rate_Chart!$A$1:$AK$1,0))</f>
        <v>38.921153700000005</v>
      </c>
      <c r="O921" s="57">
        <f t="shared" si="185"/>
        <v>1245.4769184000002</v>
      </c>
      <c r="P921" s="58">
        <f t="shared" si="186"/>
        <v>417.01236107142859</v>
      </c>
      <c r="Q921" s="58">
        <f t="shared" si="187"/>
        <v>278.00824071428571</v>
      </c>
      <c r="R921" s="66">
        <f t="shared" si="188"/>
        <v>21.795846072000003</v>
      </c>
      <c r="S921" s="64">
        <f t="shared" si="189"/>
        <v>120</v>
      </c>
      <c r="T921" s="66">
        <f t="shared" si="190"/>
        <v>1387.2727644720003</v>
      </c>
      <c r="U921" s="68">
        <f t="shared" si="191"/>
        <v>43.352273889750009</v>
      </c>
      <c r="V921" s="68">
        <f t="shared" si="192"/>
        <v>464.48864881875005</v>
      </c>
      <c r="W921" s="68">
        <f t="shared" si="193"/>
        <v>309.65909921250005</v>
      </c>
    </row>
    <row r="922" spans="1:23" x14ac:dyDescent="0.25">
      <c r="A922" s="169" t="s">
        <v>889</v>
      </c>
      <c r="B922" s="61" t="s">
        <v>396</v>
      </c>
      <c r="C922" s="61" t="s">
        <v>591</v>
      </c>
      <c r="D922" s="61" t="s">
        <v>592</v>
      </c>
      <c r="E922" s="1" t="s">
        <v>879</v>
      </c>
      <c r="F922" s="62" t="str">
        <f t="shared" si="194"/>
        <v>64542</v>
      </c>
      <c r="G922" s="1">
        <v>10620075</v>
      </c>
      <c r="H922" s="1" t="s">
        <v>387</v>
      </c>
      <c r="I922" s="61">
        <v>26</v>
      </c>
      <c r="J922" s="61">
        <v>8.1999999999999993</v>
      </c>
      <c r="K922" s="61">
        <v>9</v>
      </c>
      <c r="L922" s="69">
        <f t="shared" si="183"/>
        <v>2.1319999999999997</v>
      </c>
      <c r="M922" s="69">
        <f t="shared" si="184"/>
        <v>2.34</v>
      </c>
      <c r="N922" s="56">
        <f>INDEX(Rate_Chart!$A$1:$AK$127,MATCH(Data!J922,Rate_Chart!$A$1:$A$127,0),MATCH(Data!K922,Rate_Chart!$A$1:$AK$1,0))</f>
        <v>68.469999999999985</v>
      </c>
      <c r="O922" s="57">
        <f t="shared" si="185"/>
        <v>1780.2199999999996</v>
      </c>
      <c r="P922" s="58">
        <f t="shared" si="186"/>
        <v>482.18309859154925</v>
      </c>
      <c r="Q922" s="58">
        <f t="shared" si="187"/>
        <v>321.45539906103284</v>
      </c>
      <c r="R922" s="66">
        <f t="shared" si="188"/>
        <v>31.153849999999995</v>
      </c>
      <c r="S922" s="64">
        <f t="shared" si="189"/>
        <v>97.5</v>
      </c>
      <c r="T922" s="66">
        <f t="shared" si="190"/>
        <v>1908.8738499999995</v>
      </c>
      <c r="U922" s="68">
        <f t="shared" si="191"/>
        <v>73.418224999999978</v>
      </c>
      <c r="V922" s="68">
        <f t="shared" si="192"/>
        <v>517.02975352112662</v>
      </c>
      <c r="W922" s="68">
        <f t="shared" si="193"/>
        <v>344.68650234741773</v>
      </c>
    </row>
    <row r="923" spans="1:23" x14ac:dyDescent="0.25">
      <c r="A923" s="169" t="s">
        <v>889</v>
      </c>
      <c r="B923" s="61" t="s">
        <v>396</v>
      </c>
      <c r="C923" s="61" t="s">
        <v>591</v>
      </c>
      <c r="D923" s="61" t="s">
        <v>592</v>
      </c>
      <c r="E923" s="1" t="s">
        <v>879</v>
      </c>
      <c r="F923" s="62" t="str">
        <f t="shared" si="194"/>
        <v>64542</v>
      </c>
      <c r="G923" s="1">
        <v>10620075</v>
      </c>
      <c r="H923" s="1" t="s">
        <v>388</v>
      </c>
      <c r="I923" s="61">
        <v>25</v>
      </c>
      <c r="J923" s="61">
        <v>4.4000000000000004</v>
      </c>
      <c r="K923" s="61">
        <v>8.4</v>
      </c>
      <c r="L923" s="69">
        <f t="shared" si="183"/>
        <v>1.1000000000000001</v>
      </c>
      <c r="M923" s="69">
        <f t="shared" si="184"/>
        <v>2.1</v>
      </c>
      <c r="N923" s="56">
        <f>INDEX(Rate_Chart!$A$1:$AK$127,MATCH(Data!J923,Rate_Chart!$A$1:$A$127,0),MATCH(Data!K923,Rate_Chart!$A$1:$AK$1,0))</f>
        <v>41.701167600000005</v>
      </c>
      <c r="O923" s="57">
        <f t="shared" si="185"/>
        <v>1042.5291900000002</v>
      </c>
      <c r="P923" s="58">
        <f t="shared" si="186"/>
        <v>417.01167600000002</v>
      </c>
      <c r="Q923" s="58">
        <f t="shared" si="187"/>
        <v>278.00778400000002</v>
      </c>
      <c r="R923" s="66">
        <f t="shared" si="188"/>
        <v>18.244260825000005</v>
      </c>
      <c r="S923" s="64">
        <f t="shared" si="189"/>
        <v>93.75</v>
      </c>
      <c r="T923" s="66">
        <f t="shared" si="190"/>
        <v>1154.5234508250003</v>
      </c>
      <c r="U923" s="68">
        <f t="shared" si="191"/>
        <v>46.180938033000011</v>
      </c>
      <c r="V923" s="68">
        <f t="shared" si="192"/>
        <v>461.80938033000007</v>
      </c>
      <c r="W923" s="68">
        <f t="shared" si="193"/>
        <v>307.87292022000003</v>
      </c>
    </row>
    <row r="924" spans="1:23" x14ac:dyDescent="0.25">
      <c r="A924" s="169" t="s">
        <v>889</v>
      </c>
      <c r="B924" s="61" t="s">
        <v>397</v>
      </c>
      <c r="C924" s="61" t="s">
        <v>591</v>
      </c>
      <c r="D924" s="61" t="s">
        <v>592</v>
      </c>
      <c r="E924" s="1" t="s">
        <v>879</v>
      </c>
      <c r="F924" s="62" t="str">
        <f t="shared" si="194"/>
        <v>64542</v>
      </c>
      <c r="G924" s="1">
        <v>10620075</v>
      </c>
      <c r="H924" s="1" t="s">
        <v>387</v>
      </c>
      <c r="I924" s="61">
        <v>10</v>
      </c>
      <c r="J924" s="61">
        <v>7.8</v>
      </c>
      <c r="K924" s="61">
        <v>9</v>
      </c>
      <c r="L924" s="69">
        <f t="shared" si="183"/>
        <v>0.78</v>
      </c>
      <c r="M924" s="69">
        <f t="shared" si="184"/>
        <v>0.9</v>
      </c>
      <c r="N924" s="56">
        <f>INDEX(Rate_Chart!$A$1:$AK$127,MATCH(Data!J924,Rate_Chart!$A$1:$A$127,0),MATCH(Data!K924,Rate_Chart!$A$1:$AK$1,0))</f>
        <v>65.13</v>
      </c>
      <c r="O924" s="57">
        <f t="shared" si="185"/>
        <v>651.29999999999995</v>
      </c>
      <c r="P924" s="58">
        <f t="shared" si="186"/>
        <v>471.95652173913038</v>
      </c>
      <c r="Q924" s="58">
        <f t="shared" si="187"/>
        <v>314.63768115942025</v>
      </c>
      <c r="R924" s="66">
        <f t="shared" si="188"/>
        <v>11.39775</v>
      </c>
      <c r="S924" s="64">
        <f t="shared" si="189"/>
        <v>37.5</v>
      </c>
      <c r="T924" s="66">
        <f t="shared" si="190"/>
        <v>700.19774999999993</v>
      </c>
      <c r="U924" s="68">
        <f t="shared" si="191"/>
        <v>70.019774999999996</v>
      </c>
      <c r="V924" s="68">
        <f t="shared" si="192"/>
        <v>507.3896739130434</v>
      </c>
      <c r="W924" s="68">
        <f t="shared" si="193"/>
        <v>338.25978260869562</v>
      </c>
    </row>
    <row r="925" spans="1:23" x14ac:dyDescent="0.25">
      <c r="A925" s="169" t="s">
        <v>889</v>
      </c>
      <c r="B925" s="61" t="s">
        <v>397</v>
      </c>
      <c r="C925" s="61" t="s">
        <v>591</v>
      </c>
      <c r="D925" s="61" t="s">
        <v>592</v>
      </c>
      <c r="E925" s="1" t="s">
        <v>879</v>
      </c>
      <c r="F925" s="62" t="str">
        <f t="shared" si="194"/>
        <v>64542</v>
      </c>
      <c r="G925" s="1">
        <v>10620075</v>
      </c>
      <c r="H925" s="1" t="s">
        <v>388</v>
      </c>
      <c r="I925" s="61">
        <v>34</v>
      </c>
      <c r="J925" s="61">
        <v>3.9</v>
      </c>
      <c r="K925" s="61">
        <v>8.4</v>
      </c>
      <c r="L925" s="69">
        <f t="shared" si="183"/>
        <v>1.3259999999999998</v>
      </c>
      <c r="M925" s="69">
        <f t="shared" si="184"/>
        <v>2.8560000000000003</v>
      </c>
      <c r="N925" s="56">
        <f>INDEX(Rate_Chart!$A$1:$AK$127,MATCH(Data!J925,Rate_Chart!$A$1:$A$127,0),MATCH(Data!K925,Rate_Chart!$A$1:$AK$1,0))</f>
        <v>39.616167600000011</v>
      </c>
      <c r="O925" s="57">
        <f t="shared" si="185"/>
        <v>1346.9496984000004</v>
      </c>
      <c r="P925" s="58">
        <f t="shared" si="186"/>
        <v>417.01229052631589</v>
      </c>
      <c r="Q925" s="58">
        <f t="shared" si="187"/>
        <v>278.0081936842106</v>
      </c>
      <c r="R925" s="66">
        <f t="shared" si="188"/>
        <v>23.571619722000008</v>
      </c>
      <c r="S925" s="64">
        <f t="shared" si="189"/>
        <v>127.5</v>
      </c>
      <c r="T925" s="66">
        <f t="shared" si="190"/>
        <v>1498.0213181220004</v>
      </c>
      <c r="U925" s="68">
        <f t="shared" si="191"/>
        <v>44.05945053300001</v>
      </c>
      <c r="V925" s="68">
        <f t="shared" si="192"/>
        <v>463.78368982105275</v>
      </c>
      <c r="W925" s="68">
        <f t="shared" si="193"/>
        <v>309.18912654736852</v>
      </c>
    </row>
    <row r="926" spans="1:23" x14ac:dyDescent="0.25">
      <c r="A926" s="169" t="s">
        <v>890</v>
      </c>
      <c r="B926" s="61" t="s">
        <v>396</v>
      </c>
      <c r="C926" s="61" t="s">
        <v>591</v>
      </c>
      <c r="D926" s="61" t="s">
        <v>592</v>
      </c>
      <c r="E926" s="1" t="s">
        <v>879</v>
      </c>
      <c r="F926" s="62" t="str">
        <f t="shared" si="194"/>
        <v>64542</v>
      </c>
      <c r="G926" s="1">
        <v>10620075</v>
      </c>
      <c r="H926" s="1" t="s">
        <v>387</v>
      </c>
      <c r="I926" s="61">
        <v>31</v>
      </c>
      <c r="J926" s="61">
        <v>7.9</v>
      </c>
      <c r="K926" s="61">
        <v>9</v>
      </c>
      <c r="L926" s="69">
        <f t="shared" si="183"/>
        <v>2.4489999999999998</v>
      </c>
      <c r="M926" s="69">
        <f t="shared" si="184"/>
        <v>2.79</v>
      </c>
      <c r="N926" s="56">
        <f>INDEX(Rate_Chart!$A$1:$AK$127,MATCH(Data!J926,Rate_Chart!$A$1:$A$127,0),MATCH(Data!K926,Rate_Chart!$A$1:$AK$1,0))</f>
        <v>65.965000000000003</v>
      </c>
      <c r="O926" s="57">
        <f t="shared" si="185"/>
        <v>2044.9150000000002</v>
      </c>
      <c r="P926" s="58">
        <f t="shared" si="186"/>
        <v>474.56834532374097</v>
      </c>
      <c r="Q926" s="58">
        <f t="shared" si="187"/>
        <v>316.37889688249396</v>
      </c>
      <c r="R926" s="66">
        <f t="shared" si="188"/>
        <v>35.786012500000005</v>
      </c>
      <c r="S926" s="64">
        <f t="shared" si="189"/>
        <v>116.25</v>
      </c>
      <c r="T926" s="66">
        <f t="shared" si="190"/>
        <v>2196.9510125000002</v>
      </c>
      <c r="U926" s="68">
        <f t="shared" si="191"/>
        <v>70.869387500000002</v>
      </c>
      <c r="V926" s="68">
        <f t="shared" si="192"/>
        <v>509.85170863309349</v>
      </c>
      <c r="W926" s="68">
        <f t="shared" si="193"/>
        <v>339.901139088729</v>
      </c>
    </row>
    <row r="927" spans="1:23" x14ac:dyDescent="0.25">
      <c r="A927" s="169" t="s">
        <v>890</v>
      </c>
      <c r="B927" s="61" t="s">
        <v>396</v>
      </c>
      <c r="C927" s="61" t="s">
        <v>591</v>
      </c>
      <c r="D927" s="61" t="s">
        <v>592</v>
      </c>
      <c r="E927" s="1" t="s">
        <v>879</v>
      </c>
      <c r="F927" s="62" t="str">
        <f t="shared" si="194"/>
        <v>64542</v>
      </c>
      <c r="G927" s="1">
        <v>10620075</v>
      </c>
      <c r="H927" s="1" t="s">
        <v>388</v>
      </c>
      <c r="I927" s="61">
        <v>27</v>
      </c>
      <c r="J927" s="61">
        <v>4.2</v>
      </c>
      <c r="K927" s="61">
        <v>8.1999999999999993</v>
      </c>
      <c r="L927" s="69">
        <f t="shared" si="183"/>
        <v>1.1340000000000001</v>
      </c>
      <c r="M927" s="69">
        <f t="shared" si="184"/>
        <v>2.214</v>
      </c>
      <c r="N927" s="56">
        <f>INDEX(Rate_Chart!$A$1:$AK$127,MATCH(Data!J927,Rate_Chart!$A$1:$A$127,0),MATCH(Data!K927,Rate_Chart!$A$1:$AK$1,0))</f>
        <v>40.311139799999999</v>
      </c>
      <c r="O927" s="57">
        <f t="shared" si="185"/>
        <v>1088.4007746</v>
      </c>
      <c r="P927" s="58">
        <f t="shared" si="186"/>
        <v>417.01179103448277</v>
      </c>
      <c r="Q927" s="58">
        <f t="shared" si="187"/>
        <v>278.00786068965516</v>
      </c>
      <c r="R927" s="66">
        <f t="shared" si="188"/>
        <v>19.047013555500001</v>
      </c>
      <c r="S927" s="64">
        <f t="shared" si="189"/>
        <v>101.25</v>
      </c>
      <c r="T927" s="66">
        <f t="shared" si="190"/>
        <v>1208.6977881554999</v>
      </c>
      <c r="U927" s="68">
        <f t="shared" si="191"/>
        <v>44.766584746499994</v>
      </c>
      <c r="V927" s="68">
        <f t="shared" si="192"/>
        <v>463.102600825862</v>
      </c>
      <c r="W927" s="68">
        <f t="shared" si="193"/>
        <v>308.73506721724135</v>
      </c>
    </row>
    <row r="928" spans="1:23" x14ac:dyDescent="0.25">
      <c r="A928" s="169" t="s">
        <v>890</v>
      </c>
      <c r="B928" s="61" t="s">
        <v>397</v>
      </c>
      <c r="C928" s="61" t="s">
        <v>591</v>
      </c>
      <c r="D928" s="61" t="s">
        <v>592</v>
      </c>
      <c r="E928" s="1" t="s">
        <v>879</v>
      </c>
      <c r="F928" s="62" t="str">
        <f t="shared" si="194"/>
        <v>64542</v>
      </c>
      <c r="G928" s="1">
        <v>10620075</v>
      </c>
      <c r="H928" s="1" t="s">
        <v>387</v>
      </c>
      <c r="I928" s="61">
        <v>11</v>
      </c>
      <c r="J928" s="61">
        <v>8</v>
      </c>
      <c r="K928" s="61">
        <v>9</v>
      </c>
      <c r="L928" s="69">
        <f t="shared" si="183"/>
        <v>0.88</v>
      </c>
      <c r="M928" s="69">
        <f t="shared" si="184"/>
        <v>0.99</v>
      </c>
      <c r="N928" s="56">
        <f>INDEX(Rate_Chart!$A$1:$AK$127,MATCH(Data!J928,Rate_Chart!$A$1:$A$127,0),MATCH(Data!K928,Rate_Chart!$A$1:$AK$1,0))</f>
        <v>66.8</v>
      </c>
      <c r="O928" s="57">
        <f t="shared" si="185"/>
        <v>734.8</v>
      </c>
      <c r="P928" s="58">
        <f t="shared" si="186"/>
        <v>477.14285714285705</v>
      </c>
      <c r="Q928" s="58">
        <f t="shared" si="187"/>
        <v>318.09523809523802</v>
      </c>
      <c r="R928" s="66">
        <f t="shared" si="188"/>
        <v>12.859</v>
      </c>
      <c r="S928" s="64">
        <f t="shared" si="189"/>
        <v>41.25</v>
      </c>
      <c r="T928" s="66">
        <f t="shared" si="190"/>
        <v>788.90899999999999</v>
      </c>
      <c r="U928" s="68">
        <f t="shared" si="191"/>
        <v>71.718999999999994</v>
      </c>
      <c r="V928" s="68">
        <f t="shared" si="192"/>
        <v>512.27857142857135</v>
      </c>
      <c r="W928" s="68">
        <f t="shared" si="193"/>
        <v>341.51904761904757</v>
      </c>
    </row>
    <row r="929" spans="1:23" x14ac:dyDescent="0.25">
      <c r="A929" s="169" t="s">
        <v>890</v>
      </c>
      <c r="B929" s="61" t="s">
        <v>397</v>
      </c>
      <c r="C929" s="61" t="s">
        <v>591</v>
      </c>
      <c r="D929" s="61" t="s">
        <v>592</v>
      </c>
      <c r="E929" s="1" t="s">
        <v>879</v>
      </c>
      <c r="F929" s="62" t="str">
        <f t="shared" si="194"/>
        <v>64542</v>
      </c>
      <c r="G929" s="1">
        <v>10620075</v>
      </c>
      <c r="H929" s="1" t="s">
        <v>388</v>
      </c>
      <c r="I929" s="61">
        <v>29</v>
      </c>
      <c r="J929" s="61">
        <v>4</v>
      </c>
      <c r="K929" s="61">
        <v>8.5</v>
      </c>
      <c r="L929" s="69">
        <f t="shared" si="183"/>
        <v>1.1599999999999999</v>
      </c>
      <c r="M929" s="69">
        <f t="shared" si="184"/>
        <v>2.4649999999999999</v>
      </c>
      <c r="N929" s="56">
        <f>INDEX(Rate_Chart!$A$1:$AK$127,MATCH(Data!J929,Rate_Chart!$A$1:$A$127,0),MATCH(Data!K929,Rate_Chart!$A$1:$AK$1,0))</f>
        <v>40.311181500000004</v>
      </c>
      <c r="O929" s="57">
        <f t="shared" si="185"/>
        <v>1169.0242635000002</v>
      </c>
      <c r="P929" s="58">
        <f t="shared" si="186"/>
        <v>417.0122224137931</v>
      </c>
      <c r="Q929" s="58">
        <f t="shared" si="187"/>
        <v>278.00814827586208</v>
      </c>
      <c r="R929" s="66">
        <f t="shared" si="188"/>
        <v>20.457924611250004</v>
      </c>
      <c r="S929" s="64">
        <f t="shared" si="189"/>
        <v>108.75</v>
      </c>
      <c r="T929" s="66">
        <f t="shared" si="190"/>
        <v>1298.2321881112503</v>
      </c>
      <c r="U929" s="68">
        <f t="shared" si="191"/>
        <v>44.766627176250012</v>
      </c>
      <c r="V929" s="68">
        <f t="shared" si="192"/>
        <v>463.10303975431043</v>
      </c>
      <c r="W929" s="68">
        <f t="shared" si="193"/>
        <v>308.73535983620695</v>
      </c>
    </row>
    <row r="930" spans="1:23" x14ac:dyDescent="0.25">
      <c r="A930" s="169" t="s">
        <v>891</v>
      </c>
      <c r="B930" s="61" t="s">
        <v>396</v>
      </c>
      <c r="C930" s="61" t="s">
        <v>591</v>
      </c>
      <c r="D930" s="61" t="s">
        <v>592</v>
      </c>
      <c r="E930" s="1" t="s">
        <v>879</v>
      </c>
      <c r="F930" s="62" t="str">
        <f t="shared" si="194"/>
        <v>64542</v>
      </c>
      <c r="G930" s="1">
        <v>10620075</v>
      </c>
      <c r="H930" s="1" t="s">
        <v>387</v>
      </c>
      <c r="I930" s="61">
        <v>25</v>
      </c>
      <c r="J930" s="61">
        <v>8.1</v>
      </c>
      <c r="K930" s="61">
        <v>9</v>
      </c>
      <c r="L930" s="69">
        <f t="shared" si="183"/>
        <v>2.0249999999999999</v>
      </c>
      <c r="M930" s="69">
        <f t="shared" si="184"/>
        <v>2.25</v>
      </c>
      <c r="N930" s="56">
        <f>INDEX(Rate_Chart!$A$1:$AK$127,MATCH(Data!J930,Rate_Chart!$A$1:$A$127,0),MATCH(Data!K930,Rate_Chart!$A$1:$AK$1,0))</f>
        <v>67.635000000000005</v>
      </c>
      <c r="O930" s="57">
        <f t="shared" si="185"/>
        <v>1690.8750000000002</v>
      </c>
      <c r="P930" s="58">
        <f t="shared" si="186"/>
        <v>479.68085106382978</v>
      </c>
      <c r="Q930" s="58">
        <f t="shared" si="187"/>
        <v>319.78723404255317</v>
      </c>
      <c r="R930" s="66">
        <f t="shared" si="188"/>
        <v>29.590312500000007</v>
      </c>
      <c r="S930" s="64">
        <f t="shared" si="189"/>
        <v>93.75</v>
      </c>
      <c r="T930" s="66">
        <f t="shared" si="190"/>
        <v>1814.2153125000002</v>
      </c>
      <c r="U930" s="68">
        <f t="shared" si="191"/>
        <v>72.568612500000015</v>
      </c>
      <c r="V930" s="68">
        <f t="shared" si="192"/>
        <v>514.67101063829796</v>
      </c>
      <c r="W930" s="68">
        <f t="shared" si="193"/>
        <v>343.11400709219862</v>
      </c>
    </row>
    <row r="931" spans="1:23" x14ac:dyDescent="0.25">
      <c r="A931" s="169" t="s">
        <v>891</v>
      </c>
      <c r="B931" s="61" t="s">
        <v>396</v>
      </c>
      <c r="C931" s="61" t="s">
        <v>591</v>
      </c>
      <c r="D931" s="61" t="s">
        <v>592</v>
      </c>
      <c r="E931" s="1" t="s">
        <v>879</v>
      </c>
      <c r="F931" s="62" t="str">
        <f t="shared" si="194"/>
        <v>64542</v>
      </c>
      <c r="G931" s="1">
        <v>10620075</v>
      </c>
      <c r="H931" s="1" t="s">
        <v>388</v>
      </c>
      <c r="I931" s="61">
        <v>30</v>
      </c>
      <c r="J931" s="61">
        <v>4.5</v>
      </c>
      <c r="K931" s="61">
        <v>8.4</v>
      </c>
      <c r="L931" s="69">
        <f t="shared" si="183"/>
        <v>1.35</v>
      </c>
      <c r="M931" s="69">
        <f t="shared" si="184"/>
        <v>2.52</v>
      </c>
      <c r="N931" s="56">
        <f>INDEX(Rate_Chart!$A$1:$AK$127,MATCH(Data!J931,Rate_Chart!$A$1:$A$127,0),MATCH(Data!K931,Rate_Chart!$A$1:$AK$1,0))</f>
        <v>42.118167600000007</v>
      </c>
      <c r="O931" s="57">
        <f t="shared" si="185"/>
        <v>1263.5450280000002</v>
      </c>
      <c r="P931" s="58">
        <f t="shared" si="186"/>
        <v>417.01156039603967</v>
      </c>
      <c r="Q931" s="58">
        <f t="shared" si="187"/>
        <v>278.00770693069313</v>
      </c>
      <c r="R931" s="66">
        <f t="shared" si="188"/>
        <v>22.112037990000005</v>
      </c>
      <c r="S931" s="64">
        <f t="shared" si="189"/>
        <v>112.5</v>
      </c>
      <c r="T931" s="66">
        <f t="shared" si="190"/>
        <v>1398.1570659900003</v>
      </c>
      <c r="U931" s="68">
        <f t="shared" si="191"/>
        <v>46.605235533000013</v>
      </c>
      <c r="V931" s="68">
        <f t="shared" si="192"/>
        <v>461.43797557425751</v>
      </c>
      <c r="W931" s="68">
        <f t="shared" si="193"/>
        <v>307.62531704950499</v>
      </c>
    </row>
    <row r="932" spans="1:23" x14ac:dyDescent="0.25">
      <c r="A932" s="169" t="s">
        <v>891</v>
      </c>
      <c r="B932" s="61" t="s">
        <v>397</v>
      </c>
      <c r="C932" s="61" t="s">
        <v>591</v>
      </c>
      <c r="D932" s="61" t="s">
        <v>592</v>
      </c>
      <c r="E932" s="1" t="s">
        <v>879</v>
      </c>
      <c r="F932" s="62" t="str">
        <f t="shared" si="194"/>
        <v>64542</v>
      </c>
      <c r="G932" s="1">
        <v>10620075</v>
      </c>
      <c r="H932" s="1" t="s">
        <v>387</v>
      </c>
      <c r="I932" s="61">
        <v>13</v>
      </c>
      <c r="J932" s="61">
        <v>7.6</v>
      </c>
      <c r="K932" s="61">
        <v>9</v>
      </c>
      <c r="L932" s="69">
        <f t="shared" si="183"/>
        <v>0.98799999999999999</v>
      </c>
      <c r="M932" s="69">
        <f t="shared" si="184"/>
        <v>1.17</v>
      </c>
      <c r="N932" s="56">
        <f>INDEX(Rate_Chart!$A$1:$AK$127,MATCH(Data!J932,Rate_Chart!$A$1:$A$127,0),MATCH(Data!K932,Rate_Chart!$A$1:$AK$1,0))</f>
        <v>63.46</v>
      </c>
      <c r="O932" s="57">
        <f t="shared" si="185"/>
        <v>824.98</v>
      </c>
      <c r="P932" s="58">
        <f t="shared" si="186"/>
        <v>466.61764705882348</v>
      </c>
      <c r="Q932" s="58">
        <f t="shared" si="187"/>
        <v>311.07843137254901</v>
      </c>
      <c r="R932" s="66">
        <f t="shared" si="188"/>
        <v>14.437150000000001</v>
      </c>
      <c r="S932" s="64">
        <f t="shared" si="189"/>
        <v>48.75</v>
      </c>
      <c r="T932" s="66">
        <f t="shared" si="190"/>
        <v>888.16714999999999</v>
      </c>
      <c r="U932" s="68">
        <f t="shared" si="191"/>
        <v>68.320549999999997</v>
      </c>
      <c r="V932" s="68">
        <f t="shared" si="192"/>
        <v>502.35698529411758</v>
      </c>
      <c r="W932" s="68">
        <f t="shared" si="193"/>
        <v>334.90465686274507</v>
      </c>
    </row>
    <row r="933" spans="1:23" x14ac:dyDescent="0.25">
      <c r="A933" s="169" t="s">
        <v>891</v>
      </c>
      <c r="B933" s="61" t="s">
        <v>397</v>
      </c>
      <c r="C933" s="61" t="s">
        <v>591</v>
      </c>
      <c r="D933" s="61" t="s">
        <v>592</v>
      </c>
      <c r="E933" s="1" t="s">
        <v>879</v>
      </c>
      <c r="F933" s="62" t="str">
        <f t="shared" si="194"/>
        <v>64542</v>
      </c>
      <c r="G933" s="1">
        <v>10620075</v>
      </c>
      <c r="H933" s="1" t="s">
        <v>388</v>
      </c>
      <c r="I933" s="61">
        <v>22</v>
      </c>
      <c r="J933" s="61">
        <v>3.8</v>
      </c>
      <c r="K933" s="61">
        <v>8.5</v>
      </c>
      <c r="L933" s="69">
        <f t="shared" si="183"/>
        <v>0.83599999999999997</v>
      </c>
      <c r="M933" s="69">
        <f t="shared" si="184"/>
        <v>1.87</v>
      </c>
      <c r="N933" s="56">
        <f>INDEX(Rate_Chart!$A$1:$AK$127,MATCH(Data!J933,Rate_Chart!$A$1:$A$127,0),MATCH(Data!K933,Rate_Chart!$A$1:$AK$1,0))</f>
        <v>39.4771815</v>
      </c>
      <c r="O933" s="57">
        <f t="shared" si="185"/>
        <v>868.49799299999995</v>
      </c>
      <c r="P933" s="58">
        <f t="shared" si="186"/>
        <v>417.0124806338028</v>
      </c>
      <c r="Q933" s="58">
        <f t="shared" si="187"/>
        <v>278.00832042253518</v>
      </c>
      <c r="R933" s="66">
        <f t="shared" si="188"/>
        <v>15.1987148775</v>
      </c>
      <c r="S933" s="64">
        <f t="shared" si="189"/>
        <v>82.5</v>
      </c>
      <c r="T933" s="66">
        <f t="shared" si="190"/>
        <v>966.19670787749999</v>
      </c>
      <c r="U933" s="68">
        <f t="shared" si="191"/>
        <v>43.918032176250001</v>
      </c>
      <c r="V933" s="68">
        <f t="shared" si="192"/>
        <v>463.92287510123236</v>
      </c>
      <c r="W933" s="68">
        <f t="shared" si="193"/>
        <v>309.28191673415489</v>
      </c>
    </row>
    <row r="934" spans="1:23" x14ac:dyDescent="0.25">
      <c r="A934" s="169" t="s">
        <v>892</v>
      </c>
      <c r="B934" s="61" t="s">
        <v>396</v>
      </c>
      <c r="C934" s="61" t="s">
        <v>591</v>
      </c>
      <c r="D934" s="61" t="s">
        <v>592</v>
      </c>
      <c r="E934" s="1" t="s">
        <v>879</v>
      </c>
      <c r="F934" s="62" t="str">
        <f t="shared" si="194"/>
        <v>64542</v>
      </c>
      <c r="G934" s="1">
        <v>10620075</v>
      </c>
      <c r="H934" s="1" t="s">
        <v>387</v>
      </c>
      <c r="I934" s="61">
        <v>31</v>
      </c>
      <c r="J934" s="61">
        <v>8.1999999999999993</v>
      </c>
      <c r="K934" s="61">
        <v>9</v>
      </c>
      <c r="L934" s="69">
        <f t="shared" si="183"/>
        <v>2.5419999999999998</v>
      </c>
      <c r="M934" s="69">
        <f t="shared" si="184"/>
        <v>2.79</v>
      </c>
      <c r="N934" s="56">
        <f>INDEX(Rate_Chart!$A$1:$AK$127,MATCH(Data!J934,Rate_Chart!$A$1:$A$127,0),MATCH(Data!K934,Rate_Chart!$A$1:$AK$1,0))</f>
        <v>68.469999999999985</v>
      </c>
      <c r="O934" s="57">
        <f t="shared" si="185"/>
        <v>2122.5699999999997</v>
      </c>
      <c r="P934" s="58">
        <f t="shared" si="186"/>
        <v>482.18309859154925</v>
      </c>
      <c r="Q934" s="58">
        <f t="shared" si="187"/>
        <v>321.45539906103284</v>
      </c>
      <c r="R934" s="66">
        <f t="shared" si="188"/>
        <v>37.144974999999995</v>
      </c>
      <c r="S934" s="64">
        <f t="shared" si="189"/>
        <v>116.25</v>
      </c>
      <c r="T934" s="66">
        <f t="shared" si="190"/>
        <v>2275.9649749999999</v>
      </c>
      <c r="U934" s="68">
        <f t="shared" si="191"/>
        <v>73.418224999999993</v>
      </c>
      <c r="V934" s="68">
        <f t="shared" si="192"/>
        <v>517.02975352112674</v>
      </c>
      <c r="W934" s="68">
        <f t="shared" si="193"/>
        <v>344.68650234741784</v>
      </c>
    </row>
    <row r="935" spans="1:23" x14ac:dyDescent="0.25">
      <c r="A935" s="169" t="s">
        <v>892</v>
      </c>
      <c r="B935" s="61" t="s">
        <v>396</v>
      </c>
      <c r="C935" s="61" t="s">
        <v>591</v>
      </c>
      <c r="D935" s="61" t="s">
        <v>592</v>
      </c>
      <c r="E935" s="1" t="s">
        <v>879</v>
      </c>
      <c r="F935" s="62" t="str">
        <f t="shared" si="194"/>
        <v>64542</v>
      </c>
      <c r="G935" s="1">
        <v>10620075</v>
      </c>
      <c r="H935" s="1" t="s">
        <v>388</v>
      </c>
      <c r="I935" s="61">
        <v>24</v>
      </c>
      <c r="J935" s="61">
        <v>4.2</v>
      </c>
      <c r="K935" s="61">
        <v>8.4</v>
      </c>
      <c r="L935" s="69">
        <f t="shared" si="183"/>
        <v>1.008</v>
      </c>
      <c r="M935" s="69">
        <f t="shared" si="184"/>
        <v>2.016</v>
      </c>
      <c r="N935" s="56">
        <f>INDEX(Rate_Chart!$A$1:$AK$127,MATCH(Data!J935,Rate_Chart!$A$1:$A$127,0),MATCH(Data!K935,Rate_Chart!$A$1:$AK$1,0))</f>
        <v>40.867167600000002</v>
      </c>
      <c r="O935" s="57">
        <f t="shared" si="185"/>
        <v>980.81202240000005</v>
      </c>
      <c r="P935" s="58">
        <f t="shared" si="186"/>
        <v>417.01191428571428</v>
      </c>
      <c r="Q935" s="58">
        <f t="shared" si="187"/>
        <v>278.00794285714284</v>
      </c>
      <c r="R935" s="66">
        <f t="shared" si="188"/>
        <v>17.164210392000001</v>
      </c>
      <c r="S935" s="64">
        <f t="shared" si="189"/>
        <v>90</v>
      </c>
      <c r="T935" s="66">
        <f t="shared" si="190"/>
        <v>1087.976232792</v>
      </c>
      <c r="U935" s="68">
        <f t="shared" si="191"/>
        <v>45.332343033000001</v>
      </c>
      <c r="V935" s="68">
        <f t="shared" si="192"/>
        <v>462.57492890816326</v>
      </c>
      <c r="W935" s="68">
        <f t="shared" si="193"/>
        <v>308.38328593877549</v>
      </c>
    </row>
    <row r="936" spans="1:23" x14ac:dyDescent="0.25">
      <c r="A936" s="169" t="s">
        <v>892</v>
      </c>
      <c r="B936" s="61" t="s">
        <v>397</v>
      </c>
      <c r="C936" s="61" t="s">
        <v>591</v>
      </c>
      <c r="D936" s="61" t="s">
        <v>592</v>
      </c>
      <c r="E936" s="1" t="s">
        <v>879</v>
      </c>
      <c r="F936" s="62" t="str">
        <f t="shared" si="194"/>
        <v>64542</v>
      </c>
      <c r="G936" s="1">
        <v>10620075</v>
      </c>
      <c r="H936" s="1" t="s">
        <v>387</v>
      </c>
      <c r="I936" s="61">
        <v>18</v>
      </c>
      <c r="J936" s="61">
        <v>8.1999999999999993</v>
      </c>
      <c r="K936" s="61">
        <v>9</v>
      </c>
      <c r="L936" s="69">
        <f t="shared" si="183"/>
        <v>1.476</v>
      </c>
      <c r="M936" s="69">
        <f t="shared" si="184"/>
        <v>1.62</v>
      </c>
      <c r="N936" s="56">
        <f>INDEX(Rate_Chart!$A$1:$AK$127,MATCH(Data!J936,Rate_Chart!$A$1:$A$127,0),MATCH(Data!K936,Rate_Chart!$A$1:$AK$1,0))</f>
        <v>68.469999999999985</v>
      </c>
      <c r="O936" s="57">
        <f t="shared" si="185"/>
        <v>1232.4599999999998</v>
      </c>
      <c r="P936" s="58">
        <f t="shared" si="186"/>
        <v>482.18309859154925</v>
      </c>
      <c r="Q936" s="58">
        <f t="shared" si="187"/>
        <v>321.45539906103284</v>
      </c>
      <c r="R936" s="66">
        <f t="shared" si="188"/>
        <v>21.568049999999999</v>
      </c>
      <c r="S936" s="64">
        <f t="shared" si="189"/>
        <v>67.5</v>
      </c>
      <c r="T936" s="66">
        <f t="shared" si="190"/>
        <v>1321.5280499999999</v>
      </c>
      <c r="U936" s="68">
        <f t="shared" si="191"/>
        <v>73.418224999999993</v>
      </c>
      <c r="V936" s="68">
        <f t="shared" si="192"/>
        <v>517.02975352112674</v>
      </c>
      <c r="W936" s="68">
        <f t="shared" si="193"/>
        <v>344.68650234741784</v>
      </c>
    </row>
    <row r="937" spans="1:23" x14ac:dyDescent="0.25">
      <c r="A937" s="169" t="s">
        <v>892</v>
      </c>
      <c r="B937" s="61" t="s">
        <v>397</v>
      </c>
      <c r="C937" s="61" t="s">
        <v>591</v>
      </c>
      <c r="D937" s="61" t="s">
        <v>592</v>
      </c>
      <c r="E937" s="1" t="s">
        <v>879</v>
      </c>
      <c r="F937" s="62" t="str">
        <f t="shared" si="194"/>
        <v>64542</v>
      </c>
      <c r="G937" s="1">
        <v>10620075</v>
      </c>
      <c r="H937" s="1" t="s">
        <v>388</v>
      </c>
      <c r="I937" s="61">
        <v>29</v>
      </c>
      <c r="J937" s="61">
        <v>4.0999999999999996</v>
      </c>
      <c r="K937" s="61">
        <v>8.4</v>
      </c>
      <c r="L937" s="69">
        <f t="shared" si="183"/>
        <v>1.1889999999999998</v>
      </c>
      <c r="M937" s="69">
        <f t="shared" si="184"/>
        <v>2.4360000000000004</v>
      </c>
      <c r="N937" s="56">
        <f>INDEX(Rate_Chart!$A$1:$AK$127,MATCH(Data!J937,Rate_Chart!$A$1:$A$127,0),MATCH(Data!K937,Rate_Chart!$A$1:$AK$1,0))</f>
        <v>40.4501676</v>
      </c>
      <c r="O937" s="57">
        <f t="shared" si="185"/>
        <v>1173.0548604000001</v>
      </c>
      <c r="P937" s="58">
        <f t="shared" si="186"/>
        <v>417.01203711340207</v>
      </c>
      <c r="Q937" s="58">
        <f t="shared" si="187"/>
        <v>278.00802474226805</v>
      </c>
      <c r="R937" s="66">
        <f t="shared" si="188"/>
        <v>20.528460057000004</v>
      </c>
      <c r="S937" s="64">
        <f t="shared" si="189"/>
        <v>108.75</v>
      </c>
      <c r="T937" s="66">
        <f t="shared" si="190"/>
        <v>1302.3333204570001</v>
      </c>
      <c r="U937" s="68">
        <f t="shared" si="191"/>
        <v>44.908045533000006</v>
      </c>
      <c r="V937" s="68">
        <f t="shared" si="192"/>
        <v>462.96954157731966</v>
      </c>
      <c r="W937" s="68">
        <f t="shared" si="193"/>
        <v>308.64636105154642</v>
      </c>
    </row>
    <row r="938" spans="1:23" x14ac:dyDescent="0.25">
      <c r="A938" s="169" t="s">
        <v>893</v>
      </c>
      <c r="B938" s="61" t="s">
        <v>396</v>
      </c>
      <c r="C938" s="61" t="s">
        <v>591</v>
      </c>
      <c r="D938" s="61" t="s">
        <v>592</v>
      </c>
      <c r="E938" s="1" t="s">
        <v>879</v>
      </c>
      <c r="F938" s="62" t="str">
        <f t="shared" si="194"/>
        <v>64542</v>
      </c>
      <c r="G938" s="1">
        <v>10620075</v>
      </c>
      <c r="H938" s="1" t="s">
        <v>387</v>
      </c>
      <c r="I938" s="61">
        <v>29</v>
      </c>
      <c r="J938" s="61">
        <v>8.4</v>
      </c>
      <c r="K938" s="61">
        <v>9</v>
      </c>
      <c r="L938" s="69">
        <f t="shared" si="183"/>
        <v>2.4360000000000004</v>
      </c>
      <c r="M938" s="69">
        <f t="shared" si="184"/>
        <v>2.61</v>
      </c>
      <c r="N938" s="56">
        <f>INDEX(Rate_Chart!$A$1:$AK$127,MATCH(Data!J938,Rate_Chart!$A$1:$A$127,0),MATCH(Data!K938,Rate_Chart!$A$1:$AK$1,0))</f>
        <v>70.14</v>
      </c>
      <c r="O938" s="57">
        <f t="shared" si="185"/>
        <v>2034.06</v>
      </c>
      <c r="P938" s="58">
        <f t="shared" si="186"/>
        <v>487.08333333333326</v>
      </c>
      <c r="Q938" s="58">
        <f t="shared" si="187"/>
        <v>324.72222222222217</v>
      </c>
      <c r="R938" s="66">
        <f t="shared" si="188"/>
        <v>35.596050000000005</v>
      </c>
      <c r="S938" s="64">
        <f t="shared" si="189"/>
        <v>108.75</v>
      </c>
      <c r="T938" s="66">
        <f t="shared" si="190"/>
        <v>2178.4060500000001</v>
      </c>
      <c r="U938" s="68">
        <f t="shared" si="191"/>
        <v>75.117450000000005</v>
      </c>
      <c r="V938" s="68">
        <f t="shared" si="192"/>
        <v>521.64895833333333</v>
      </c>
      <c r="W938" s="68">
        <f t="shared" si="193"/>
        <v>347.76597222222222</v>
      </c>
    </row>
    <row r="939" spans="1:23" x14ac:dyDescent="0.25">
      <c r="A939" s="169" t="s">
        <v>893</v>
      </c>
      <c r="B939" s="61" t="s">
        <v>396</v>
      </c>
      <c r="C939" s="61" t="s">
        <v>591</v>
      </c>
      <c r="D939" s="61" t="s">
        <v>592</v>
      </c>
      <c r="E939" s="1" t="s">
        <v>879</v>
      </c>
      <c r="F939" s="62" t="str">
        <f t="shared" si="194"/>
        <v>64542</v>
      </c>
      <c r="G939" s="1">
        <v>10620075</v>
      </c>
      <c r="H939" s="1" t="s">
        <v>388</v>
      </c>
      <c r="I939" s="61">
        <v>31</v>
      </c>
      <c r="J939" s="61">
        <v>4.4000000000000004</v>
      </c>
      <c r="K939" s="61">
        <v>8.4</v>
      </c>
      <c r="L939" s="69">
        <f t="shared" si="183"/>
        <v>1.3640000000000001</v>
      </c>
      <c r="M939" s="69">
        <f t="shared" si="184"/>
        <v>2.6040000000000005</v>
      </c>
      <c r="N939" s="56">
        <f>INDEX(Rate_Chart!$A$1:$AK$127,MATCH(Data!J939,Rate_Chart!$A$1:$A$127,0),MATCH(Data!K939,Rate_Chart!$A$1:$AK$1,0))</f>
        <v>41.701167600000005</v>
      </c>
      <c r="O939" s="57">
        <f t="shared" si="185"/>
        <v>1292.7361956000002</v>
      </c>
      <c r="P939" s="58">
        <f t="shared" si="186"/>
        <v>417.01167600000002</v>
      </c>
      <c r="Q939" s="58">
        <f t="shared" si="187"/>
        <v>278.00778400000002</v>
      </c>
      <c r="R939" s="66">
        <f t="shared" si="188"/>
        <v>22.622883423000005</v>
      </c>
      <c r="S939" s="64">
        <f t="shared" si="189"/>
        <v>116.25</v>
      </c>
      <c r="T939" s="66">
        <f t="shared" si="190"/>
        <v>1431.6090790230003</v>
      </c>
      <c r="U939" s="68">
        <f t="shared" si="191"/>
        <v>46.180938033000011</v>
      </c>
      <c r="V939" s="68">
        <f t="shared" si="192"/>
        <v>461.80938033000007</v>
      </c>
      <c r="W939" s="68">
        <f t="shared" si="193"/>
        <v>307.87292022000003</v>
      </c>
    </row>
    <row r="940" spans="1:23" x14ac:dyDescent="0.25">
      <c r="A940" s="169" t="s">
        <v>893</v>
      </c>
      <c r="B940" s="61" t="s">
        <v>397</v>
      </c>
      <c r="C940" s="61" t="s">
        <v>591</v>
      </c>
      <c r="D940" s="61" t="s">
        <v>592</v>
      </c>
      <c r="E940" s="1" t="s">
        <v>879</v>
      </c>
      <c r="F940" s="62" t="str">
        <f t="shared" si="194"/>
        <v>64542</v>
      </c>
      <c r="G940" s="1">
        <v>10620075</v>
      </c>
      <c r="H940" s="1" t="s">
        <v>387</v>
      </c>
      <c r="I940" s="61">
        <v>17</v>
      </c>
      <c r="J940" s="61">
        <v>7.6</v>
      </c>
      <c r="K940" s="61">
        <v>9</v>
      </c>
      <c r="L940" s="69">
        <f t="shared" si="183"/>
        <v>1.2919999999999998</v>
      </c>
      <c r="M940" s="69">
        <f t="shared" si="184"/>
        <v>1.53</v>
      </c>
      <c r="N940" s="56">
        <f>INDEX(Rate_Chart!$A$1:$AK$127,MATCH(Data!J940,Rate_Chart!$A$1:$A$127,0),MATCH(Data!K940,Rate_Chart!$A$1:$AK$1,0))</f>
        <v>63.46</v>
      </c>
      <c r="O940" s="57">
        <f t="shared" si="185"/>
        <v>1078.82</v>
      </c>
      <c r="P940" s="58">
        <f t="shared" si="186"/>
        <v>466.61764705882348</v>
      </c>
      <c r="Q940" s="58">
        <f t="shared" si="187"/>
        <v>311.07843137254901</v>
      </c>
      <c r="R940" s="66">
        <f t="shared" si="188"/>
        <v>18.879350000000002</v>
      </c>
      <c r="S940" s="64">
        <f t="shared" si="189"/>
        <v>63.75</v>
      </c>
      <c r="T940" s="66">
        <f t="shared" si="190"/>
        <v>1161.4493499999999</v>
      </c>
      <c r="U940" s="68">
        <f t="shared" si="191"/>
        <v>68.320549999999997</v>
      </c>
      <c r="V940" s="68">
        <f t="shared" si="192"/>
        <v>502.35698529411758</v>
      </c>
      <c r="W940" s="68">
        <f t="shared" si="193"/>
        <v>334.90465686274507</v>
      </c>
    </row>
    <row r="941" spans="1:23" x14ac:dyDescent="0.25">
      <c r="A941" s="169" t="s">
        <v>893</v>
      </c>
      <c r="B941" s="61" t="s">
        <v>397</v>
      </c>
      <c r="C941" s="61" t="s">
        <v>591</v>
      </c>
      <c r="D941" s="61" t="s">
        <v>592</v>
      </c>
      <c r="E941" s="1" t="s">
        <v>879</v>
      </c>
      <c r="F941" s="62" t="str">
        <f t="shared" si="194"/>
        <v>64542</v>
      </c>
      <c r="G941" s="1">
        <v>10620075</v>
      </c>
      <c r="H941" s="1" t="s">
        <v>388</v>
      </c>
      <c r="I941" s="61">
        <v>30</v>
      </c>
      <c r="J941" s="61">
        <v>4.0999999999999996</v>
      </c>
      <c r="K941" s="61">
        <v>8.4</v>
      </c>
      <c r="L941" s="69">
        <f t="shared" si="183"/>
        <v>1.2299999999999998</v>
      </c>
      <c r="M941" s="69">
        <f t="shared" si="184"/>
        <v>2.52</v>
      </c>
      <c r="N941" s="56">
        <f>INDEX(Rate_Chart!$A$1:$AK$127,MATCH(Data!J941,Rate_Chart!$A$1:$A$127,0),MATCH(Data!K941,Rate_Chart!$A$1:$AK$1,0))</f>
        <v>40.4501676</v>
      </c>
      <c r="O941" s="57">
        <f t="shared" si="185"/>
        <v>1213.505028</v>
      </c>
      <c r="P941" s="58">
        <f t="shared" si="186"/>
        <v>417.01203711340207</v>
      </c>
      <c r="Q941" s="58">
        <f t="shared" si="187"/>
        <v>278.00802474226805</v>
      </c>
      <c r="R941" s="66">
        <f t="shared" si="188"/>
        <v>21.236337990000003</v>
      </c>
      <c r="S941" s="64">
        <f t="shared" si="189"/>
        <v>112.5</v>
      </c>
      <c r="T941" s="66">
        <f t="shared" si="190"/>
        <v>1347.2413659900001</v>
      </c>
      <c r="U941" s="68">
        <f t="shared" si="191"/>
        <v>44.908045532999999</v>
      </c>
      <c r="V941" s="68">
        <f t="shared" si="192"/>
        <v>462.96954157731955</v>
      </c>
      <c r="W941" s="68">
        <f t="shared" si="193"/>
        <v>308.64636105154636</v>
      </c>
    </row>
    <row r="942" spans="1:23" x14ac:dyDescent="0.25">
      <c r="A942" s="169" t="s">
        <v>894</v>
      </c>
      <c r="B942" s="61" t="s">
        <v>396</v>
      </c>
      <c r="C942" s="61" t="s">
        <v>591</v>
      </c>
      <c r="D942" s="61" t="s">
        <v>592</v>
      </c>
      <c r="E942" s="1" t="s">
        <v>879</v>
      </c>
      <c r="F942" s="62" t="str">
        <f t="shared" si="194"/>
        <v>64542</v>
      </c>
      <c r="G942" s="1">
        <v>10620075</v>
      </c>
      <c r="H942" s="1" t="s">
        <v>387</v>
      </c>
      <c r="I942" s="61">
        <v>25</v>
      </c>
      <c r="J942" s="61">
        <v>8.5</v>
      </c>
      <c r="K942" s="61">
        <v>9</v>
      </c>
      <c r="L942" s="69">
        <f t="shared" si="183"/>
        <v>2.125</v>
      </c>
      <c r="M942" s="69">
        <f t="shared" si="184"/>
        <v>2.25</v>
      </c>
      <c r="N942" s="56">
        <f>INDEX(Rate_Chart!$A$1:$AK$127,MATCH(Data!J942,Rate_Chart!$A$1:$A$127,0),MATCH(Data!K942,Rate_Chart!$A$1:$AK$1,0))</f>
        <v>70.975000000000009</v>
      </c>
      <c r="O942" s="57">
        <f t="shared" si="185"/>
        <v>1774.3750000000002</v>
      </c>
      <c r="P942" s="58">
        <f t="shared" si="186"/>
        <v>489.48275862068965</v>
      </c>
      <c r="Q942" s="58">
        <f t="shared" si="187"/>
        <v>326.32183908045977</v>
      </c>
      <c r="R942" s="66">
        <f t="shared" si="188"/>
        <v>31.051562500000006</v>
      </c>
      <c r="S942" s="64">
        <f t="shared" si="189"/>
        <v>93.75</v>
      </c>
      <c r="T942" s="66">
        <f t="shared" si="190"/>
        <v>1899.1765625000003</v>
      </c>
      <c r="U942" s="68">
        <f t="shared" si="191"/>
        <v>75.967062500000011</v>
      </c>
      <c r="V942" s="68">
        <f t="shared" si="192"/>
        <v>523.91077586206893</v>
      </c>
      <c r="W942" s="68">
        <f t="shared" si="193"/>
        <v>349.27385057471264</v>
      </c>
    </row>
    <row r="943" spans="1:23" x14ac:dyDescent="0.25">
      <c r="A943" s="169" t="s">
        <v>894</v>
      </c>
      <c r="B943" s="61" t="s">
        <v>396</v>
      </c>
      <c r="C943" s="61" t="s">
        <v>591</v>
      </c>
      <c r="D943" s="61" t="s">
        <v>592</v>
      </c>
      <c r="E943" s="1" t="s">
        <v>879</v>
      </c>
      <c r="F943" s="62" t="str">
        <f t="shared" si="194"/>
        <v>64542</v>
      </c>
      <c r="G943" s="1">
        <v>10620075</v>
      </c>
      <c r="H943" s="1" t="s">
        <v>388</v>
      </c>
      <c r="I943" s="61">
        <v>26</v>
      </c>
      <c r="J943" s="61">
        <v>4.5</v>
      </c>
      <c r="K943" s="61">
        <v>8.5</v>
      </c>
      <c r="L943" s="69">
        <f t="shared" si="183"/>
        <v>1.17</v>
      </c>
      <c r="M943" s="69">
        <f t="shared" si="184"/>
        <v>2.21</v>
      </c>
      <c r="N943" s="56">
        <f>INDEX(Rate_Chart!$A$1:$AK$127,MATCH(Data!J943,Rate_Chart!$A$1:$A$127,0),MATCH(Data!K943,Rate_Chart!$A$1:$AK$1,0))</f>
        <v>42.396181500000004</v>
      </c>
      <c r="O943" s="57">
        <f t="shared" si="185"/>
        <v>1102.3007190000001</v>
      </c>
      <c r="P943" s="58">
        <f t="shared" si="186"/>
        <v>417.01162131147544</v>
      </c>
      <c r="Q943" s="58">
        <f t="shared" si="187"/>
        <v>278.00774754098364</v>
      </c>
      <c r="R943" s="66">
        <f t="shared" si="188"/>
        <v>19.290262582500002</v>
      </c>
      <c r="S943" s="64">
        <f t="shared" si="189"/>
        <v>97.5</v>
      </c>
      <c r="T943" s="66">
        <f t="shared" si="190"/>
        <v>1219.0909815825</v>
      </c>
      <c r="U943" s="68">
        <f t="shared" si="191"/>
        <v>46.888114676249998</v>
      </c>
      <c r="V943" s="68">
        <f t="shared" si="192"/>
        <v>461.19457058606554</v>
      </c>
      <c r="W943" s="68">
        <f t="shared" si="193"/>
        <v>307.46304705737703</v>
      </c>
    </row>
    <row r="944" spans="1:23" x14ac:dyDescent="0.25">
      <c r="A944" s="169" t="s">
        <v>894</v>
      </c>
      <c r="B944" s="61" t="s">
        <v>397</v>
      </c>
      <c r="C944" s="61" t="s">
        <v>591</v>
      </c>
      <c r="D944" s="61" t="s">
        <v>592</v>
      </c>
      <c r="E944" s="1" t="s">
        <v>879</v>
      </c>
      <c r="F944" s="62" t="str">
        <f t="shared" si="194"/>
        <v>64542</v>
      </c>
      <c r="G944" s="1">
        <v>10620075</v>
      </c>
      <c r="H944" s="1" t="s">
        <v>387</v>
      </c>
      <c r="I944" s="61">
        <v>12</v>
      </c>
      <c r="J944" s="61">
        <v>8.3000000000000007</v>
      </c>
      <c r="K944" s="61">
        <v>9</v>
      </c>
      <c r="L944" s="69">
        <f t="shared" ref="L944:L1007" si="195">J944*I944/100</f>
        <v>0.99600000000000011</v>
      </c>
      <c r="M944" s="69">
        <f t="shared" ref="M944:M1007" si="196">K944*I944/100</f>
        <v>1.08</v>
      </c>
      <c r="N944" s="56">
        <f>INDEX(Rate_Chart!$A$1:$AK$127,MATCH(Data!J944,Rate_Chart!$A$1:$A$127,0),MATCH(Data!K944,Rate_Chart!$A$1:$AK$1,0))</f>
        <v>69.305000000000007</v>
      </c>
      <c r="O944" s="57">
        <f t="shared" ref="O944:O1007" si="197">N944*I944</f>
        <v>831.66000000000008</v>
      </c>
      <c r="P944" s="58">
        <f t="shared" ref="P944:P1007" si="198">N944/(J944%+K944%*2/3)</f>
        <v>484.65034965034965</v>
      </c>
      <c r="Q944" s="58">
        <f t="shared" ref="Q944:Q1007" si="199">P944*2/3</f>
        <v>323.10023310023308</v>
      </c>
      <c r="R944" s="66">
        <f t="shared" ref="R944:R1007" si="200">O944*1.75%</f>
        <v>14.554050000000002</v>
      </c>
      <c r="S944" s="64">
        <f t="shared" ref="S944:S1007" si="201">I944*3.75</f>
        <v>45</v>
      </c>
      <c r="T944" s="66">
        <f t="shared" ref="T944:T1007" si="202">R944+S944+O944</f>
        <v>891.21405000000004</v>
      </c>
      <c r="U944" s="68">
        <f t="shared" ref="U944:U1007" si="203">T944/I944</f>
        <v>74.267837499999999</v>
      </c>
      <c r="V944" s="68">
        <f t="shared" ref="V944:V1007" si="204">U944/(J944%+K944%*2/3)</f>
        <v>519.35550699300688</v>
      </c>
      <c r="W944" s="68">
        <f t="shared" ref="W944:W1007" si="205">V944*2/3</f>
        <v>346.23700466200461</v>
      </c>
    </row>
    <row r="945" spans="1:23" x14ac:dyDescent="0.25">
      <c r="A945" s="169" t="s">
        <v>894</v>
      </c>
      <c r="B945" s="61" t="s">
        <v>397</v>
      </c>
      <c r="C945" s="61" t="s">
        <v>591</v>
      </c>
      <c r="D945" s="61" t="s">
        <v>592</v>
      </c>
      <c r="E945" s="1" t="s">
        <v>879</v>
      </c>
      <c r="F945" s="62" t="str">
        <f t="shared" si="194"/>
        <v>64542</v>
      </c>
      <c r="G945" s="1">
        <v>10620075</v>
      </c>
      <c r="H945" s="1" t="s">
        <v>388</v>
      </c>
      <c r="I945" s="61">
        <v>29</v>
      </c>
      <c r="J945" s="61">
        <v>4.2</v>
      </c>
      <c r="K945" s="61">
        <v>8.4</v>
      </c>
      <c r="L945" s="69">
        <f t="shared" si="195"/>
        <v>1.2180000000000002</v>
      </c>
      <c r="M945" s="69">
        <f t="shared" si="196"/>
        <v>2.4360000000000004</v>
      </c>
      <c r="N945" s="56">
        <f>INDEX(Rate_Chart!$A$1:$AK$127,MATCH(Data!J945,Rate_Chart!$A$1:$A$127,0),MATCH(Data!K945,Rate_Chart!$A$1:$AK$1,0))</f>
        <v>40.867167600000002</v>
      </c>
      <c r="O945" s="57">
        <f t="shared" si="197"/>
        <v>1185.1478604000001</v>
      </c>
      <c r="P945" s="58">
        <f t="shared" si="198"/>
        <v>417.01191428571428</v>
      </c>
      <c r="Q945" s="58">
        <f t="shared" si="199"/>
        <v>278.00794285714284</v>
      </c>
      <c r="R945" s="66">
        <f t="shared" si="200"/>
        <v>20.740087557000003</v>
      </c>
      <c r="S945" s="64">
        <f t="shared" si="201"/>
        <v>108.75</v>
      </c>
      <c r="T945" s="66">
        <f t="shared" si="202"/>
        <v>1314.6379479570001</v>
      </c>
      <c r="U945" s="68">
        <f t="shared" si="203"/>
        <v>45.332343033000001</v>
      </c>
      <c r="V945" s="68">
        <f t="shared" si="204"/>
        <v>462.57492890816326</v>
      </c>
      <c r="W945" s="68">
        <f t="shared" si="205"/>
        <v>308.38328593877549</v>
      </c>
    </row>
    <row r="946" spans="1:23" x14ac:dyDescent="0.25">
      <c r="A946" s="169" t="s">
        <v>888</v>
      </c>
      <c r="B946" s="61" t="s">
        <v>396</v>
      </c>
      <c r="C946" s="61" t="s">
        <v>591</v>
      </c>
      <c r="D946" s="61" t="s">
        <v>592</v>
      </c>
      <c r="E946" s="1" t="s">
        <v>374</v>
      </c>
      <c r="F946" s="62" t="str">
        <f t="shared" si="194"/>
        <v>64543</v>
      </c>
      <c r="G946" s="1">
        <v>10620051</v>
      </c>
      <c r="H946" s="1" t="s">
        <v>387</v>
      </c>
      <c r="I946" s="61">
        <v>69</v>
      </c>
      <c r="J946" s="61">
        <v>6.8</v>
      </c>
      <c r="K946" s="61">
        <v>9</v>
      </c>
      <c r="L946" s="69">
        <f t="shared" si="195"/>
        <v>4.6920000000000002</v>
      </c>
      <c r="M946" s="69">
        <f t="shared" si="196"/>
        <v>6.21</v>
      </c>
      <c r="N946" s="56">
        <f>INDEX(Rate_Chart!$A$1:$AK$127,MATCH(Data!J946,Rate_Chart!$A$1:$A$127,0),MATCH(Data!K946,Rate_Chart!$A$1:$AK$1,0))</f>
        <v>56.78</v>
      </c>
      <c r="O946" s="57">
        <f t="shared" si="197"/>
        <v>3917.82</v>
      </c>
      <c r="P946" s="58">
        <f t="shared" si="198"/>
        <v>443.59375</v>
      </c>
      <c r="Q946" s="58">
        <f t="shared" si="199"/>
        <v>295.72916666666669</v>
      </c>
      <c r="R946" s="66">
        <f t="shared" si="200"/>
        <v>68.561850000000007</v>
      </c>
      <c r="S946" s="64">
        <f t="shared" si="201"/>
        <v>258.75</v>
      </c>
      <c r="T946" s="66">
        <f t="shared" si="202"/>
        <v>4245.1318499999998</v>
      </c>
      <c r="U946" s="68">
        <f t="shared" si="203"/>
        <v>61.523649999999996</v>
      </c>
      <c r="V946" s="68">
        <f t="shared" si="204"/>
        <v>480.65351562499995</v>
      </c>
      <c r="W946" s="68">
        <f t="shared" si="205"/>
        <v>320.4356770833333</v>
      </c>
    </row>
    <row r="947" spans="1:23" x14ac:dyDescent="0.25">
      <c r="A947" s="169" t="s">
        <v>888</v>
      </c>
      <c r="B947" s="61" t="s">
        <v>397</v>
      </c>
      <c r="C947" s="61" t="s">
        <v>591</v>
      </c>
      <c r="D947" s="61" t="s">
        <v>592</v>
      </c>
      <c r="E947" s="1" t="s">
        <v>374</v>
      </c>
      <c r="F947" s="62" t="str">
        <f t="shared" si="194"/>
        <v>64543</v>
      </c>
      <c r="G947" s="1">
        <v>10620051</v>
      </c>
      <c r="H947" s="1" t="s">
        <v>387</v>
      </c>
      <c r="I947" s="61">
        <v>71</v>
      </c>
      <c r="J947" s="61">
        <v>6.8</v>
      </c>
      <c r="K947" s="61">
        <v>9</v>
      </c>
      <c r="L947" s="69">
        <f t="shared" si="195"/>
        <v>4.8280000000000003</v>
      </c>
      <c r="M947" s="69">
        <f t="shared" si="196"/>
        <v>6.39</v>
      </c>
      <c r="N947" s="56">
        <f>INDEX(Rate_Chart!$A$1:$AK$127,MATCH(Data!J947,Rate_Chart!$A$1:$A$127,0),MATCH(Data!K947,Rate_Chart!$A$1:$AK$1,0))</f>
        <v>56.78</v>
      </c>
      <c r="O947" s="57">
        <f t="shared" si="197"/>
        <v>4031.38</v>
      </c>
      <c r="P947" s="58">
        <f t="shared" si="198"/>
        <v>443.59375</v>
      </c>
      <c r="Q947" s="58">
        <f t="shared" si="199"/>
        <v>295.72916666666669</v>
      </c>
      <c r="R947" s="66">
        <f t="shared" si="200"/>
        <v>70.549150000000012</v>
      </c>
      <c r="S947" s="64">
        <f t="shared" si="201"/>
        <v>266.25</v>
      </c>
      <c r="T947" s="66">
        <f t="shared" si="202"/>
        <v>4368.1791499999999</v>
      </c>
      <c r="U947" s="68">
        <f t="shared" si="203"/>
        <v>61.523649999999996</v>
      </c>
      <c r="V947" s="68">
        <f t="shared" si="204"/>
        <v>480.65351562499995</v>
      </c>
      <c r="W947" s="68">
        <f t="shared" si="205"/>
        <v>320.4356770833333</v>
      </c>
    </row>
    <row r="948" spans="1:23" x14ac:dyDescent="0.25">
      <c r="A948" s="169" t="s">
        <v>889</v>
      </c>
      <c r="B948" s="61" t="s">
        <v>396</v>
      </c>
      <c r="C948" s="61" t="s">
        <v>591</v>
      </c>
      <c r="D948" s="61" t="s">
        <v>592</v>
      </c>
      <c r="E948" s="1" t="s">
        <v>374</v>
      </c>
      <c r="F948" s="62" t="str">
        <f t="shared" si="194"/>
        <v>64543</v>
      </c>
      <c r="G948" s="1">
        <v>10620051</v>
      </c>
      <c r="H948" s="1" t="s">
        <v>387</v>
      </c>
      <c r="I948" s="61">
        <v>68</v>
      </c>
      <c r="J948" s="61">
        <v>6.8</v>
      </c>
      <c r="K948" s="61">
        <v>9</v>
      </c>
      <c r="L948" s="69">
        <f t="shared" si="195"/>
        <v>4.6239999999999997</v>
      </c>
      <c r="M948" s="69">
        <f t="shared" si="196"/>
        <v>6.12</v>
      </c>
      <c r="N948" s="56">
        <f>INDEX(Rate_Chart!$A$1:$AK$127,MATCH(Data!J948,Rate_Chart!$A$1:$A$127,0),MATCH(Data!K948,Rate_Chart!$A$1:$AK$1,0))</f>
        <v>56.78</v>
      </c>
      <c r="O948" s="57">
        <f t="shared" si="197"/>
        <v>3861.04</v>
      </c>
      <c r="P948" s="58">
        <f t="shared" si="198"/>
        <v>443.59375</v>
      </c>
      <c r="Q948" s="58">
        <f t="shared" si="199"/>
        <v>295.72916666666669</v>
      </c>
      <c r="R948" s="66">
        <f t="shared" si="200"/>
        <v>67.568200000000004</v>
      </c>
      <c r="S948" s="64">
        <f t="shared" si="201"/>
        <v>255</v>
      </c>
      <c r="T948" s="66">
        <f t="shared" si="202"/>
        <v>4183.6081999999997</v>
      </c>
      <c r="U948" s="68">
        <f t="shared" si="203"/>
        <v>61.523649999999996</v>
      </c>
      <c r="V948" s="68">
        <f t="shared" si="204"/>
        <v>480.65351562499995</v>
      </c>
      <c r="W948" s="68">
        <f t="shared" si="205"/>
        <v>320.4356770833333</v>
      </c>
    </row>
    <row r="949" spans="1:23" x14ac:dyDescent="0.25">
      <c r="A949" t="s">
        <v>889</v>
      </c>
      <c r="B949" s="37" t="s">
        <v>397</v>
      </c>
      <c r="C949" t="s">
        <v>591</v>
      </c>
      <c r="D949" t="s">
        <v>592</v>
      </c>
      <c r="E949" t="s">
        <v>374</v>
      </c>
      <c r="F949" s="62" t="str">
        <f t="shared" si="194"/>
        <v>64543</v>
      </c>
      <c r="G949" s="1">
        <v>10620051</v>
      </c>
      <c r="H949" s="1" t="s">
        <v>387</v>
      </c>
      <c r="I949" s="61">
        <v>69</v>
      </c>
      <c r="J949" s="61">
        <v>6.9</v>
      </c>
      <c r="K949" s="61">
        <v>9</v>
      </c>
      <c r="L949" s="69">
        <f t="shared" si="195"/>
        <v>4.7610000000000001</v>
      </c>
      <c r="M949" s="69">
        <f t="shared" si="196"/>
        <v>6.21</v>
      </c>
      <c r="N949" s="56">
        <f>INDEX(Rate_Chart!$A$1:$AK$127,MATCH(Data!J949,Rate_Chart!$A$1:$A$127,0),MATCH(Data!K949,Rate_Chart!$A$1:$AK$1,0))</f>
        <v>57.615000000000002</v>
      </c>
      <c r="O949" s="57">
        <f t="shared" si="197"/>
        <v>3975.4349999999999</v>
      </c>
      <c r="P949" s="58">
        <f t="shared" si="198"/>
        <v>446.62790697674421</v>
      </c>
      <c r="Q949" s="58">
        <f t="shared" si="199"/>
        <v>297.75193798449612</v>
      </c>
      <c r="R949" s="66">
        <f t="shared" si="200"/>
        <v>69.570112500000008</v>
      </c>
      <c r="S949" s="64">
        <f t="shared" si="201"/>
        <v>258.75</v>
      </c>
      <c r="T949" s="66">
        <f t="shared" si="202"/>
        <v>4303.7551125</v>
      </c>
      <c r="U949" s="68">
        <f t="shared" si="203"/>
        <v>62.373262500000003</v>
      </c>
      <c r="V949" s="68">
        <f t="shared" si="204"/>
        <v>483.51366279069771</v>
      </c>
      <c r="W949" s="68">
        <f t="shared" si="205"/>
        <v>322.34244186046516</v>
      </c>
    </row>
    <row r="950" spans="1:23" x14ac:dyDescent="0.25">
      <c r="A950" t="s">
        <v>890</v>
      </c>
      <c r="B950" s="37" t="s">
        <v>396</v>
      </c>
      <c r="C950" t="s">
        <v>591</v>
      </c>
      <c r="D950" t="s">
        <v>592</v>
      </c>
      <c r="E950" t="s">
        <v>374</v>
      </c>
      <c r="F950" s="62" t="str">
        <f t="shared" si="194"/>
        <v>64543</v>
      </c>
      <c r="G950" s="1">
        <v>10620051</v>
      </c>
      <c r="H950" s="1" t="s">
        <v>387</v>
      </c>
      <c r="I950" s="61">
        <v>71</v>
      </c>
      <c r="J950" s="61">
        <v>7</v>
      </c>
      <c r="K950" s="61">
        <v>9</v>
      </c>
      <c r="L950" s="69">
        <f t="shared" si="195"/>
        <v>4.97</v>
      </c>
      <c r="M950" s="69">
        <f t="shared" si="196"/>
        <v>6.39</v>
      </c>
      <c r="N950" s="56">
        <f>INDEX(Rate_Chart!$A$1:$AK$127,MATCH(Data!J950,Rate_Chart!$A$1:$A$127,0),MATCH(Data!K950,Rate_Chart!$A$1:$AK$1,0))</f>
        <v>58.45</v>
      </c>
      <c r="O950" s="57">
        <f t="shared" si="197"/>
        <v>4149.95</v>
      </c>
      <c r="P950" s="58">
        <f t="shared" si="198"/>
        <v>449.61538461538464</v>
      </c>
      <c r="Q950" s="58">
        <f t="shared" si="199"/>
        <v>299.74358974358978</v>
      </c>
      <c r="R950" s="66">
        <f t="shared" si="200"/>
        <v>72.624125000000006</v>
      </c>
      <c r="S950" s="64">
        <f t="shared" si="201"/>
        <v>266.25</v>
      </c>
      <c r="T950" s="66">
        <f t="shared" si="202"/>
        <v>4488.8241250000001</v>
      </c>
      <c r="U950" s="68">
        <f t="shared" si="203"/>
        <v>63.222875000000002</v>
      </c>
      <c r="V950" s="68">
        <f t="shared" si="204"/>
        <v>486.32980769230767</v>
      </c>
      <c r="W950" s="68">
        <f t="shared" si="205"/>
        <v>324.21987179487178</v>
      </c>
    </row>
    <row r="951" spans="1:23" x14ac:dyDescent="0.25">
      <c r="A951" t="s">
        <v>890</v>
      </c>
      <c r="B951" s="37" t="s">
        <v>397</v>
      </c>
      <c r="C951" t="s">
        <v>591</v>
      </c>
      <c r="D951" t="s">
        <v>592</v>
      </c>
      <c r="E951" t="s">
        <v>374</v>
      </c>
      <c r="F951" s="62" t="str">
        <f t="shared" si="194"/>
        <v>64543</v>
      </c>
      <c r="G951" s="1">
        <v>10620051</v>
      </c>
      <c r="H951" s="1" t="s">
        <v>387</v>
      </c>
      <c r="I951" s="61">
        <v>69</v>
      </c>
      <c r="J951" s="61">
        <v>6.8</v>
      </c>
      <c r="K951" s="61">
        <v>9</v>
      </c>
      <c r="L951" s="69">
        <f t="shared" si="195"/>
        <v>4.6920000000000002</v>
      </c>
      <c r="M951" s="69">
        <f t="shared" si="196"/>
        <v>6.21</v>
      </c>
      <c r="N951" s="56">
        <f>INDEX(Rate_Chart!$A$1:$AK$127,MATCH(Data!J951,Rate_Chart!$A$1:$A$127,0),MATCH(Data!K951,Rate_Chart!$A$1:$AK$1,0))</f>
        <v>56.78</v>
      </c>
      <c r="O951" s="57">
        <f t="shared" si="197"/>
        <v>3917.82</v>
      </c>
      <c r="P951" s="58">
        <f t="shared" si="198"/>
        <v>443.59375</v>
      </c>
      <c r="Q951" s="58">
        <f t="shared" si="199"/>
        <v>295.72916666666669</v>
      </c>
      <c r="R951" s="66">
        <f t="shared" si="200"/>
        <v>68.561850000000007</v>
      </c>
      <c r="S951" s="64">
        <f t="shared" si="201"/>
        <v>258.75</v>
      </c>
      <c r="T951" s="66">
        <f t="shared" si="202"/>
        <v>4245.1318499999998</v>
      </c>
      <c r="U951" s="68">
        <f t="shared" si="203"/>
        <v>61.523649999999996</v>
      </c>
      <c r="V951" s="68">
        <f t="shared" si="204"/>
        <v>480.65351562499995</v>
      </c>
      <c r="W951" s="68">
        <f t="shared" si="205"/>
        <v>320.4356770833333</v>
      </c>
    </row>
    <row r="952" spans="1:23" x14ac:dyDescent="0.25">
      <c r="A952" t="s">
        <v>891</v>
      </c>
      <c r="B952" s="37" t="s">
        <v>396</v>
      </c>
      <c r="C952" t="s">
        <v>591</v>
      </c>
      <c r="D952" t="s">
        <v>592</v>
      </c>
      <c r="E952" t="s">
        <v>374</v>
      </c>
      <c r="F952" s="62" t="str">
        <f t="shared" si="194"/>
        <v>64543</v>
      </c>
      <c r="G952" s="1">
        <v>10620051</v>
      </c>
      <c r="H952" s="1" t="s">
        <v>387</v>
      </c>
      <c r="I952" s="61">
        <v>73</v>
      </c>
      <c r="J952" s="61">
        <v>6.8</v>
      </c>
      <c r="K952" s="61">
        <v>9</v>
      </c>
      <c r="L952" s="69">
        <f t="shared" si="195"/>
        <v>4.9639999999999995</v>
      </c>
      <c r="M952" s="69">
        <f t="shared" si="196"/>
        <v>6.57</v>
      </c>
      <c r="N952" s="56">
        <f>INDEX(Rate_Chart!$A$1:$AK$127,MATCH(Data!J952,Rate_Chart!$A$1:$A$127,0),MATCH(Data!K952,Rate_Chart!$A$1:$AK$1,0))</f>
        <v>56.78</v>
      </c>
      <c r="O952" s="57">
        <f t="shared" si="197"/>
        <v>4144.9400000000005</v>
      </c>
      <c r="P952" s="58">
        <f t="shared" si="198"/>
        <v>443.59375</v>
      </c>
      <c r="Q952" s="58">
        <f t="shared" si="199"/>
        <v>295.72916666666669</v>
      </c>
      <c r="R952" s="66">
        <f t="shared" si="200"/>
        <v>72.536450000000016</v>
      </c>
      <c r="S952" s="64">
        <f t="shared" si="201"/>
        <v>273.75</v>
      </c>
      <c r="T952" s="66">
        <f t="shared" si="202"/>
        <v>4491.2264500000001</v>
      </c>
      <c r="U952" s="68">
        <f t="shared" si="203"/>
        <v>61.523650000000004</v>
      </c>
      <c r="V952" s="68">
        <f t="shared" si="204"/>
        <v>480.65351562500001</v>
      </c>
      <c r="W952" s="68">
        <f t="shared" si="205"/>
        <v>320.43567708333336</v>
      </c>
    </row>
    <row r="953" spans="1:23" x14ac:dyDescent="0.25">
      <c r="A953" t="s">
        <v>891</v>
      </c>
      <c r="B953" s="37" t="s">
        <v>397</v>
      </c>
      <c r="C953" t="s">
        <v>591</v>
      </c>
      <c r="D953" t="s">
        <v>592</v>
      </c>
      <c r="E953" t="s">
        <v>374</v>
      </c>
      <c r="F953" s="62" t="str">
        <f t="shared" si="194"/>
        <v>64543</v>
      </c>
      <c r="G953" s="1">
        <v>10620051</v>
      </c>
      <c r="H953" s="1" t="s">
        <v>387</v>
      </c>
      <c r="I953" s="61">
        <v>69</v>
      </c>
      <c r="J953" s="61">
        <v>6.9</v>
      </c>
      <c r="K953" s="61">
        <v>9</v>
      </c>
      <c r="L953" s="69">
        <f t="shared" si="195"/>
        <v>4.7610000000000001</v>
      </c>
      <c r="M953" s="69">
        <f t="shared" si="196"/>
        <v>6.21</v>
      </c>
      <c r="N953" s="56">
        <f>INDEX(Rate_Chart!$A$1:$AK$127,MATCH(Data!J953,Rate_Chart!$A$1:$A$127,0),MATCH(Data!K953,Rate_Chart!$A$1:$AK$1,0))</f>
        <v>57.615000000000002</v>
      </c>
      <c r="O953" s="57">
        <f t="shared" si="197"/>
        <v>3975.4349999999999</v>
      </c>
      <c r="P953" s="58">
        <f t="shared" si="198"/>
        <v>446.62790697674421</v>
      </c>
      <c r="Q953" s="58">
        <f t="shared" si="199"/>
        <v>297.75193798449612</v>
      </c>
      <c r="R953" s="66">
        <f t="shared" si="200"/>
        <v>69.570112500000008</v>
      </c>
      <c r="S953" s="64">
        <f t="shared" si="201"/>
        <v>258.75</v>
      </c>
      <c r="T953" s="66">
        <f t="shared" si="202"/>
        <v>4303.7551125</v>
      </c>
      <c r="U953" s="68">
        <f t="shared" si="203"/>
        <v>62.373262500000003</v>
      </c>
      <c r="V953" s="68">
        <f t="shared" si="204"/>
        <v>483.51366279069771</v>
      </c>
      <c r="W953" s="68">
        <f t="shared" si="205"/>
        <v>322.34244186046516</v>
      </c>
    </row>
    <row r="954" spans="1:23" x14ac:dyDescent="0.25">
      <c r="A954" t="s">
        <v>892</v>
      </c>
      <c r="B954" s="37" t="s">
        <v>396</v>
      </c>
      <c r="C954" t="s">
        <v>591</v>
      </c>
      <c r="D954" t="s">
        <v>592</v>
      </c>
      <c r="E954" t="s">
        <v>374</v>
      </c>
      <c r="F954" s="62" t="str">
        <f t="shared" si="194"/>
        <v>64543</v>
      </c>
      <c r="G954" s="1">
        <v>10620051</v>
      </c>
      <c r="H954" s="1" t="s">
        <v>387</v>
      </c>
      <c r="I954" s="61">
        <v>68</v>
      </c>
      <c r="J954" s="61">
        <v>6.9</v>
      </c>
      <c r="K954" s="61">
        <v>9</v>
      </c>
      <c r="L954" s="69">
        <f t="shared" si="195"/>
        <v>4.6920000000000002</v>
      </c>
      <c r="M954" s="69">
        <f t="shared" si="196"/>
        <v>6.12</v>
      </c>
      <c r="N954" s="56">
        <f>INDEX(Rate_Chart!$A$1:$AK$127,MATCH(Data!J954,Rate_Chart!$A$1:$A$127,0),MATCH(Data!K954,Rate_Chart!$A$1:$AK$1,0))</f>
        <v>57.615000000000002</v>
      </c>
      <c r="O954" s="57">
        <f t="shared" si="197"/>
        <v>3917.82</v>
      </c>
      <c r="P954" s="58">
        <f t="shared" si="198"/>
        <v>446.62790697674421</v>
      </c>
      <c r="Q954" s="58">
        <f t="shared" si="199"/>
        <v>297.75193798449612</v>
      </c>
      <c r="R954" s="66">
        <f t="shared" si="200"/>
        <v>68.561850000000007</v>
      </c>
      <c r="S954" s="64">
        <f t="shared" si="201"/>
        <v>255</v>
      </c>
      <c r="T954" s="66">
        <f t="shared" si="202"/>
        <v>4241.3818499999998</v>
      </c>
      <c r="U954" s="68">
        <f t="shared" si="203"/>
        <v>62.373262499999996</v>
      </c>
      <c r="V954" s="68">
        <f t="shared" si="204"/>
        <v>483.51366279069765</v>
      </c>
      <c r="W954" s="68">
        <f t="shared" si="205"/>
        <v>322.3424418604651</v>
      </c>
    </row>
    <row r="955" spans="1:23" x14ac:dyDescent="0.25">
      <c r="A955" t="s">
        <v>892</v>
      </c>
      <c r="B955" s="37" t="s">
        <v>397</v>
      </c>
      <c r="C955" t="s">
        <v>591</v>
      </c>
      <c r="D955" t="s">
        <v>592</v>
      </c>
      <c r="E955" t="s">
        <v>374</v>
      </c>
      <c r="F955" s="62" t="str">
        <f t="shared" si="194"/>
        <v>64543</v>
      </c>
      <c r="G955" s="1">
        <v>10620051</v>
      </c>
      <c r="H955" s="1" t="s">
        <v>387</v>
      </c>
      <c r="I955" s="61">
        <v>69</v>
      </c>
      <c r="J955" s="61">
        <v>6.8</v>
      </c>
      <c r="K955" s="61">
        <v>9</v>
      </c>
      <c r="L955" s="69">
        <f t="shared" si="195"/>
        <v>4.6920000000000002</v>
      </c>
      <c r="M955" s="69">
        <f t="shared" si="196"/>
        <v>6.21</v>
      </c>
      <c r="N955" s="56">
        <f>INDEX(Rate_Chart!$A$1:$AK$127,MATCH(Data!J955,Rate_Chart!$A$1:$A$127,0),MATCH(Data!K955,Rate_Chart!$A$1:$AK$1,0))</f>
        <v>56.78</v>
      </c>
      <c r="O955" s="57">
        <f t="shared" si="197"/>
        <v>3917.82</v>
      </c>
      <c r="P955" s="58">
        <f t="shared" si="198"/>
        <v>443.59375</v>
      </c>
      <c r="Q955" s="58">
        <f t="shared" si="199"/>
        <v>295.72916666666669</v>
      </c>
      <c r="R955" s="66">
        <f t="shared" si="200"/>
        <v>68.561850000000007</v>
      </c>
      <c r="S955" s="64">
        <f t="shared" si="201"/>
        <v>258.75</v>
      </c>
      <c r="T955" s="66">
        <f t="shared" si="202"/>
        <v>4245.1318499999998</v>
      </c>
      <c r="U955" s="68">
        <f t="shared" si="203"/>
        <v>61.523649999999996</v>
      </c>
      <c r="V955" s="68">
        <f t="shared" si="204"/>
        <v>480.65351562499995</v>
      </c>
      <c r="W955" s="68">
        <f t="shared" si="205"/>
        <v>320.4356770833333</v>
      </c>
    </row>
    <row r="956" spans="1:23" x14ac:dyDescent="0.25">
      <c r="A956" t="s">
        <v>893</v>
      </c>
      <c r="B956" s="37" t="s">
        <v>396</v>
      </c>
      <c r="C956" t="s">
        <v>591</v>
      </c>
      <c r="D956" t="s">
        <v>592</v>
      </c>
      <c r="E956" t="s">
        <v>374</v>
      </c>
      <c r="F956" s="62" t="str">
        <f t="shared" si="194"/>
        <v>64543</v>
      </c>
      <c r="G956" s="1">
        <v>10620051</v>
      </c>
      <c r="H956" s="1" t="s">
        <v>387</v>
      </c>
      <c r="I956" s="61">
        <v>68</v>
      </c>
      <c r="J956" s="61">
        <v>6.8</v>
      </c>
      <c r="K956" s="61">
        <v>9</v>
      </c>
      <c r="L956" s="69">
        <f t="shared" si="195"/>
        <v>4.6239999999999997</v>
      </c>
      <c r="M956" s="69">
        <f t="shared" si="196"/>
        <v>6.12</v>
      </c>
      <c r="N956" s="56">
        <f>INDEX(Rate_Chart!$A$1:$AK$127,MATCH(Data!J956,Rate_Chart!$A$1:$A$127,0),MATCH(Data!K956,Rate_Chart!$A$1:$AK$1,0))</f>
        <v>56.78</v>
      </c>
      <c r="O956" s="57">
        <f t="shared" si="197"/>
        <v>3861.04</v>
      </c>
      <c r="P956" s="58">
        <f t="shared" si="198"/>
        <v>443.59375</v>
      </c>
      <c r="Q956" s="58">
        <f t="shared" si="199"/>
        <v>295.72916666666669</v>
      </c>
      <c r="R956" s="66">
        <f t="shared" si="200"/>
        <v>67.568200000000004</v>
      </c>
      <c r="S956" s="64">
        <f t="shared" si="201"/>
        <v>255</v>
      </c>
      <c r="T956" s="66">
        <f t="shared" si="202"/>
        <v>4183.6081999999997</v>
      </c>
      <c r="U956" s="68">
        <f t="shared" si="203"/>
        <v>61.523649999999996</v>
      </c>
      <c r="V956" s="68">
        <f t="shared" si="204"/>
        <v>480.65351562499995</v>
      </c>
      <c r="W956" s="68">
        <f t="shared" si="205"/>
        <v>320.4356770833333</v>
      </c>
    </row>
    <row r="957" spans="1:23" x14ac:dyDescent="0.25">
      <c r="A957" t="s">
        <v>893</v>
      </c>
      <c r="B957" s="37" t="s">
        <v>397</v>
      </c>
      <c r="C957" t="s">
        <v>591</v>
      </c>
      <c r="D957" t="s">
        <v>592</v>
      </c>
      <c r="E957" t="s">
        <v>374</v>
      </c>
      <c r="F957" s="62" t="str">
        <f t="shared" si="194"/>
        <v>64543</v>
      </c>
      <c r="G957" s="1">
        <v>10620051</v>
      </c>
      <c r="H957" s="1" t="s">
        <v>387</v>
      </c>
      <c r="I957" s="61">
        <v>68</v>
      </c>
      <c r="J957" s="61">
        <v>6.8</v>
      </c>
      <c r="K957" s="61">
        <v>9</v>
      </c>
      <c r="L957" s="69">
        <f t="shared" si="195"/>
        <v>4.6239999999999997</v>
      </c>
      <c r="M957" s="69">
        <f t="shared" si="196"/>
        <v>6.12</v>
      </c>
      <c r="N957" s="56">
        <f>INDEX(Rate_Chart!$A$1:$AK$127,MATCH(Data!J957,Rate_Chart!$A$1:$A$127,0),MATCH(Data!K957,Rate_Chart!$A$1:$AK$1,0))</f>
        <v>56.78</v>
      </c>
      <c r="O957" s="57">
        <f t="shared" si="197"/>
        <v>3861.04</v>
      </c>
      <c r="P957" s="58">
        <f t="shared" si="198"/>
        <v>443.59375</v>
      </c>
      <c r="Q957" s="58">
        <f t="shared" si="199"/>
        <v>295.72916666666669</v>
      </c>
      <c r="R957" s="66">
        <f t="shared" si="200"/>
        <v>67.568200000000004</v>
      </c>
      <c r="S957" s="64">
        <f t="shared" si="201"/>
        <v>255</v>
      </c>
      <c r="T957" s="66">
        <f t="shared" si="202"/>
        <v>4183.6081999999997</v>
      </c>
      <c r="U957" s="68">
        <f t="shared" si="203"/>
        <v>61.523649999999996</v>
      </c>
      <c r="V957" s="68">
        <f t="shared" si="204"/>
        <v>480.65351562499995</v>
      </c>
      <c r="W957" s="68">
        <f t="shared" si="205"/>
        <v>320.4356770833333</v>
      </c>
    </row>
    <row r="958" spans="1:23" x14ac:dyDescent="0.25">
      <c r="A958" t="s">
        <v>894</v>
      </c>
      <c r="B958" s="37" t="s">
        <v>396</v>
      </c>
      <c r="C958" t="s">
        <v>591</v>
      </c>
      <c r="D958" t="s">
        <v>592</v>
      </c>
      <c r="E958" t="s">
        <v>374</v>
      </c>
      <c r="F958" s="62" t="str">
        <f t="shared" si="194"/>
        <v>64543</v>
      </c>
      <c r="G958" s="1">
        <v>10620051</v>
      </c>
      <c r="H958" s="1" t="s">
        <v>387</v>
      </c>
      <c r="I958" s="61">
        <v>69</v>
      </c>
      <c r="J958" s="61">
        <v>6.8</v>
      </c>
      <c r="K958" s="61">
        <v>9</v>
      </c>
      <c r="L958" s="69">
        <f t="shared" si="195"/>
        <v>4.6920000000000002</v>
      </c>
      <c r="M958" s="69">
        <f t="shared" si="196"/>
        <v>6.21</v>
      </c>
      <c r="N958" s="56">
        <f>INDEX(Rate_Chart!$A$1:$AK$127,MATCH(Data!J958,Rate_Chart!$A$1:$A$127,0),MATCH(Data!K958,Rate_Chart!$A$1:$AK$1,0))</f>
        <v>56.78</v>
      </c>
      <c r="O958" s="57">
        <f t="shared" si="197"/>
        <v>3917.82</v>
      </c>
      <c r="P958" s="58">
        <f t="shared" si="198"/>
        <v>443.59375</v>
      </c>
      <c r="Q958" s="58">
        <f t="shared" si="199"/>
        <v>295.72916666666669</v>
      </c>
      <c r="R958" s="66">
        <f t="shared" si="200"/>
        <v>68.561850000000007</v>
      </c>
      <c r="S958" s="64">
        <f t="shared" si="201"/>
        <v>258.75</v>
      </c>
      <c r="T958" s="66">
        <f t="shared" si="202"/>
        <v>4245.1318499999998</v>
      </c>
      <c r="U958" s="68">
        <f t="shared" si="203"/>
        <v>61.523649999999996</v>
      </c>
      <c r="V958" s="68">
        <f t="shared" si="204"/>
        <v>480.65351562499995</v>
      </c>
      <c r="W958" s="68">
        <f t="shared" si="205"/>
        <v>320.4356770833333</v>
      </c>
    </row>
    <row r="959" spans="1:23" x14ac:dyDescent="0.25">
      <c r="A959" t="s">
        <v>894</v>
      </c>
      <c r="B959" s="37" t="s">
        <v>397</v>
      </c>
      <c r="C959" t="s">
        <v>591</v>
      </c>
      <c r="D959" t="s">
        <v>592</v>
      </c>
      <c r="E959" t="s">
        <v>374</v>
      </c>
      <c r="F959" s="62" t="str">
        <f t="shared" si="194"/>
        <v>64543</v>
      </c>
      <c r="G959" s="1">
        <v>10620051</v>
      </c>
      <c r="H959" s="1" t="s">
        <v>387</v>
      </c>
      <c r="I959" s="61">
        <v>40</v>
      </c>
      <c r="J959" s="61">
        <v>7</v>
      </c>
      <c r="K959" s="61">
        <v>9</v>
      </c>
      <c r="L959" s="69">
        <f t="shared" si="195"/>
        <v>2.8</v>
      </c>
      <c r="M959" s="69">
        <f t="shared" si="196"/>
        <v>3.6</v>
      </c>
      <c r="N959" s="56">
        <f>INDEX(Rate_Chart!$A$1:$AK$127,MATCH(Data!J959,Rate_Chart!$A$1:$A$127,0),MATCH(Data!K959,Rate_Chart!$A$1:$AK$1,0))</f>
        <v>58.45</v>
      </c>
      <c r="O959" s="57">
        <f t="shared" si="197"/>
        <v>2338</v>
      </c>
      <c r="P959" s="58">
        <f t="shared" si="198"/>
        <v>449.61538461538464</v>
      </c>
      <c r="Q959" s="58">
        <f t="shared" si="199"/>
        <v>299.74358974358978</v>
      </c>
      <c r="R959" s="66">
        <f t="shared" si="200"/>
        <v>40.915000000000006</v>
      </c>
      <c r="S959" s="64">
        <f t="shared" si="201"/>
        <v>150</v>
      </c>
      <c r="T959" s="66">
        <f t="shared" si="202"/>
        <v>2528.915</v>
      </c>
      <c r="U959" s="68">
        <f t="shared" si="203"/>
        <v>63.222875000000002</v>
      </c>
      <c r="V959" s="68">
        <f t="shared" si="204"/>
        <v>486.32980769230767</v>
      </c>
      <c r="W959" s="68">
        <f t="shared" si="205"/>
        <v>324.21987179487178</v>
      </c>
    </row>
    <row r="960" spans="1:23" x14ac:dyDescent="0.25">
      <c r="A960" t="s">
        <v>888</v>
      </c>
      <c r="B960" s="37" t="s">
        <v>396</v>
      </c>
      <c r="C960" t="s">
        <v>591</v>
      </c>
      <c r="D960" t="s">
        <v>594</v>
      </c>
      <c r="E960" t="s">
        <v>375</v>
      </c>
      <c r="F960" s="62" t="str">
        <f t="shared" si="194"/>
        <v>64547</v>
      </c>
      <c r="G960" s="1">
        <v>10620029</v>
      </c>
      <c r="H960" s="1" t="s">
        <v>387</v>
      </c>
      <c r="I960" s="61">
        <v>55</v>
      </c>
      <c r="J960" s="61">
        <v>7</v>
      </c>
      <c r="K960" s="61">
        <v>8.8000000000000007</v>
      </c>
      <c r="L960" s="69">
        <f t="shared" si="195"/>
        <v>3.85</v>
      </c>
      <c r="M960" s="69">
        <f t="shared" si="196"/>
        <v>4.8400000000000007</v>
      </c>
      <c r="N960" s="56">
        <f>INDEX(Rate_Chart!$A$1:$AK$127,MATCH(Data!J960,Rate_Chart!$A$1:$A$127,0),MATCH(Data!K960,Rate_Chart!$A$1:$AK$1,0))</f>
        <v>57.865500000000004</v>
      </c>
      <c r="O960" s="57">
        <f t="shared" si="197"/>
        <v>3182.6025000000004</v>
      </c>
      <c r="P960" s="58">
        <f t="shared" si="198"/>
        <v>449.73186528497411</v>
      </c>
      <c r="Q960" s="58">
        <f t="shared" si="199"/>
        <v>299.82124352331607</v>
      </c>
      <c r="R960" s="66">
        <f t="shared" si="200"/>
        <v>55.695543750000013</v>
      </c>
      <c r="S960" s="64">
        <f t="shared" si="201"/>
        <v>206.25</v>
      </c>
      <c r="T960" s="66">
        <f t="shared" si="202"/>
        <v>3444.5480437500005</v>
      </c>
      <c r="U960" s="68">
        <f t="shared" si="203"/>
        <v>62.628146250000007</v>
      </c>
      <c r="V960" s="68">
        <f t="shared" si="204"/>
        <v>486.74725064766841</v>
      </c>
      <c r="W960" s="68">
        <f t="shared" si="205"/>
        <v>324.49816709844561</v>
      </c>
    </row>
    <row r="961" spans="1:23" x14ac:dyDescent="0.25">
      <c r="A961" t="s">
        <v>888</v>
      </c>
      <c r="B961" s="37" t="s">
        <v>396</v>
      </c>
      <c r="C961" t="s">
        <v>591</v>
      </c>
      <c r="D961" t="s">
        <v>594</v>
      </c>
      <c r="E961" t="s">
        <v>375</v>
      </c>
      <c r="F961" s="62" t="str">
        <f t="shared" si="194"/>
        <v>64547</v>
      </c>
      <c r="G961" s="1">
        <v>10620029</v>
      </c>
      <c r="H961" s="1" t="s">
        <v>388</v>
      </c>
      <c r="I961" s="61">
        <v>16</v>
      </c>
      <c r="J961" s="61">
        <v>3</v>
      </c>
      <c r="K961" s="61">
        <v>8</v>
      </c>
      <c r="L961" s="69">
        <f t="shared" si="195"/>
        <v>0.48</v>
      </c>
      <c r="M961" s="69">
        <f t="shared" si="196"/>
        <v>1.28</v>
      </c>
      <c r="N961" s="56">
        <f>INDEX(Rate_Chart!$A$1:$AK$127,MATCH(Data!J961,Rate_Chart!$A$1:$A$127,0),MATCH(Data!K961,Rate_Chart!$A$1:$AK$1,0))</f>
        <v>34.751112000000006</v>
      </c>
      <c r="O961" s="57">
        <f t="shared" si="197"/>
        <v>556.0177920000001</v>
      </c>
      <c r="P961" s="58">
        <f t="shared" si="198"/>
        <v>417.01334400000002</v>
      </c>
      <c r="Q961" s="58">
        <f t="shared" si="199"/>
        <v>278.00889599999999</v>
      </c>
      <c r="R961" s="66">
        <f t="shared" si="200"/>
        <v>9.7303113600000035</v>
      </c>
      <c r="S961" s="64">
        <f t="shared" si="201"/>
        <v>60</v>
      </c>
      <c r="T961" s="66">
        <f t="shared" si="202"/>
        <v>625.74810336000007</v>
      </c>
      <c r="U961" s="68">
        <f t="shared" si="203"/>
        <v>39.109256460000005</v>
      </c>
      <c r="V961" s="68">
        <f t="shared" si="204"/>
        <v>469.31107752000003</v>
      </c>
      <c r="W961" s="68">
        <f t="shared" si="205"/>
        <v>312.87405168000004</v>
      </c>
    </row>
    <row r="962" spans="1:23" x14ac:dyDescent="0.25">
      <c r="A962" t="s">
        <v>888</v>
      </c>
      <c r="B962" s="37" t="s">
        <v>397</v>
      </c>
      <c r="C962" t="s">
        <v>591</v>
      </c>
      <c r="D962" t="s">
        <v>594</v>
      </c>
      <c r="E962" t="s">
        <v>375</v>
      </c>
      <c r="F962" s="62" t="str">
        <f t="shared" si="194"/>
        <v>64547</v>
      </c>
      <c r="G962" s="1">
        <v>10620029</v>
      </c>
      <c r="H962" s="1" t="s">
        <v>388</v>
      </c>
      <c r="I962" s="61">
        <v>97</v>
      </c>
      <c r="J962" s="61">
        <v>4.7</v>
      </c>
      <c r="K962" s="61">
        <v>8</v>
      </c>
      <c r="L962" s="69">
        <f t="shared" si="195"/>
        <v>4.5590000000000002</v>
      </c>
      <c r="M962" s="69">
        <f t="shared" si="196"/>
        <v>7.76</v>
      </c>
      <c r="N962" s="56">
        <f>INDEX(Rate_Chart!$A$1:$AK$127,MATCH(Data!J962,Rate_Chart!$A$1:$A$127,0),MATCH(Data!K962,Rate_Chart!$A$1:$AK$1,0))</f>
        <v>41.840112000000005</v>
      </c>
      <c r="O962" s="57">
        <f t="shared" si="197"/>
        <v>4058.4908640000003</v>
      </c>
      <c r="P962" s="58">
        <f t="shared" si="198"/>
        <v>417.01108305647847</v>
      </c>
      <c r="Q962" s="58">
        <f t="shared" si="199"/>
        <v>278.007388704319</v>
      </c>
      <c r="R962" s="66">
        <f t="shared" si="200"/>
        <v>71.023590120000009</v>
      </c>
      <c r="S962" s="64">
        <f t="shared" si="201"/>
        <v>363.75</v>
      </c>
      <c r="T962" s="66">
        <f t="shared" si="202"/>
        <v>4493.2644541200007</v>
      </c>
      <c r="U962" s="68">
        <f t="shared" si="203"/>
        <v>46.32231396000001</v>
      </c>
      <c r="V962" s="68">
        <f t="shared" si="204"/>
        <v>461.68419229235889</v>
      </c>
      <c r="W962" s="68">
        <f t="shared" si="205"/>
        <v>307.78946152823926</v>
      </c>
    </row>
    <row r="963" spans="1:23" x14ac:dyDescent="0.25">
      <c r="A963" t="s">
        <v>889</v>
      </c>
      <c r="B963" s="37" t="s">
        <v>396</v>
      </c>
      <c r="C963" t="s">
        <v>591</v>
      </c>
      <c r="D963" t="s">
        <v>594</v>
      </c>
      <c r="E963" t="s">
        <v>375</v>
      </c>
      <c r="F963" s="62" t="str">
        <f t="shared" si="194"/>
        <v>64547</v>
      </c>
      <c r="G963" s="1">
        <v>10620029</v>
      </c>
      <c r="H963" s="1" t="s">
        <v>387</v>
      </c>
      <c r="I963" s="61">
        <v>98</v>
      </c>
      <c r="J963" s="61">
        <v>6</v>
      </c>
      <c r="K963" s="61">
        <v>8.4</v>
      </c>
      <c r="L963" s="69">
        <f t="shared" si="195"/>
        <v>5.88</v>
      </c>
      <c r="M963" s="69">
        <f t="shared" si="196"/>
        <v>8.2320000000000011</v>
      </c>
      <c r="N963" s="56">
        <f>INDEX(Rate_Chart!$A$1:$AK$127,MATCH(Data!J963,Rate_Chart!$A$1:$A$127,0),MATCH(Data!K963,Rate_Chart!$A$1:$AK$1,0))</f>
        <v>48.597000000000001</v>
      </c>
      <c r="O963" s="57">
        <f t="shared" si="197"/>
        <v>4762.5060000000003</v>
      </c>
      <c r="P963" s="58">
        <f t="shared" si="198"/>
        <v>418.93965517241384</v>
      </c>
      <c r="Q963" s="58">
        <f t="shared" si="199"/>
        <v>279.29310344827587</v>
      </c>
      <c r="R963" s="66">
        <f t="shared" si="200"/>
        <v>83.343855000000019</v>
      </c>
      <c r="S963" s="64">
        <f t="shared" si="201"/>
        <v>367.5</v>
      </c>
      <c r="T963" s="66">
        <f t="shared" si="202"/>
        <v>5213.3498550000004</v>
      </c>
      <c r="U963" s="68">
        <f t="shared" si="203"/>
        <v>53.197447500000003</v>
      </c>
      <c r="V963" s="68">
        <f t="shared" si="204"/>
        <v>458.59868534482763</v>
      </c>
      <c r="W963" s="68">
        <f t="shared" si="205"/>
        <v>305.73245689655175</v>
      </c>
    </row>
    <row r="964" spans="1:23" x14ac:dyDescent="0.25">
      <c r="A964" t="s">
        <v>889</v>
      </c>
      <c r="B964" s="37" t="s">
        <v>396</v>
      </c>
      <c r="C964" t="s">
        <v>591</v>
      </c>
      <c r="D964" t="s">
        <v>594</v>
      </c>
      <c r="E964" t="s">
        <v>375</v>
      </c>
      <c r="F964" s="62" t="str">
        <f t="shared" si="194"/>
        <v>64547</v>
      </c>
      <c r="G964" s="1">
        <v>10620029</v>
      </c>
      <c r="H964" s="1" t="s">
        <v>388</v>
      </c>
      <c r="I964" s="61">
        <v>20</v>
      </c>
      <c r="J964" s="61">
        <v>3</v>
      </c>
      <c r="K964" s="61">
        <v>8</v>
      </c>
      <c r="L964" s="69">
        <f t="shared" si="195"/>
        <v>0.6</v>
      </c>
      <c r="M964" s="69">
        <f t="shared" si="196"/>
        <v>1.6</v>
      </c>
      <c r="N964" s="56">
        <f>INDEX(Rate_Chart!$A$1:$AK$127,MATCH(Data!J964,Rate_Chart!$A$1:$A$127,0),MATCH(Data!K964,Rate_Chart!$A$1:$AK$1,0))</f>
        <v>34.751112000000006</v>
      </c>
      <c r="O964" s="57">
        <f t="shared" si="197"/>
        <v>695.02224000000012</v>
      </c>
      <c r="P964" s="58">
        <f t="shared" si="198"/>
        <v>417.01334400000002</v>
      </c>
      <c r="Q964" s="58">
        <f t="shared" si="199"/>
        <v>278.00889599999999</v>
      </c>
      <c r="R964" s="66">
        <f t="shared" si="200"/>
        <v>12.162889200000004</v>
      </c>
      <c r="S964" s="64">
        <f t="shared" si="201"/>
        <v>75</v>
      </c>
      <c r="T964" s="66">
        <f t="shared" si="202"/>
        <v>782.18512920000012</v>
      </c>
      <c r="U964" s="68">
        <f t="shared" si="203"/>
        <v>39.109256460000005</v>
      </c>
      <c r="V964" s="68">
        <f t="shared" si="204"/>
        <v>469.31107752000003</v>
      </c>
      <c r="W964" s="68">
        <f t="shared" si="205"/>
        <v>312.87405168000004</v>
      </c>
    </row>
    <row r="965" spans="1:23" x14ac:dyDescent="0.25">
      <c r="A965" t="s">
        <v>889</v>
      </c>
      <c r="B965" s="37" t="s">
        <v>397</v>
      </c>
      <c r="C965" t="s">
        <v>591</v>
      </c>
      <c r="D965" t="s">
        <v>594</v>
      </c>
      <c r="E965" t="s">
        <v>375</v>
      </c>
      <c r="F965" s="62" t="str">
        <f t="shared" ref="F965:F1028" si="206">MID(E965,2,5)</f>
        <v>64547</v>
      </c>
      <c r="G965" s="1">
        <v>10620029</v>
      </c>
      <c r="H965" s="1" t="s">
        <v>388</v>
      </c>
      <c r="I965" s="61">
        <v>100</v>
      </c>
      <c r="J965" s="61">
        <v>4.2</v>
      </c>
      <c r="K965" s="61">
        <v>8.1</v>
      </c>
      <c r="L965" s="69">
        <f t="shared" si="195"/>
        <v>4.2</v>
      </c>
      <c r="M965" s="69">
        <f t="shared" si="196"/>
        <v>8.1</v>
      </c>
      <c r="N965" s="56">
        <f>INDEX(Rate_Chart!$A$1:$AK$127,MATCH(Data!J965,Rate_Chart!$A$1:$A$127,0),MATCH(Data!K965,Rate_Chart!$A$1:$AK$1,0))</f>
        <v>40.033125900000002</v>
      </c>
      <c r="O965" s="57">
        <f t="shared" si="197"/>
        <v>4003.31259</v>
      </c>
      <c r="P965" s="58">
        <f t="shared" si="198"/>
        <v>417.01172812499999</v>
      </c>
      <c r="Q965" s="58">
        <f t="shared" si="199"/>
        <v>278.00781875000001</v>
      </c>
      <c r="R965" s="66">
        <f t="shared" si="200"/>
        <v>70.057970325000014</v>
      </c>
      <c r="S965" s="64">
        <f t="shared" si="201"/>
        <v>375</v>
      </c>
      <c r="T965" s="66">
        <f t="shared" si="202"/>
        <v>4448.370560325</v>
      </c>
      <c r="U965" s="68">
        <f t="shared" si="203"/>
        <v>44.483705603250002</v>
      </c>
      <c r="V965" s="68">
        <f t="shared" si="204"/>
        <v>463.37193336718752</v>
      </c>
      <c r="W965" s="68">
        <f t="shared" si="205"/>
        <v>308.9146222447917</v>
      </c>
    </row>
    <row r="966" spans="1:23" x14ac:dyDescent="0.25">
      <c r="A966" t="s">
        <v>890</v>
      </c>
      <c r="B966" s="37" t="s">
        <v>396</v>
      </c>
      <c r="C966" t="s">
        <v>591</v>
      </c>
      <c r="D966" t="s">
        <v>594</v>
      </c>
      <c r="E966" t="s">
        <v>375</v>
      </c>
      <c r="F966" s="62" t="str">
        <f t="shared" si="206"/>
        <v>64547</v>
      </c>
      <c r="G966" s="1">
        <v>10620029</v>
      </c>
      <c r="H966" s="1" t="s">
        <v>387</v>
      </c>
      <c r="I966" s="61">
        <v>99</v>
      </c>
      <c r="J966" s="61">
        <v>5.8</v>
      </c>
      <c r="K966" s="61">
        <v>8.4</v>
      </c>
      <c r="L966" s="69">
        <f t="shared" si="195"/>
        <v>5.7419999999999991</v>
      </c>
      <c r="M966" s="69">
        <f t="shared" si="196"/>
        <v>8.3160000000000007</v>
      </c>
      <c r="N966" s="56">
        <f>INDEX(Rate_Chart!$A$1:$AK$127,MATCH(Data!J966,Rate_Chart!$A$1:$A$127,0),MATCH(Data!K966,Rate_Chart!$A$1:$AK$1,0))</f>
        <v>46.9771</v>
      </c>
      <c r="O966" s="57">
        <f t="shared" si="197"/>
        <v>4650.7329</v>
      </c>
      <c r="P966" s="58">
        <f t="shared" si="198"/>
        <v>412.07982456140354</v>
      </c>
      <c r="Q966" s="58">
        <f t="shared" si="199"/>
        <v>274.71988304093571</v>
      </c>
      <c r="R966" s="66">
        <f t="shared" si="200"/>
        <v>81.387825750000005</v>
      </c>
      <c r="S966" s="64">
        <f t="shared" si="201"/>
        <v>371.25</v>
      </c>
      <c r="T966" s="66">
        <f t="shared" si="202"/>
        <v>5103.37072575</v>
      </c>
      <c r="U966" s="68">
        <f t="shared" si="203"/>
        <v>51.549199250000001</v>
      </c>
      <c r="V966" s="68">
        <f t="shared" si="204"/>
        <v>452.18595833333336</v>
      </c>
      <c r="W966" s="68">
        <f t="shared" si="205"/>
        <v>301.45730555555559</v>
      </c>
    </row>
    <row r="967" spans="1:23" x14ac:dyDescent="0.25">
      <c r="A967" t="s">
        <v>890</v>
      </c>
      <c r="B967" s="37" t="s">
        <v>396</v>
      </c>
      <c r="C967" t="s">
        <v>591</v>
      </c>
      <c r="D967" t="s">
        <v>594</v>
      </c>
      <c r="E967" t="s">
        <v>375</v>
      </c>
      <c r="F967" s="62" t="str">
        <f t="shared" si="206"/>
        <v>64547</v>
      </c>
      <c r="G967" s="1">
        <v>10620029</v>
      </c>
      <c r="H967" s="1" t="s">
        <v>388</v>
      </c>
      <c r="I967" s="61">
        <v>19</v>
      </c>
      <c r="J967" s="61">
        <v>3</v>
      </c>
      <c r="K967" s="61">
        <v>8</v>
      </c>
      <c r="L967" s="69">
        <f t="shared" si="195"/>
        <v>0.56999999999999995</v>
      </c>
      <c r="M967" s="69">
        <f t="shared" si="196"/>
        <v>1.52</v>
      </c>
      <c r="N967" s="56">
        <f>INDEX(Rate_Chart!$A$1:$AK$127,MATCH(Data!J967,Rate_Chart!$A$1:$A$127,0),MATCH(Data!K967,Rate_Chart!$A$1:$AK$1,0))</f>
        <v>34.751112000000006</v>
      </c>
      <c r="O967" s="57">
        <f t="shared" si="197"/>
        <v>660.27112800000009</v>
      </c>
      <c r="P967" s="58">
        <f t="shared" si="198"/>
        <v>417.01334400000002</v>
      </c>
      <c r="Q967" s="58">
        <f t="shared" si="199"/>
        <v>278.00889599999999</v>
      </c>
      <c r="R967" s="66">
        <f t="shared" si="200"/>
        <v>11.554744740000002</v>
      </c>
      <c r="S967" s="64">
        <f t="shared" si="201"/>
        <v>71.25</v>
      </c>
      <c r="T967" s="66">
        <f t="shared" si="202"/>
        <v>743.07587274000014</v>
      </c>
      <c r="U967" s="68">
        <f t="shared" si="203"/>
        <v>39.109256460000005</v>
      </c>
      <c r="V967" s="68">
        <f t="shared" si="204"/>
        <v>469.31107752000003</v>
      </c>
      <c r="W967" s="68">
        <f t="shared" si="205"/>
        <v>312.87405168000004</v>
      </c>
    </row>
    <row r="968" spans="1:23" x14ac:dyDescent="0.25">
      <c r="A968" t="s">
        <v>890</v>
      </c>
      <c r="B968" s="37" t="s">
        <v>397</v>
      </c>
      <c r="C968" t="s">
        <v>591</v>
      </c>
      <c r="D968" t="s">
        <v>594</v>
      </c>
      <c r="E968" t="s">
        <v>375</v>
      </c>
      <c r="F968" s="62" t="str">
        <f t="shared" si="206"/>
        <v>64547</v>
      </c>
      <c r="G968" s="1">
        <v>10620029</v>
      </c>
      <c r="H968" s="1" t="s">
        <v>388</v>
      </c>
      <c r="I968" s="61">
        <v>105</v>
      </c>
      <c r="J968" s="61">
        <v>3.7</v>
      </c>
      <c r="K968" s="61">
        <v>8</v>
      </c>
      <c r="L968" s="69">
        <f t="shared" si="195"/>
        <v>3.8849999999999998</v>
      </c>
      <c r="M968" s="69">
        <f t="shared" si="196"/>
        <v>8.4</v>
      </c>
      <c r="N968" s="56">
        <f>INDEX(Rate_Chart!$A$1:$AK$127,MATCH(Data!J968,Rate_Chart!$A$1:$A$127,0),MATCH(Data!K968,Rate_Chart!$A$1:$AK$1,0))</f>
        <v>37.670112000000003</v>
      </c>
      <c r="O968" s="57">
        <f t="shared" si="197"/>
        <v>3955.3617600000002</v>
      </c>
      <c r="P968" s="58">
        <f t="shared" si="198"/>
        <v>417.0123099630996</v>
      </c>
      <c r="Q968" s="58">
        <f t="shared" si="199"/>
        <v>278.0082066420664</v>
      </c>
      <c r="R968" s="66">
        <f t="shared" si="200"/>
        <v>69.218830800000006</v>
      </c>
      <c r="S968" s="64">
        <f t="shared" si="201"/>
        <v>393.75</v>
      </c>
      <c r="T968" s="66">
        <f t="shared" si="202"/>
        <v>4418.3305908000002</v>
      </c>
      <c r="U968" s="68">
        <f t="shared" si="203"/>
        <v>42.079338960000001</v>
      </c>
      <c r="V968" s="68">
        <f t="shared" si="204"/>
        <v>465.82294051660512</v>
      </c>
      <c r="W968" s="68">
        <f t="shared" si="205"/>
        <v>310.5486270110701</v>
      </c>
    </row>
    <row r="969" spans="1:23" x14ac:dyDescent="0.25">
      <c r="A969" t="s">
        <v>891</v>
      </c>
      <c r="B969" s="37" t="s">
        <v>396</v>
      </c>
      <c r="C969" t="s">
        <v>591</v>
      </c>
      <c r="D969" t="s">
        <v>594</v>
      </c>
      <c r="E969" t="s">
        <v>375</v>
      </c>
      <c r="F969" s="62" t="str">
        <f t="shared" si="206"/>
        <v>64547</v>
      </c>
      <c r="G969" s="1">
        <v>10620029</v>
      </c>
      <c r="H969" s="1" t="s">
        <v>387</v>
      </c>
      <c r="I969" s="61">
        <v>56</v>
      </c>
      <c r="J969" s="61">
        <v>6.1</v>
      </c>
      <c r="K969" s="61">
        <v>8.6</v>
      </c>
      <c r="L969" s="69">
        <f t="shared" si="195"/>
        <v>3.4159999999999995</v>
      </c>
      <c r="M969" s="69">
        <f t="shared" si="196"/>
        <v>4.8159999999999998</v>
      </c>
      <c r="N969" s="56">
        <f>INDEX(Rate_Chart!$A$1:$AK$127,MATCH(Data!J969,Rate_Chart!$A$1:$A$127,0),MATCH(Data!K969,Rate_Chart!$A$1:$AK$1,0))</f>
        <v>49.9163</v>
      </c>
      <c r="O969" s="57">
        <f t="shared" si="197"/>
        <v>2795.3128000000002</v>
      </c>
      <c r="P969" s="58">
        <f t="shared" si="198"/>
        <v>421.82788732394374</v>
      </c>
      <c r="Q969" s="58">
        <f t="shared" si="199"/>
        <v>281.21859154929581</v>
      </c>
      <c r="R969" s="66">
        <f t="shared" si="200"/>
        <v>48.917974000000008</v>
      </c>
      <c r="S969" s="64">
        <f t="shared" si="201"/>
        <v>210</v>
      </c>
      <c r="T969" s="66">
        <f t="shared" si="202"/>
        <v>3054.2307740000001</v>
      </c>
      <c r="U969" s="68">
        <f t="shared" si="203"/>
        <v>54.539835250000003</v>
      </c>
      <c r="V969" s="68">
        <f t="shared" si="204"/>
        <v>460.90001619718316</v>
      </c>
      <c r="W969" s="68">
        <f t="shared" si="205"/>
        <v>307.26667746478876</v>
      </c>
    </row>
    <row r="970" spans="1:23" x14ac:dyDescent="0.25">
      <c r="A970" t="s">
        <v>891</v>
      </c>
      <c r="B970" s="37" t="s">
        <v>396</v>
      </c>
      <c r="C970" t="s">
        <v>591</v>
      </c>
      <c r="D970" t="s">
        <v>594</v>
      </c>
      <c r="E970" t="s">
        <v>375</v>
      </c>
      <c r="F970" s="62" t="str">
        <f t="shared" si="206"/>
        <v>64547</v>
      </c>
      <c r="G970" s="1">
        <v>10620029</v>
      </c>
      <c r="H970" s="1" t="s">
        <v>388</v>
      </c>
      <c r="I970" s="61">
        <v>24</v>
      </c>
      <c r="J970" s="61">
        <v>3</v>
      </c>
      <c r="K970" s="61">
        <v>8</v>
      </c>
      <c r="L970" s="69">
        <f t="shared" si="195"/>
        <v>0.72</v>
      </c>
      <c r="M970" s="69">
        <f t="shared" si="196"/>
        <v>1.92</v>
      </c>
      <c r="N970" s="56">
        <f>INDEX(Rate_Chart!$A$1:$AK$127,MATCH(Data!J970,Rate_Chart!$A$1:$A$127,0),MATCH(Data!K970,Rate_Chart!$A$1:$AK$1,0))</f>
        <v>34.751112000000006</v>
      </c>
      <c r="O970" s="57">
        <f t="shared" si="197"/>
        <v>834.02668800000015</v>
      </c>
      <c r="P970" s="58">
        <f t="shared" si="198"/>
        <v>417.01334400000002</v>
      </c>
      <c r="Q970" s="58">
        <f t="shared" si="199"/>
        <v>278.00889599999999</v>
      </c>
      <c r="R970" s="66">
        <f t="shared" si="200"/>
        <v>14.595467040000004</v>
      </c>
      <c r="S970" s="64">
        <f t="shared" si="201"/>
        <v>90</v>
      </c>
      <c r="T970" s="66">
        <f t="shared" si="202"/>
        <v>938.62215504000017</v>
      </c>
      <c r="U970" s="68">
        <f t="shared" si="203"/>
        <v>39.109256460000005</v>
      </c>
      <c r="V970" s="68">
        <f t="shared" si="204"/>
        <v>469.31107752000003</v>
      </c>
      <c r="W970" s="68">
        <f t="shared" si="205"/>
        <v>312.87405168000004</v>
      </c>
    </row>
    <row r="971" spans="1:23" x14ac:dyDescent="0.25">
      <c r="A971" t="s">
        <v>891</v>
      </c>
      <c r="B971" s="37" t="s">
        <v>397</v>
      </c>
      <c r="C971" t="s">
        <v>591</v>
      </c>
      <c r="D971" t="s">
        <v>594</v>
      </c>
      <c r="E971" t="s">
        <v>375</v>
      </c>
      <c r="F971" s="62" t="str">
        <f t="shared" si="206"/>
        <v>64547</v>
      </c>
      <c r="G971" s="1">
        <v>10620029</v>
      </c>
      <c r="H971" s="1" t="s">
        <v>388</v>
      </c>
      <c r="I971" s="61">
        <v>100</v>
      </c>
      <c r="J971" s="61">
        <v>3.9</v>
      </c>
      <c r="K971" s="61">
        <v>8.3000000000000007</v>
      </c>
      <c r="L971" s="69">
        <f t="shared" si="195"/>
        <v>3.9</v>
      </c>
      <c r="M971" s="69">
        <f t="shared" si="196"/>
        <v>8.3000000000000007</v>
      </c>
      <c r="N971" s="56">
        <f>INDEX(Rate_Chart!$A$1:$AK$127,MATCH(Data!J971,Rate_Chart!$A$1:$A$127,0),MATCH(Data!K971,Rate_Chart!$A$1:$AK$1,0))</f>
        <v>39.338153700000007</v>
      </c>
      <c r="O971" s="57">
        <f t="shared" si="197"/>
        <v>3933.8153700000007</v>
      </c>
      <c r="P971" s="58">
        <f t="shared" si="198"/>
        <v>417.01223003533573</v>
      </c>
      <c r="Q971" s="58">
        <f t="shared" si="199"/>
        <v>278.00815335689049</v>
      </c>
      <c r="R971" s="66">
        <f t="shared" si="200"/>
        <v>68.841768975000022</v>
      </c>
      <c r="S971" s="64">
        <f t="shared" si="201"/>
        <v>375</v>
      </c>
      <c r="T971" s="66">
        <f t="shared" si="202"/>
        <v>4377.6571389750006</v>
      </c>
      <c r="U971" s="68">
        <f t="shared" si="203"/>
        <v>43.776571389750004</v>
      </c>
      <c r="V971" s="68">
        <f t="shared" si="204"/>
        <v>464.06259423763254</v>
      </c>
      <c r="W971" s="68">
        <f t="shared" si="205"/>
        <v>309.37506282508838</v>
      </c>
    </row>
    <row r="972" spans="1:23" x14ac:dyDescent="0.25">
      <c r="A972" t="s">
        <v>892</v>
      </c>
      <c r="B972" s="37" t="s">
        <v>396</v>
      </c>
      <c r="C972" t="s">
        <v>591</v>
      </c>
      <c r="D972" t="s">
        <v>594</v>
      </c>
      <c r="E972" t="s">
        <v>375</v>
      </c>
      <c r="F972" s="62" t="str">
        <f t="shared" si="206"/>
        <v>64547</v>
      </c>
      <c r="G972" s="1">
        <v>10620029</v>
      </c>
      <c r="H972" s="1" t="s">
        <v>387</v>
      </c>
      <c r="I972" s="61">
        <v>19</v>
      </c>
      <c r="J972" s="61">
        <v>6.8</v>
      </c>
      <c r="K972" s="61">
        <v>8.8000000000000007</v>
      </c>
      <c r="L972" s="69">
        <f t="shared" si="195"/>
        <v>1.2919999999999998</v>
      </c>
      <c r="M972" s="69">
        <f t="shared" si="196"/>
        <v>1.6720000000000002</v>
      </c>
      <c r="N972" s="56">
        <f>INDEX(Rate_Chart!$A$1:$AK$127,MATCH(Data!J972,Rate_Chart!$A$1:$A$127,0),MATCH(Data!K972,Rate_Chart!$A$1:$AK$1,0))</f>
        <v>56.212200000000003</v>
      </c>
      <c r="O972" s="57">
        <f t="shared" si="197"/>
        <v>1068.0318</v>
      </c>
      <c r="P972" s="58">
        <f t="shared" si="198"/>
        <v>443.78052631578947</v>
      </c>
      <c r="Q972" s="58">
        <f t="shared" si="199"/>
        <v>295.8536842105263</v>
      </c>
      <c r="R972" s="66">
        <f t="shared" si="200"/>
        <v>18.690556500000003</v>
      </c>
      <c r="S972" s="64">
        <f t="shared" si="201"/>
        <v>71.25</v>
      </c>
      <c r="T972" s="66">
        <f t="shared" si="202"/>
        <v>1157.9723564999999</v>
      </c>
      <c r="U972" s="68">
        <f t="shared" si="203"/>
        <v>60.945913499999996</v>
      </c>
      <c r="V972" s="68">
        <f t="shared" si="204"/>
        <v>481.15194868421048</v>
      </c>
      <c r="W972" s="68">
        <f t="shared" si="205"/>
        <v>320.76796578947364</v>
      </c>
    </row>
    <row r="973" spans="1:23" x14ac:dyDescent="0.25">
      <c r="A973" t="s">
        <v>892</v>
      </c>
      <c r="B973" s="37" t="s">
        <v>396</v>
      </c>
      <c r="C973" t="s">
        <v>591</v>
      </c>
      <c r="D973" t="s">
        <v>594</v>
      </c>
      <c r="E973" t="s">
        <v>375</v>
      </c>
      <c r="F973" s="62" t="str">
        <f t="shared" si="206"/>
        <v>64547</v>
      </c>
      <c r="G973" s="1">
        <v>10620029</v>
      </c>
      <c r="H973" s="1" t="s">
        <v>388</v>
      </c>
      <c r="I973" s="61">
        <v>24</v>
      </c>
      <c r="J973" s="61">
        <v>3</v>
      </c>
      <c r="K973" s="61">
        <v>8</v>
      </c>
      <c r="L973" s="69">
        <f t="shared" si="195"/>
        <v>0.72</v>
      </c>
      <c r="M973" s="69">
        <f t="shared" si="196"/>
        <v>1.92</v>
      </c>
      <c r="N973" s="56">
        <f>INDEX(Rate_Chart!$A$1:$AK$127,MATCH(Data!J973,Rate_Chart!$A$1:$A$127,0),MATCH(Data!K973,Rate_Chart!$A$1:$AK$1,0))</f>
        <v>34.751112000000006</v>
      </c>
      <c r="O973" s="57">
        <f t="shared" si="197"/>
        <v>834.02668800000015</v>
      </c>
      <c r="P973" s="58">
        <f t="shared" si="198"/>
        <v>417.01334400000002</v>
      </c>
      <c r="Q973" s="58">
        <f t="shared" si="199"/>
        <v>278.00889599999999</v>
      </c>
      <c r="R973" s="66">
        <f t="shared" si="200"/>
        <v>14.595467040000004</v>
      </c>
      <c r="S973" s="64">
        <f t="shared" si="201"/>
        <v>90</v>
      </c>
      <c r="T973" s="66">
        <f t="shared" si="202"/>
        <v>938.62215504000017</v>
      </c>
      <c r="U973" s="68">
        <f t="shared" si="203"/>
        <v>39.109256460000005</v>
      </c>
      <c r="V973" s="68">
        <f t="shared" si="204"/>
        <v>469.31107752000003</v>
      </c>
      <c r="W973" s="68">
        <f t="shared" si="205"/>
        <v>312.87405168000004</v>
      </c>
    </row>
    <row r="974" spans="1:23" x14ac:dyDescent="0.25">
      <c r="A974" t="s">
        <v>892</v>
      </c>
      <c r="B974" s="37" t="s">
        <v>397</v>
      </c>
      <c r="C974" t="s">
        <v>591</v>
      </c>
      <c r="D974" t="s">
        <v>594</v>
      </c>
      <c r="E974" t="s">
        <v>375</v>
      </c>
      <c r="F974" s="62" t="str">
        <f t="shared" si="206"/>
        <v>64547</v>
      </c>
      <c r="G974" s="1">
        <v>10620029</v>
      </c>
      <c r="H974" s="1" t="s">
        <v>388</v>
      </c>
      <c r="I974" s="61">
        <v>103</v>
      </c>
      <c r="J974" s="61">
        <v>4.3</v>
      </c>
      <c r="K974" s="61">
        <v>8.1</v>
      </c>
      <c r="L974" s="69">
        <f t="shared" si="195"/>
        <v>4.4289999999999994</v>
      </c>
      <c r="M974" s="69">
        <f t="shared" si="196"/>
        <v>8.343</v>
      </c>
      <c r="N974" s="56">
        <f>INDEX(Rate_Chart!$A$1:$AK$127,MATCH(Data!J974,Rate_Chart!$A$1:$A$127,0),MATCH(Data!K974,Rate_Chart!$A$1:$AK$1,0))</f>
        <v>40.450125900000003</v>
      </c>
      <c r="O974" s="57">
        <f t="shared" si="197"/>
        <v>4166.3629676999999</v>
      </c>
      <c r="P974" s="58">
        <f t="shared" si="198"/>
        <v>417.01160721649489</v>
      </c>
      <c r="Q974" s="58">
        <f t="shared" si="199"/>
        <v>278.00773814432995</v>
      </c>
      <c r="R974" s="66">
        <f t="shared" si="200"/>
        <v>72.911351934750002</v>
      </c>
      <c r="S974" s="64">
        <f t="shared" si="201"/>
        <v>386.25</v>
      </c>
      <c r="T974" s="66">
        <f t="shared" si="202"/>
        <v>4625.5243196347501</v>
      </c>
      <c r="U974" s="68">
        <f t="shared" si="203"/>
        <v>44.908003103250003</v>
      </c>
      <c r="V974" s="68">
        <f t="shared" si="204"/>
        <v>462.96910415721652</v>
      </c>
      <c r="W974" s="68">
        <f t="shared" si="205"/>
        <v>308.64606943814437</v>
      </c>
    </row>
    <row r="975" spans="1:23" x14ac:dyDescent="0.25">
      <c r="A975" t="s">
        <v>893</v>
      </c>
      <c r="B975" s="37" t="s">
        <v>396</v>
      </c>
      <c r="C975" t="s">
        <v>591</v>
      </c>
      <c r="D975" t="s">
        <v>594</v>
      </c>
      <c r="E975" t="s">
        <v>375</v>
      </c>
      <c r="F975" s="62" t="str">
        <f t="shared" si="206"/>
        <v>64547</v>
      </c>
      <c r="G975" s="1">
        <v>10620029</v>
      </c>
      <c r="H975" s="1" t="s">
        <v>387</v>
      </c>
      <c r="I975" s="61">
        <v>100</v>
      </c>
      <c r="J975" s="61">
        <v>6</v>
      </c>
      <c r="K975" s="61">
        <v>8.4</v>
      </c>
      <c r="L975" s="69">
        <f t="shared" si="195"/>
        <v>6</v>
      </c>
      <c r="M975" s="69">
        <f t="shared" si="196"/>
        <v>8.4</v>
      </c>
      <c r="N975" s="56">
        <f>INDEX(Rate_Chart!$A$1:$AK$127,MATCH(Data!J975,Rate_Chart!$A$1:$A$127,0),MATCH(Data!K975,Rate_Chart!$A$1:$AK$1,0))</f>
        <v>48.597000000000001</v>
      </c>
      <c r="O975" s="57">
        <f t="shared" si="197"/>
        <v>4859.7</v>
      </c>
      <c r="P975" s="58">
        <f t="shared" si="198"/>
        <v>418.93965517241384</v>
      </c>
      <c r="Q975" s="58">
        <f t="shared" si="199"/>
        <v>279.29310344827587</v>
      </c>
      <c r="R975" s="66">
        <f t="shared" si="200"/>
        <v>85.044750000000008</v>
      </c>
      <c r="S975" s="64">
        <f t="shared" si="201"/>
        <v>375</v>
      </c>
      <c r="T975" s="66">
        <f t="shared" si="202"/>
        <v>5319.7447499999998</v>
      </c>
      <c r="U975" s="68">
        <f t="shared" si="203"/>
        <v>53.197447499999996</v>
      </c>
      <c r="V975" s="68">
        <f t="shared" si="204"/>
        <v>458.59868534482757</v>
      </c>
      <c r="W975" s="68">
        <f t="shared" si="205"/>
        <v>305.7324568965517</v>
      </c>
    </row>
    <row r="976" spans="1:23" x14ac:dyDescent="0.25">
      <c r="A976" t="s">
        <v>893</v>
      </c>
      <c r="B976" s="37" t="s">
        <v>396</v>
      </c>
      <c r="C976" t="s">
        <v>591</v>
      </c>
      <c r="D976" t="s">
        <v>594</v>
      </c>
      <c r="E976" t="s">
        <v>375</v>
      </c>
      <c r="F976" s="62" t="str">
        <f t="shared" si="206"/>
        <v>64547</v>
      </c>
      <c r="G976" s="1">
        <v>10620029</v>
      </c>
      <c r="H976" s="1" t="s">
        <v>388</v>
      </c>
      <c r="I976" s="61">
        <v>19</v>
      </c>
      <c r="J976" s="61">
        <v>3</v>
      </c>
      <c r="K976" s="61">
        <v>8</v>
      </c>
      <c r="L976" s="69">
        <f t="shared" si="195"/>
        <v>0.56999999999999995</v>
      </c>
      <c r="M976" s="69">
        <f t="shared" si="196"/>
        <v>1.52</v>
      </c>
      <c r="N976" s="56">
        <f>INDEX(Rate_Chart!$A$1:$AK$127,MATCH(Data!J976,Rate_Chart!$A$1:$A$127,0),MATCH(Data!K976,Rate_Chart!$A$1:$AK$1,0))</f>
        <v>34.751112000000006</v>
      </c>
      <c r="O976" s="57">
        <f t="shared" si="197"/>
        <v>660.27112800000009</v>
      </c>
      <c r="P976" s="58">
        <f t="shared" si="198"/>
        <v>417.01334400000002</v>
      </c>
      <c r="Q976" s="58">
        <f t="shared" si="199"/>
        <v>278.00889599999999</v>
      </c>
      <c r="R976" s="66">
        <f t="shared" si="200"/>
        <v>11.554744740000002</v>
      </c>
      <c r="S976" s="64">
        <f t="shared" si="201"/>
        <v>71.25</v>
      </c>
      <c r="T976" s="66">
        <f t="shared" si="202"/>
        <v>743.07587274000014</v>
      </c>
      <c r="U976" s="68">
        <f t="shared" si="203"/>
        <v>39.109256460000005</v>
      </c>
      <c r="V976" s="68">
        <f t="shared" si="204"/>
        <v>469.31107752000003</v>
      </c>
      <c r="W976" s="68">
        <f t="shared" si="205"/>
        <v>312.87405168000004</v>
      </c>
    </row>
    <row r="977" spans="1:23" x14ac:dyDescent="0.25">
      <c r="A977" t="s">
        <v>893</v>
      </c>
      <c r="B977" s="37" t="s">
        <v>397</v>
      </c>
      <c r="C977" t="s">
        <v>591</v>
      </c>
      <c r="D977" t="s">
        <v>594</v>
      </c>
      <c r="E977" t="s">
        <v>375</v>
      </c>
      <c r="F977" s="62" t="str">
        <f t="shared" si="206"/>
        <v>64547</v>
      </c>
      <c r="G977" s="1">
        <v>10620029</v>
      </c>
      <c r="H977" s="1" t="s">
        <v>387</v>
      </c>
      <c r="I977" s="61">
        <v>79</v>
      </c>
      <c r="J977" s="61">
        <v>6</v>
      </c>
      <c r="K977" s="61">
        <v>8.8000000000000007</v>
      </c>
      <c r="L977" s="69">
        <f t="shared" si="195"/>
        <v>4.74</v>
      </c>
      <c r="M977" s="69">
        <f t="shared" si="196"/>
        <v>6.9520000000000008</v>
      </c>
      <c r="N977" s="56">
        <f>INDEX(Rate_Chart!$A$1:$AK$127,MATCH(Data!J977,Rate_Chart!$A$1:$A$127,0),MATCH(Data!K977,Rate_Chart!$A$1:$AK$1,0))</f>
        <v>49.599000000000004</v>
      </c>
      <c r="O977" s="57">
        <f t="shared" si="197"/>
        <v>3918.3210000000004</v>
      </c>
      <c r="P977" s="58">
        <f t="shared" si="198"/>
        <v>417.96910112359552</v>
      </c>
      <c r="Q977" s="58">
        <f t="shared" si="199"/>
        <v>278.64606741573033</v>
      </c>
      <c r="R977" s="66">
        <f t="shared" si="200"/>
        <v>68.570617500000012</v>
      </c>
      <c r="S977" s="64">
        <f t="shared" si="201"/>
        <v>296.25</v>
      </c>
      <c r="T977" s="66">
        <f t="shared" si="202"/>
        <v>4283.1416175000004</v>
      </c>
      <c r="U977" s="68">
        <f t="shared" si="203"/>
        <v>54.216982500000007</v>
      </c>
      <c r="V977" s="68">
        <f t="shared" si="204"/>
        <v>456.8846839887641</v>
      </c>
      <c r="W977" s="68">
        <f t="shared" si="205"/>
        <v>304.58978932584273</v>
      </c>
    </row>
    <row r="978" spans="1:23" x14ac:dyDescent="0.25">
      <c r="A978" t="s">
        <v>893</v>
      </c>
      <c r="B978" s="37" t="s">
        <v>397</v>
      </c>
      <c r="C978" t="s">
        <v>591</v>
      </c>
      <c r="D978" t="s">
        <v>594</v>
      </c>
      <c r="E978" t="s">
        <v>375</v>
      </c>
      <c r="F978" s="62" t="str">
        <f t="shared" si="206"/>
        <v>64547</v>
      </c>
      <c r="G978" s="1">
        <v>10620029</v>
      </c>
      <c r="H978" s="1" t="s">
        <v>388</v>
      </c>
      <c r="I978" s="61">
        <v>21</v>
      </c>
      <c r="J978" s="61">
        <v>3</v>
      </c>
      <c r="K978" s="61">
        <v>8</v>
      </c>
      <c r="L978" s="69">
        <f t="shared" si="195"/>
        <v>0.63</v>
      </c>
      <c r="M978" s="69">
        <f t="shared" si="196"/>
        <v>1.68</v>
      </c>
      <c r="N978" s="56">
        <f>INDEX(Rate_Chart!$A$1:$AK$127,MATCH(Data!J978,Rate_Chart!$A$1:$A$127,0),MATCH(Data!K978,Rate_Chart!$A$1:$AK$1,0))</f>
        <v>34.751112000000006</v>
      </c>
      <c r="O978" s="57">
        <f t="shared" si="197"/>
        <v>729.77335200000016</v>
      </c>
      <c r="P978" s="58">
        <f t="shared" si="198"/>
        <v>417.01334400000002</v>
      </c>
      <c r="Q978" s="58">
        <f t="shared" si="199"/>
        <v>278.00889599999999</v>
      </c>
      <c r="R978" s="66">
        <f t="shared" si="200"/>
        <v>12.771033660000004</v>
      </c>
      <c r="S978" s="64">
        <f t="shared" si="201"/>
        <v>78.75</v>
      </c>
      <c r="T978" s="66">
        <f t="shared" si="202"/>
        <v>821.29438566000022</v>
      </c>
      <c r="U978" s="68">
        <f t="shared" si="203"/>
        <v>39.109256460000012</v>
      </c>
      <c r="V978" s="68">
        <f t="shared" si="204"/>
        <v>469.31107752000008</v>
      </c>
      <c r="W978" s="68">
        <f t="shared" si="205"/>
        <v>312.87405168000004</v>
      </c>
    </row>
    <row r="979" spans="1:23" x14ac:dyDescent="0.25">
      <c r="A979" t="s">
        <v>894</v>
      </c>
      <c r="B979" s="37" t="s">
        <v>396</v>
      </c>
      <c r="C979" t="s">
        <v>591</v>
      </c>
      <c r="D979" t="s">
        <v>594</v>
      </c>
      <c r="E979" t="s">
        <v>375</v>
      </c>
      <c r="F979" s="62" t="str">
        <f t="shared" si="206"/>
        <v>64547</v>
      </c>
      <c r="G979" s="1">
        <v>10620029</v>
      </c>
      <c r="H979" s="1" t="s">
        <v>387</v>
      </c>
      <c r="I979" s="61">
        <v>103</v>
      </c>
      <c r="J979" s="61">
        <v>5.8</v>
      </c>
      <c r="K979" s="61">
        <v>8.6</v>
      </c>
      <c r="L979" s="69">
        <f t="shared" si="195"/>
        <v>5.9740000000000002</v>
      </c>
      <c r="M979" s="69">
        <f t="shared" si="196"/>
        <v>8.8579999999999988</v>
      </c>
      <c r="N979" s="56">
        <f>INDEX(Rate_Chart!$A$1:$AK$127,MATCH(Data!J979,Rate_Chart!$A$1:$A$127,0),MATCH(Data!K979,Rate_Chart!$A$1:$AK$1,0))</f>
        <v>47.461399999999998</v>
      </c>
      <c r="O979" s="57">
        <f t="shared" si="197"/>
        <v>4888.5241999999998</v>
      </c>
      <c r="P979" s="58">
        <f t="shared" si="198"/>
        <v>411.51502890173413</v>
      </c>
      <c r="Q979" s="58">
        <f t="shared" si="199"/>
        <v>274.34335260115608</v>
      </c>
      <c r="R979" s="66">
        <f t="shared" si="200"/>
        <v>85.549173500000009</v>
      </c>
      <c r="S979" s="64">
        <f t="shared" si="201"/>
        <v>386.25</v>
      </c>
      <c r="T979" s="66">
        <f t="shared" si="202"/>
        <v>5360.3233734999994</v>
      </c>
      <c r="U979" s="68">
        <f t="shared" si="203"/>
        <v>52.041974499999995</v>
      </c>
      <c r="V979" s="68">
        <f t="shared" si="204"/>
        <v>451.23099277456652</v>
      </c>
      <c r="W979" s="68">
        <f t="shared" si="205"/>
        <v>300.82066184971103</v>
      </c>
    </row>
    <row r="980" spans="1:23" x14ac:dyDescent="0.25">
      <c r="A980" t="s">
        <v>894</v>
      </c>
      <c r="B980" s="37" t="s">
        <v>396</v>
      </c>
      <c r="C980" t="s">
        <v>591</v>
      </c>
      <c r="D980" t="s">
        <v>594</v>
      </c>
      <c r="E980" t="s">
        <v>375</v>
      </c>
      <c r="F980" s="62" t="str">
        <f t="shared" si="206"/>
        <v>64547</v>
      </c>
      <c r="G980" s="1">
        <v>10620029</v>
      </c>
      <c r="H980" s="1" t="s">
        <v>388</v>
      </c>
      <c r="I980" s="61">
        <v>35</v>
      </c>
      <c r="J980" s="61">
        <v>3</v>
      </c>
      <c r="K980" s="61">
        <v>8</v>
      </c>
      <c r="L980" s="69">
        <f t="shared" si="195"/>
        <v>1.05</v>
      </c>
      <c r="M980" s="69">
        <f t="shared" si="196"/>
        <v>2.8</v>
      </c>
      <c r="N980" s="56">
        <f>INDEX(Rate_Chart!$A$1:$AK$127,MATCH(Data!J980,Rate_Chart!$A$1:$A$127,0),MATCH(Data!K980,Rate_Chart!$A$1:$AK$1,0))</f>
        <v>34.751112000000006</v>
      </c>
      <c r="O980" s="57">
        <f t="shared" si="197"/>
        <v>1216.2889200000002</v>
      </c>
      <c r="P980" s="58">
        <f t="shared" si="198"/>
        <v>417.01334400000002</v>
      </c>
      <c r="Q980" s="58">
        <f t="shared" si="199"/>
        <v>278.00889599999999</v>
      </c>
      <c r="R980" s="66">
        <f t="shared" si="200"/>
        <v>21.285056100000006</v>
      </c>
      <c r="S980" s="64">
        <f t="shared" si="201"/>
        <v>131.25</v>
      </c>
      <c r="T980" s="66">
        <f t="shared" si="202"/>
        <v>1368.8239761000002</v>
      </c>
      <c r="U980" s="68">
        <f t="shared" si="203"/>
        <v>39.109256460000005</v>
      </c>
      <c r="V980" s="68">
        <f t="shared" si="204"/>
        <v>469.31107752000003</v>
      </c>
      <c r="W980" s="68">
        <f t="shared" si="205"/>
        <v>312.87405168000004</v>
      </c>
    </row>
    <row r="981" spans="1:23" x14ac:dyDescent="0.25">
      <c r="A981" t="s">
        <v>894</v>
      </c>
      <c r="B981" s="37" t="s">
        <v>397</v>
      </c>
      <c r="C981" t="s">
        <v>591</v>
      </c>
      <c r="D981" t="s">
        <v>594</v>
      </c>
      <c r="E981" t="s">
        <v>375</v>
      </c>
      <c r="F981" s="62" t="str">
        <f t="shared" si="206"/>
        <v>64547</v>
      </c>
      <c r="G981" s="1">
        <v>10620029</v>
      </c>
      <c r="H981" s="1" t="s">
        <v>387</v>
      </c>
      <c r="I981" s="61">
        <v>64</v>
      </c>
      <c r="J981" s="61">
        <v>5.6</v>
      </c>
      <c r="K981" s="61">
        <v>8.4</v>
      </c>
      <c r="L981" s="69">
        <f t="shared" si="195"/>
        <v>3.5839999999999996</v>
      </c>
      <c r="M981" s="69">
        <f t="shared" si="196"/>
        <v>5.3760000000000003</v>
      </c>
      <c r="N981" s="56">
        <f>INDEX(Rate_Chart!$A$1:$AK$127,MATCH(Data!J981,Rate_Chart!$A$1:$A$127,0),MATCH(Data!K981,Rate_Chart!$A$1:$AK$1,0))</f>
        <v>45.357199999999999</v>
      </c>
      <c r="O981" s="57">
        <f t="shared" si="197"/>
        <v>2902.8607999999999</v>
      </c>
      <c r="P981" s="58">
        <f t="shared" si="198"/>
        <v>404.97500000000002</v>
      </c>
      <c r="Q981" s="58">
        <f t="shared" si="199"/>
        <v>269.98333333333335</v>
      </c>
      <c r="R981" s="66">
        <f t="shared" si="200"/>
        <v>50.800064000000006</v>
      </c>
      <c r="S981" s="64">
        <f t="shared" si="201"/>
        <v>240</v>
      </c>
      <c r="T981" s="66">
        <f t="shared" si="202"/>
        <v>3193.6608639999999</v>
      </c>
      <c r="U981" s="68">
        <f t="shared" si="203"/>
        <v>49.900950999999999</v>
      </c>
      <c r="V981" s="68">
        <f t="shared" si="204"/>
        <v>445.54420535714291</v>
      </c>
      <c r="W981" s="68">
        <f t="shared" si="205"/>
        <v>297.02947023809526</v>
      </c>
    </row>
    <row r="982" spans="1:23" x14ac:dyDescent="0.25">
      <c r="A982" t="s">
        <v>894</v>
      </c>
      <c r="B982" s="37" t="s">
        <v>397</v>
      </c>
      <c r="C982" t="s">
        <v>591</v>
      </c>
      <c r="D982" t="s">
        <v>594</v>
      </c>
      <c r="E982" t="s">
        <v>375</v>
      </c>
      <c r="F982" s="62" t="str">
        <f t="shared" si="206"/>
        <v>64547</v>
      </c>
      <c r="G982" s="1">
        <v>10620029</v>
      </c>
      <c r="H982" s="1" t="s">
        <v>388</v>
      </c>
      <c r="I982" s="61">
        <v>24</v>
      </c>
      <c r="J982" s="61">
        <v>3</v>
      </c>
      <c r="K982" s="61">
        <v>8</v>
      </c>
      <c r="L982" s="69">
        <f t="shared" si="195"/>
        <v>0.72</v>
      </c>
      <c r="M982" s="69">
        <f t="shared" si="196"/>
        <v>1.92</v>
      </c>
      <c r="N982" s="56">
        <f>INDEX(Rate_Chart!$A$1:$AK$127,MATCH(Data!J982,Rate_Chart!$A$1:$A$127,0),MATCH(Data!K982,Rate_Chart!$A$1:$AK$1,0))</f>
        <v>34.751112000000006</v>
      </c>
      <c r="O982" s="57">
        <f t="shared" si="197"/>
        <v>834.02668800000015</v>
      </c>
      <c r="P982" s="58">
        <f t="shared" si="198"/>
        <v>417.01334400000002</v>
      </c>
      <c r="Q982" s="58">
        <f t="shared" si="199"/>
        <v>278.00889599999999</v>
      </c>
      <c r="R982" s="66">
        <f t="shared" si="200"/>
        <v>14.595467040000004</v>
      </c>
      <c r="S982" s="64">
        <f t="shared" si="201"/>
        <v>90</v>
      </c>
      <c r="T982" s="66">
        <f t="shared" si="202"/>
        <v>938.62215504000017</v>
      </c>
      <c r="U982" s="68">
        <f t="shared" si="203"/>
        <v>39.109256460000005</v>
      </c>
      <c r="V982" s="68">
        <f t="shared" si="204"/>
        <v>469.31107752000003</v>
      </c>
      <c r="W982" s="68">
        <f t="shared" si="205"/>
        <v>312.87405168000004</v>
      </c>
    </row>
    <row r="983" spans="1:23" x14ac:dyDescent="0.25">
      <c r="A983" t="s">
        <v>888</v>
      </c>
      <c r="B983" s="37" t="s">
        <v>396</v>
      </c>
      <c r="C983" t="s">
        <v>591</v>
      </c>
      <c r="D983" t="s">
        <v>595</v>
      </c>
      <c r="E983" t="s">
        <v>596</v>
      </c>
      <c r="F983" s="62" t="str">
        <f t="shared" si="206"/>
        <v>64552</v>
      </c>
      <c r="G983" s="1">
        <v>10620020</v>
      </c>
      <c r="H983" s="1" t="s">
        <v>387</v>
      </c>
      <c r="I983" s="61">
        <v>10</v>
      </c>
      <c r="J983" s="61">
        <v>6.4</v>
      </c>
      <c r="K983" s="61">
        <v>8.8000000000000007</v>
      </c>
      <c r="L983" s="69">
        <f t="shared" si="195"/>
        <v>0.64</v>
      </c>
      <c r="M983" s="69">
        <f t="shared" si="196"/>
        <v>0.88</v>
      </c>
      <c r="N983" s="56">
        <f>INDEX(Rate_Chart!$A$1:$AK$127,MATCH(Data!J983,Rate_Chart!$A$1:$A$127,0),MATCH(Data!K983,Rate_Chart!$A$1:$AK$1,0))</f>
        <v>52.9056</v>
      </c>
      <c r="O983" s="57">
        <f t="shared" si="197"/>
        <v>529.05600000000004</v>
      </c>
      <c r="P983" s="58">
        <f t="shared" si="198"/>
        <v>431.29565217391303</v>
      </c>
      <c r="Q983" s="58">
        <f t="shared" si="199"/>
        <v>287.53043478260867</v>
      </c>
      <c r="R983" s="66">
        <f t="shared" si="200"/>
        <v>9.2584800000000023</v>
      </c>
      <c r="S983" s="64">
        <f t="shared" si="201"/>
        <v>37.5</v>
      </c>
      <c r="T983" s="66">
        <f t="shared" si="202"/>
        <v>575.81448</v>
      </c>
      <c r="U983" s="68">
        <f t="shared" si="203"/>
        <v>57.581448000000002</v>
      </c>
      <c r="V983" s="68">
        <f t="shared" si="204"/>
        <v>469.41397826086956</v>
      </c>
      <c r="W983" s="68">
        <f t="shared" si="205"/>
        <v>312.94265217391302</v>
      </c>
    </row>
    <row r="984" spans="1:23" x14ac:dyDescent="0.25">
      <c r="A984" t="s">
        <v>888</v>
      </c>
      <c r="B984" s="37" t="s">
        <v>397</v>
      </c>
      <c r="C984" t="s">
        <v>591</v>
      </c>
      <c r="D984" t="s">
        <v>595</v>
      </c>
      <c r="E984" t="s">
        <v>596</v>
      </c>
      <c r="F984" s="62" t="str">
        <f t="shared" si="206"/>
        <v>64552</v>
      </c>
      <c r="G984" s="1">
        <v>10620020</v>
      </c>
      <c r="H984" s="1" t="s">
        <v>387</v>
      </c>
      <c r="I984" s="61">
        <v>8</v>
      </c>
      <c r="J984" s="61">
        <v>6.3</v>
      </c>
      <c r="K984" s="61">
        <v>8.8000000000000007</v>
      </c>
      <c r="L984" s="69">
        <f t="shared" si="195"/>
        <v>0.504</v>
      </c>
      <c r="M984" s="69">
        <f t="shared" si="196"/>
        <v>0.70400000000000007</v>
      </c>
      <c r="N984" s="56">
        <f>INDEX(Rate_Chart!$A$1:$AK$127,MATCH(Data!J984,Rate_Chart!$A$1:$A$127,0),MATCH(Data!K984,Rate_Chart!$A$1:$AK$1,0))</f>
        <v>52.078949999999999</v>
      </c>
      <c r="O984" s="57">
        <f t="shared" si="197"/>
        <v>416.63159999999999</v>
      </c>
      <c r="P984" s="58">
        <f t="shared" si="198"/>
        <v>428.04616438356163</v>
      </c>
      <c r="Q984" s="58">
        <f t="shared" si="199"/>
        <v>285.36410958904111</v>
      </c>
      <c r="R984" s="66">
        <f t="shared" si="200"/>
        <v>7.2910530000000007</v>
      </c>
      <c r="S984" s="64">
        <f t="shared" si="201"/>
        <v>30</v>
      </c>
      <c r="T984" s="66">
        <f t="shared" si="202"/>
        <v>453.92265299999997</v>
      </c>
      <c r="U984" s="68">
        <f t="shared" si="203"/>
        <v>56.740331624999996</v>
      </c>
      <c r="V984" s="68">
        <f t="shared" si="204"/>
        <v>466.35889006849311</v>
      </c>
      <c r="W984" s="68">
        <f t="shared" si="205"/>
        <v>310.90592671232872</v>
      </c>
    </row>
    <row r="985" spans="1:23" x14ac:dyDescent="0.25">
      <c r="A985" t="s">
        <v>889</v>
      </c>
      <c r="B985" s="37" t="s">
        <v>396</v>
      </c>
      <c r="C985" t="s">
        <v>591</v>
      </c>
      <c r="D985" t="s">
        <v>595</v>
      </c>
      <c r="E985" t="s">
        <v>596</v>
      </c>
      <c r="F985" s="62" t="str">
        <f t="shared" si="206"/>
        <v>64552</v>
      </c>
      <c r="G985" s="1">
        <v>10620020</v>
      </c>
      <c r="H985" s="1" t="s">
        <v>387</v>
      </c>
      <c r="I985" s="61">
        <v>9</v>
      </c>
      <c r="J985" s="61">
        <v>6</v>
      </c>
      <c r="K985" s="61">
        <v>8.8000000000000007</v>
      </c>
      <c r="L985" s="69">
        <f t="shared" si="195"/>
        <v>0.54</v>
      </c>
      <c r="M985" s="69">
        <f t="shared" si="196"/>
        <v>0.79200000000000004</v>
      </c>
      <c r="N985" s="56">
        <f>INDEX(Rate_Chart!$A$1:$AK$127,MATCH(Data!J985,Rate_Chart!$A$1:$A$127,0),MATCH(Data!K985,Rate_Chart!$A$1:$AK$1,0))</f>
        <v>49.599000000000004</v>
      </c>
      <c r="O985" s="57">
        <f t="shared" si="197"/>
        <v>446.39100000000002</v>
      </c>
      <c r="P985" s="58">
        <f t="shared" si="198"/>
        <v>417.96910112359552</v>
      </c>
      <c r="Q985" s="58">
        <f t="shared" si="199"/>
        <v>278.64606741573033</v>
      </c>
      <c r="R985" s="66">
        <f t="shared" si="200"/>
        <v>7.8118425000000009</v>
      </c>
      <c r="S985" s="64">
        <f t="shared" si="201"/>
        <v>33.75</v>
      </c>
      <c r="T985" s="66">
        <f t="shared" si="202"/>
        <v>487.95284250000003</v>
      </c>
      <c r="U985" s="68">
        <f t="shared" si="203"/>
        <v>54.2169825</v>
      </c>
      <c r="V985" s="68">
        <f t="shared" si="204"/>
        <v>456.88468398876404</v>
      </c>
      <c r="W985" s="68">
        <f t="shared" si="205"/>
        <v>304.58978932584267</v>
      </c>
    </row>
    <row r="986" spans="1:23" x14ac:dyDescent="0.25">
      <c r="A986" t="s">
        <v>889</v>
      </c>
      <c r="B986" s="37" t="s">
        <v>397</v>
      </c>
      <c r="C986" t="s">
        <v>591</v>
      </c>
      <c r="D986" t="s">
        <v>595</v>
      </c>
      <c r="E986" t="s">
        <v>596</v>
      </c>
      <c r="F986" s="62" t="str">
        <f t="shared" si="206"/>
        <v>64552</v>
      </c>
      <c r="G986" s="1">
        <v>10620020</v>
      </c>
      <c r="H986" s="1" t="s">
        <v>387</v>
      </c>
      <c r="I986" s="61">
        <v>11</v>
      </c>
      <c r="J986" s="61">
        <v>5.8</v>
      </c>
      <c r="K986" s="61">
        <v>8.6</v>
      </c>
      <c r="L986" s="69">
        <f t="shared" si="195"/>
        <v>0.63800000000000001</v>
      </c>
      <c r="M986" s="69">
        <f t="shared" si="196"/>
        <v>0.94599999999999995</v>
      </c>
      <c r="N986" s="56">
        <f>INDEX(Rate_Chart!$A$1:$AK$127,MATCH(Data!J986,Rate_Chart!$A$1:$A$127,0),MATCH(Data!K986,Rate_Chart!$A$1:$AK$1,0))</f>
        <v>47.461399999999998</v>
      </c>
      <c r="O986" s="57">
        <f t="shared" si="197"/>
        <v>522.07539999999995</v>
      </c>
      <c r="P986" s="58">
        <f t="shared" si="198"/>
        <v>411.51502890173413</v>
      </c>
      <c r="Q986" s="58">
        <f t="shared" si="199"/>
        <v>274.34335260115608</v>
      </c>
      <c r="R986" s="66">
        <f t="shared" si="200"/>
        <v>9.136319499999999</v>
      </c>
      <c r="S986" s="64">
        <f t="shared" si="201"/>
        <v>41.25</v>
      </c>
      <c r="T986" s="66">
        <f t="shared" si="202"/>
        <v>572.46171949999996</v>
      </c>
      <c r="U986" s="68">
        <f t="shared" si="203"/>
        <v>52.041974499999995</v>
      </c>
      <c r="V986" s="68">
        <f t="shared" si="204"/>
        <v>451.23099277456652</v>
      </c>
      <c r="W986" s="68">
        <f t="shared" si="205"/>
        <v>300.82066184971103</v>
      </c>
    </row>
    <row r="987" spans="1:23" x14ac:dyDescent="0.25">
      <c r="A987" t="s">
        <v>890</v>
      </c>
      <c r="B987" s="37" t="s">
        <v>396</v>
      </c>
      <c r="C987" t="s">
        <v>591</v>
      </c>
      <c r="D987" t="s">
        <v>595</v>
      </c>
      <c r="E987" t="s">
        <v>596</v>
      </c>
      <c r="F987" s="62" t="str">
        <f t="shared" si="206"/>
        <v>64552</v>
      </c>
      <c r="G987" s="1">
        <v>10620020</v>
      </c>
      <c r="H987" s="1" t="s">
        <v>387</v>
      </c>
      <c r="I987" s="61">
        <v>10</v>
      </c>
      <c r="J987" s="61">
        <v>7</v>
      </c>
      <c r="K987" s="61">
        <v>8.4</v>
      </c>
      <c r="L987" s="69">
        <f t="shared" si="195"/>
        <v>0.7</v>
      </c>
      <c r="M987" s="69">
        <f t="shared" si="196"/>
        <v>0.84</v>
      </c>
      <c r="N987" s="56">
        <f>INDEX(Rate_Chart!$A$1:$AK$127,MATCH(Data!J987,Rate_Chart!$A$1:$A$127,0),MATCH(Data!K987,Rate_Chart!$A$1:$AK$1,0))</f>
        <v>56.6965</v>
      </c>
      <c r="O987" s="57">
        <f t="shared" si="197"/>
        <v>566.96500000000003</v>
      </c>
      <c r="P987" s="58">
        <f t="shared" si="198"/>
        <v>449.97222222222223</v>
      </c>
      <c r="Q987" s="58">
        <f t="shared" si="199"/>
        <v>299.98148148148147</v>
      </c>
      <c r="R987" s="66">
        <f t="shared" si="200"/>
        <v>9.9218875000000022</v>
      </c>
      <c r="S987" s="64">
        <f t="shared" si="201"/>
        <v>37.5</v>
      </c>
      <c r="T987" s="66">
        <f t="shared" si="202"/>
        <v>614.38688750000006</v>
      </c>
      <c r="U987" s="68">
        <f t="shared" si="203"/>
        <v>61.438688750000004</v>
      </c>
      <c r="V987" s="68">
        <f t="shared" si="204"/>
        <v>487.60864087301593</v>
      </c>
      <c r="W987" s="68">
        <f t="shared" si="205"/>
        <v>325.07242724867729</v>
      </c>
    </row>
    <row r="988" spans="1:23" x14ac:dyDescent="0.25">
      <c r="A988" t="s">
        <v>890</v>
      </c>
      <c r="B988" s="37" t="s">
        <v>397</v>
      </c>
      <c r="C988" t="s">
        <v>591</v>
      </c>
      <c r="D988" t="s">
        <v>595</v>
      </c>
      <c r="E988" t="s">
        <v>596</v>
      </c>
      <c r="F988" s="62" t="str">
        <f t="shared" si="206"/>
        <v>64552</v>
      </c>
      <c r="G988" s="1">
        <v>10620020</v>
      </c>
      <c r="H988" s="1" t="s">
        <v>387</v>
      </c>
      <c r="I988" s="61">
        <v>8</v>
      </c>
      <c r="J988" s="61">
        <v>6.5</v>
      </c>
      <c r="K988" s="61">
        <v>8.8000000000000007</v>
      </c>
      <c r="L988" s="69">
        <f t="shared" si="195"/>
        <v>0.52</v>
      </c>
      <c r="M988" s="69">
        <f t="shared" si="196"/>
        <v>0.70400000000000007</v>
      </c>
      <c r="N988" s="56">
        <f>INDEX(Rate_Chart!$A$1:$AK$127,MATCH(Data!J988,Rate_Chart!$A$1:$A$127,0),MATCH(Data!K988,Rate_Chart!$A$1:$AK$1,0))</f>
        <v>53.732250000000001</v>
      </c>
      <c r="O988" s="57">
        <f t="shared" si="197"/>
        <v>429.858</v>
      </c>
      <c r="P988" s="58">
        <f t="shared" si="198"/>
        <v>434.49258760107813</v>
      </c>
      <c r="Q988" s="58">
        <f t="shared" si="199"/>
        <v>289.66172506738542</v>
      </c>
      <c r="R988" s="66">
        <f t="shared" si="200"/>
        <v>7.5225150000000012</v>
      </c>
      <c r="S988" s="64">
        <f t="shared" si="201"/>
        <v>30</v>
      </c>
      <c r="T988" s="66">
        <f t="shared" si="202"/>
        <v>467.380515</v>
      </c>
      <c r="U988" s="68">
        <f t="shared" si="203"/>
        <v>58.422564375</v>
      </c>
      <c r="V988" s="68">
        <f t="shared" si="204"/>
        <v>472.41965801886789</v>
      </c>
      <c r="W988" s="68">
        <f t="shared" si="205"/>
        <v>314.94643867924526</v>
      </c>
    </row>
    <row r="989" spans="1:23" x14ac:dyDescent="0.25">
      <c r="A989" t="s">
        <v>891</v>
      </c>
      <c r="B989" s="37" t="s">
        <v>396</v>
      </c>
      <c r="C989" t="s">
        <v>591</v>
      </c>
      <c r="D989" t="s">
        <v>595</v>
      </c>
      <c r="E989" t="s">
        <v>596</v>
      </c>
      <c r="F989" s="62" t="str">
        <f t="shared" si="206"/>
        <v>64552</v>
      </c>
      <c r="G989" s="1">
        <v>10620020</v>
      </c>
      <c r="H989" s="1" t="s">
        <v>387</v>
      </c>
      <c r="I989" s="61">
        <v>8</v>
      </c>
      <c r="J989" s="61">
        <v>6.8</v>
      </c>
      <c r="K989" s="61">
        <v>8.8000000000000007</v>
      </c>
      <c r="L989" s="69">
        <f t="shared" si="195"/>
        <v>0.54400000000000004</v>
      </c>
      <c r="M989" s="69">
        <f t="shared" si="196"/>
        <v>0.70400000000000007</v>
      </c>
      <c r="N989" s="56">
        <f>INDEX(Rate_Chart!$A$1:$AK$127,MATCH(Data!J989,Rate_Chart!$A$1:$A$127,0),MATCH(Data!K989,Rate_Chart!$A$1:$AK$1,0))</f>
        <v>56.212200000000003</v>
      </c>
      <c r="O989" s="57">
        <f t="shared" si="197"/>
        <v>449.69760000000002</v>
      </c>
      <c r="P989" s="58">
        <f t="shared" si="198"/>
        <v>443.78052631578947</v>
      </c>
      <c r="Q989" s="58">
        <f t="shared" si="199"/>
        <v>295.8536842105263</v>
      </c>
      <c r="R989" s="66">
        <f t="shared" si="200"/>
        <v>7.869708000000001</v>
      </c>
      <c r="S989" s="64">
        <f t="shared" si="201"/>
        <v>30</v>
      </c>
      <c r="T989" s="66">
        <f t="shared" si="202"/>
        <v>487.56730800000003</v>
      </c>
      <c r="U989" s="68">
        <f t="shared" si="203"/>
        <v>60.945913500000003</v>
      </c>
      <c r="V989" s="68">
        <f t="shared" si="204"/>
        <v>481.15194868421054</v>
      </c>
      <c r="W989" s="68">
        <f t="shared" si="205"/>
        <v>320.76796578947369</v>
      </c>
    </row>
    <row r="990" spans="1:23" x14ac:dyDescent="0.25">
      <c r="A990" t="s">
        <v>891</v>
      </c>
      <c r="B990" s="37" t="s">
        <v>397</v>
      </c>
      <c r="C990" t="s">
        <v>591</v>
      </c>
      <c r="D990" t="s">
        <v>595</v>
      </c>
      <c r="E990" t="s">
        <v>596</v>
      </c>
      <c r="F990" s="62" t="str">
        <f t="shared" si="206"/>
        <v>64552</v>
      </c>
      <c r="G990" s="1">
        <v>10620020</v>
      </c>
      <c r="H990" s="1" t="s">
        <v>387</v>
      </c>
      <c r="I990" s="61">
        <v>7</v>
      </c>
      <c r="J990" s="61">
        <v>6.4</v>
      </c>
      <c r="K990" s="61">
        <v>8.8000000000000007</v>
      </c>
      <c r="L990" s="69">
        <f t="shared" si="195"/>
        <v>0.44800000000000006</v>
      </c>
      <c r="M990" s="69">
        <f t="shared" si="196"/>
        <v>0.6160000000000001</v>
      </c>
      <c r="N990" s="56">
        <f>INDEX(Rate_Chart!$A$1:$AK$127,MATCH(Data!J990,Rate_Chart!$A$1:$A$127,0),MATCH(Data!K990,Rate_Chart!$A$1:$AK$1,0))</f>
        <v>52.9056</v>
      </c>
      <c r="O990" s="57">
        <f t="shared" si="197"/>
        <v>370.33920000000001</v>
      </c>
      <c r="P990" s="58">
        <f t="shared" si="198"/>
        <v>431.29565217391303</v>
      </c>
      <c r="Q990" s="58">
        <f t="shared" si="199"/>
        <v>287.53043478260867</v>
      </c>
      <c r="R990" s="66">
        <f t="shared" si="200"/>
        <v>6.4809360000000007</v>
      </c>
      <c r="S990" s="64">
        <f t="shared" si="201"/>
        <v>26.25</v>
      </c>
      <c r="T990" s="66">
        <f t="shared" si="202"/>
        <v>403.07013599999999</v>
      </c>
      <c r="U990" s="68">
        <f t="shared" si="203"/>
        <v>57.581448000000002</v>
      </c>
      <c r="V990" s="68">
        <f t="shared" si="204"/>
        <v>469.41397826086956</v>
      </c>
      <c r="W990" s="68">
        <f t="shared" si="205"/>
        <v>312.94265217391302</v>
      </c>
    </row>
    <row r="991" spans="1:23" x14ac:dyDescent="0.25">
      <c r="A991" t="s">
        <v>892</v>
      </c>
      <c r="B991" s="37" t="s">
        <v>396</v>
      </c>
      <c r="C991" t="s">
        <v>591</v>
      </c>
      <c r="D991" t="s">
        <v>595</v>
      </c>
      <c r="E991" t="s">
        <v>596</v>
      </c>
      <c r="F991" s="62" t="str">
        <f t="shared" si="206"/>
        <v>64552</v>
      </c>
      <c r="G991" s="1">
        <v>10620020</v>
      </c>
      <c r="H991" s="1" t="s">
        <v>387</v>
      </c>
      <c r="I991" s="61">
        <v>6</v>
      </c>
      <c r="J991" s="61">
        <v>6.8</v>
      </c>
      <c r="K991" s="61">
        <v>8.8000000000000007</v>
      </c>
      <c r="L991" s="69">
        <f t="shared" si="195"/>
        <v>0.40799999999999997</v>
      </c>
      <c r="M991" s="69">
        <f t="shared" si="196"/>
        <v>0.52800000000000002</v>
      </c>
      <c r="N991" s="56">
        <f>INDEX(Rate_Chart!$A$1:$AK$127,MATCH(Data!J991,Rate_Chart!$A$1:$A$127,0),MATCH(Data!K991,Rate_Chart!$A$1:$AK$1,0))</f>
        <v>56.212200000000003</v>
      </c>
      <c r="O991" s="57">
        <f t="shared" si="197"/>
        <v>337.27320000000003</v>
      </c>
      <c r="P991" s="58">
        <f t="shared" si="198"/>
        <v>443.78052631578947</v>
      </c>
      <c r="Q991" s="58">
        <f t="shared" si="199"/>
        <v>295.8536842105263</v>
      </c>
      <c r="R991" s="66">
        <f t="shared" si="200"/>
        <v>5.9022810000000012</v>
      </c>
      <c r="S991" s="64">
        <f t="shared" si="201"/>
        <v>22.5</v>
      </c>
      <c r="T991" s="66">
        <f t="shared" si="202"/>
        <v>365.67548100000005</v>
      </c>
      <c r="U991" s="68">
        <f t="shared" si="203"/>
        <v>60.94591350000001</v>
      </c>
      <c r="V991" s="68">
        <f t="shared" si="204"/>
        <v>481.15194868421059</v>
      </c>
      <c r="W991" s="68">
        <f t="shared" si="205"/>
        <v>320.76796578947375</v>
      </c>
    </row>
    <row r="992" spans="1:23" x14ac:dyDescent="0.25">
      <c r="A992" t="s">
        <v>892</v>
      </c>
      <c r="B992" s="37" t="s">
        <v>397</v>
      </c>
      <c r="C992" t="s">
        <v>591</v>
      </c>
      <c r="D992" t="s">
        <v>595</v>
      </c>
      <c r="E992" t="s">
        <v>596</v>
      </c>
      <c r="F992" s="62" t="str">
        <f t="shared" si="206"/>
        <v>64552</v>
      </c>
      <c r="G992" s="1">
        <v>10620020</v>
      </c>
      <c r="H992" s="1" t="s">
        <v>387</v>
      </c>
      <c r="I992" s="61">
        <v>8</v>
      </c>
      <c r="J992" s="61">
        <v>6.7</v>
      </c>
      <c r="K992" s="61">
        <v>8.8000000000000007</v>
      </c>
      <c r="L992" s="69">
        <f t="shared" si="195"/>
        <v>0.53600000000000003</v>
      </c>
      <c r="M992" s="69">
        <f t="shared" si="196"/>
        <v>0.70400000000000007</v>
      </c>
      <c r="N992" s="56">
        <f>INDEX(Rate_Chart!$A$1:$AK$127,MATCH(Data!J992,Rate_Chart!$A$1:$A$127,0),MATCH(Data!K992,Rate_Chart!$A$1:$AK$1,0))</f>
        <v>55.385550000000002</v>
      </c>
      <c r="O992" s="57">
        <f t="shared" si="197"/>
        <v>443.08440000000002</v>
      </c>
      <c r="P992" s="58">
        <f t="shared" si="198"/>
        <v>440.73381962864721</v>
      </c>
      <c r="Q992" s="58">
        <f t="shared" si="199"/>
        <v>293.82254641909816</v>
      </c>
      <c r="R992" s="66">
        <f t="shared" si="200"/>
        <v>7.7539770000000008</v>
      </c>
      <c r="S992" s="64">
        <f t="shared" si="201"/>
        <v>30</v>
      </c>
      <c r="T992" s="66">
        <f t="shared" si="202"/>
        <v>480.83837700000004</v>
      </c>
      <c r="U992" s="68">
        <f t="shared" si="203"/>
        <v>60.104797125000005</v>
      </c>
      <c r="V992" s="68">
        <f t="shared" si="204"/>
        <v>478.28751027851456</v>
      </c>
      <c r="W992" s="68">
        <f t="shared" si="205"/>
        <v>318.85834018567635</v>
      </c>
    </row>
    <row r="993" spans="1:23" x14ac:dyDescent="0.25">
      <c r="A993" t="s">
        <v>893</v>
      </c>
      <c r="B993" s="37" t="s">
        <v>396</v>
      </c>
      <c r="C993" t="s">
        <v>591</v>
      </c>
      <c r="D993" t="s">
        <v>595</v>
      </c>
      <c r="E993" t="s">
        <v>596</v>
      </c>
      <c r="F993" s="62" t="str">
        <f t="shared" si="206"/>
        <v>64552</v>
      </c>
      <c r="G993" s="1">
        <v>10620020</v>
      </c>
      <c r="H993" s="1" t="s">
        <v>387</v>
      </c>
      <c r="I993" s="61">
        <v>4</v>
      </c>
      <c r="J993" s="61">
        <v>7.2</v>
      </c>
      <c r="K993" s="61">
        <v>8.8000000000000007</v>
      </c>
      <c r="L993" s="69">
        <f t="shared" si="195"/>
        <v>0.28800000000000003</v>
      </c>
      <c r="M993" s="69">
        <f t="shared" si="196"/>
        <v>0.35200000000000004</v>
      </c>
      <c r="N993" s="56">
        <f>INDEX(Rate_Chart!$A$1:$AK$127,MATCH(Data!J993,Rate_Chart!$A$1:$A$127,0),MATCH(Data!K993,Rate_Chart!$A$1:$AK$1,0))</f>
        <v>59.518800000000006</v>
      </c>
      <c r="O993" s="57">
        <f t="shared" si="197"/>
        <v>238.07520000000002</v>
      </c>
      <c r="P993" s="58">
        <f t="shared" si="198"/>
        <v>455.50102040816324</v>
      </c>
      <c r="Q993" s="58">
        <f t="shared" si="199"/>
        <v>303.66734693877549</v>
      </c>
      <c r="R993" s="66">
        <f t="shared" si="200"/>
        <v>4.166316000000001</v>
      </c>
      <c r="S993" s="64">
        <f t="shared" si="201"/>
        <v>15</v>
      </c>
      <c r="T993" s="66">
        <f t="shared" si="202"/>
        <v>257.24151600000005</v>
      </c>
      <c r="U993" s="68">
        <f t="shared" si="203"/>
        <v>64.310379000000012</v>
      </c>
      <c r="V993" s="68">
        <f t="shared" si="204"/>
        <v>492.17126785714288</v>
      </c>
      <c r="W993" s="68">
        <f t="shared" si="205"/>
        <v>328.11417857142857</v>
      </c>
    </row>
    <row r="994" spans="1:23" x14ac:dyDescent="0.25">
      <c r="A994" t="s">
        <v>893</v>
      </c>
      <c r="B994" s="37" t="s">
        <v>397</v>
      </c>
      <c r="C994" t="s">
        <v>591</v>
      </c>
      <c r="D994" t="s">
        <v>595</v>
      </c>
      <c r="E994" t="s">
        <v>596</v>
      </c>
      <c r="F994" s="62" t="str">
        <f t="shared" si="206"/>
        <v>64552</v>
      </c>
      <c r="G994" s="1">
        <v>10620020</v>
      </c>
      <c r="H994" s="1" t="s">
        <v>387</v>
      </c>
      <c r="I994" s="61">
        <v>3</v>
      </c>
      <c r="J994" s="61">
        <v>8.1999999999999993</v>
      </c>
      <c r="K994" s="61">
        <v>9</v>
      </c>
      <c r="L994" s="69">
        <f t="shared" si="195"/>
        <v>0.24599999999999997</v>
      </c>
      <c r="M994" s="69">
        <f t="shared" si="196"/>
        <v>0.27</v>
      </c>
      <c r="N994" s="56">
        <f>INDEX(Rate_Chart!$A$1:$AK$127,MATCH(Data!J994,Rate_Chart!$A$1:$A$127,0),MATCH(Data!K994,Rate_Chart!$A$1:$AK$1,0))</f>
        <v>68.469999999999985</v>
      </c>
      <c r="O994" s="57">
        <f t="shared" si="197"/>
        <v>205.40999999999997</v>
      </c>
      <c r="P994" s="58">
        <f t="shared" si="198"/>
        <v>482.18309859154925</v>
      </c>
      <c r="Q994" s="58">
        <f t="shared" si="199"/>
        <v>321.45539906103284</v>
      </c>
      <c r="R994" s="66">
        <f t="shared" si="200"/>
        <v>3.5946749999999996</v>
      </c>
      <c r="S994" s="64">
        <f t="shared" si="201"/>
        <v>11.25</v>
      </c>
      <c r="T994" s="66">
        <f t="shared" si="202"/>
        <v>220.25467499999996</v>
      </c>
      <c r="U994" s="68">
        <f t="shared" si="203"/>
        <v>73.418224999999993</v>
      </c>
      <c r="V994" s="68">
        <f t="shared" si="204"/>
        <v>517.02975352112674</v>
      </c>
      <c r="W994" s="68">
        <f t="shared" si="205"/>
        <v>344.68650234741784</v>
      </c>
    </row>
    <row r="995" spans="1:23" x14ac:dyDescent="0.25">
      <c r="A995" t="s">
        <v>894</v>
      </c>
      <c r="B995" s="37" t="s">
        <v>396</v>
      </c>
      <c r="C995" t="s">
        <v>591</v>
      </c>
      <c r="D995" t="s">
        <v>595</v>
      </c>
      <c r="E995" t="s">
        <v>596</v>
      </c>
      <c r="F995" s="62" t="str">
        <f t="shared" si="206"/>
        <v>64552</v>
      </c>
      <c r="G995" s="1">
        <v>10620020</v>
      </c>
      <c r="H995" s="1" t="s">
        <v>387</v>
      </c>
      <c r="I995" s="61">
        <v>6</v>
      </c>
      <c r="J995" s="61">
        <v>6.8</v>
      </c>
      <c r="K995" s="61">
        <v>8.8000000000000007</v>
      </c>
      <c r="L995" s="69">
        <f t="shared" si="195"/>
        <v>0.40799999999999997</v>
      </c>
      <c r="M995" s="69">
        <f t="shared" si="196"/>
        <v>0.52800000000000002</v>
      </c>
      <c r="N995" s="56">
        <f>INDEX(Rate_Chart!$A$1:$AK$127,MATCH(Data!J995,Rate_Chart!$A$1:$A$127,0),MATCH(Data!K995,Rate_Chart!$A$1:$AK$1,0))</f>
        <v>56.212200000000003</v>
      </c>
      <c r="O995" s="57">
        <f t="shared" si="197"/>
        <v>337.27320000000003</v>
      </c>
      <c r="P995" s="58">
        <f t="shared" si="198"/>
        <v>443.78052631578947</v>
      </c>
      <c r="Q995" s="58">
        <f t="shared" si="199"/>
        <v>295.8536842105263</v>
      </c>
      <c r="R995" s="66">
        <f t="shared" si="200"/>
        <v>5.9022810000000012</v>
      </c>
      <c r="S995" s="64">
        <f t="shared" si="201"/>
        <v>22.5</v>
      </c>
      <c r="T995" s="66">
        <f t="shared" si="202"/>
        <v>365.67548100000005</v>
      </c>
      <c r="U995" s="68">
        <f t="shared" si="203"/>
        <v>60.94591350000001</v>
      </c>
      <c r="V995" s="68">
        <f t="shared" si="204"/>
        <v>481.15194868421059</v>
      </c>
      <c r="W995" s="68">
        <f t="shared" si="205"/>
        <v>320.76796578947375</v>
      </c>
    </row>
    <row r="996" spans="1:23" x14ac:dyDescent="0.25">
      <c r="A996" t="s">
        <v>894</v>
      </c>
      <c r="B996" s="37" t="s">
        <v>397</v>
      </c>
      <c r="C996" t="s">
        <v>591</v>
      </c>
      <c r="D996" t="s">
        <v>595</v>
      </c>
      <c r="E996" t="s">
        <v>596</v>
      </c>
      <c r="F996" s="62" t="str">
        <f t="shared" si="206"/>
        <v>64552</v>
      </c>
      <c r="G996" s="1">
        <v>10620020</v>
      </c>
      <c r="H996" s="1" t="s">
        <v>387</v>
      </c>
      <c r="I996" s="61">
        <v>5</v>
      </c>
      <c r="J996" s="61">
        <v>8</v>
      </c>
      <c r="K996" s="61">
        <v>9</v>
      </c>
      <c r="L996" s="69">
        <f t="shared" si="195"/>
        <v>0.4</v>
      </c>
      <c r="M996" s="69">
        <f t="shared" si="196"/>
        <v>0.45</v>
      </c>
      <c r="N996" s="56">
        <f>INDEX(Rate_Chart!$A$1:$AK$127,MATCH(Data!J996,Rate_Chart!$A$1:$A$127,0),MATCH(Data!K996,Rate_Chart!$A$1:$AK$1,0))</f>
        <v>66.8</v>
      </c>
      <c r="O996" s="57">
        <f t="shared" si="197"/>
        <v>334</v>
      </c>
      <c r="P996" s="58">
        <f t="shared" si="198"/>
        <v>477.14285714285705</v>
      </c>
      <c r="Q996" s="58">
        <f t="shared" si="199"/>
        <v>318.09523809523802</v>
      </c>
      <c r="R996" s="66">
        <f t="shared" si="200"/>
        <v>5.8450000000000006</v>
      </c>
      <c r="S996" s="64">
        <f t="shared" si="201"/>
        <v>18.75</v>
      </c>
      <c r="T996" s="66">
        <f t="shared" si="202"/>
        <v>358.59500000000003</v>
      </c>
      <c r="U996" s="68">
        <f t="shared" si="203"/>
        <v>71.719000000000008</v>
      </c>
      <c r="V996" s="68">
        <f t="shared" si="204"/>
        <v>512.27857142857147</v>
      </c>
      <c r="W996" s="68">
        <f t="shared" si="205"/>
        <v>341.51904761904763</v>
      </c>
    </row>
    <row r="997" spans="1:23" x14ac:dyDescent="0.25">
      <c r="A997" t="s">
        <v>888</v>
      </c>
      <c r="B997" s="37" t="s">
        <v>396</v>
      </c>
      <c r="C997" t="s">
        <v>591</v>
      </c>
      <c r="D997" t="s">
        <v>594</v>
      </c>
      <c r="E997" t="s">
        <v>376</v>
      </c>
      <c r="F997" s="62" t="str">
        <f t="shared" si="206"/>
        <v>64553</v>
      </c>
      <c r="G997" s="1">
        <v>10620031</v>
      </c>
      <c r="H997" s="1" t="s">
        <v>387</v>
      </c>
      <c r="I997" s="61">
        <v>5</v>
      </c>
      <c r="J997" s="61">
        <v>5.8</v>
      </c>
      <c r="K997" s="61">
        <v>8.6</v>
      </c>
      <c r="L997" s="69">
        <f t="shared" si="195"/>
        <v>0.28999999999999998</v>
      </c>
      <c r="M997" s="69">
        <f t="shared" si="196"/>
        <v>0.43</v>
      </c>
      <c r="N997" s="56">
        <f>INDEX(Rate_Chart!$A$1:$AK$127,MATCH(Data!J997,Rate_Chart!$A$1:$A$127,0),MATCH(Data!K997,Rate_Chart!$A$1:$AK$1,0))</f>
        <v>47.461399999999998</v>
      </c>
      <c r="O997" s="57">
        <f t="shared" si="197"/>
        <v>237.30699999999999</v>
      </c>
      <c r="P997" s="58">
        <f t="shared" si="198"/>
        <v>411.51502890173413</v>
      </c>
      <c r="Q997" s="58">
        <f t="shared" si="199"/>
        <v>274.34335260115608</v>
      </c>
      <c r="R997" s="66">
        <f t="shared" si="200"/>
        <v>4.1528725</v>
      </c>
      <c r="S997" s="64">
        <f t="shared" si="201"/>
        <v>18.75</v>
      </c>
      <c r="T997" s="66">
        <f t="shared" si="202"/>
        <v>260.20987249999996</v>
      </c>
      <c r="U997" s="68">
        <f t="shared" si="203"/>
        <v>52.041974499999995</v>
      </c>
      <c r="V997" s="68">
        <f t="shared" si="204"/>
        <v>451.23099277456652</v>
      </c>
      <c r="W997" s="68">
        <f t="shared" si="205"/>
        <v>300.82066184971103</v>
      </c>
    </row>
    <row r="998" spans="1:23" x14ac:dyDescent="0.25">
      <c r="A998" t="s">
        <v>888</v>
      </c>
      <c r="B998" s="37" t="s">
        <v>397</v>
      </c>
      <c r="C998" t="s">
        <v>591</v>
      </c>
      <c r="D998" t="s">
        <v>594</v>
      </c>
      <c r="E998" t="s">
        <v>376</v>
      </c>
      <c r="F998" s="62" t="str">
        <f t="shared" si="206"/>
        <v>64553</v>
      </c>
      <c r="G998" s="1">
        <v>10620031</v>
      </c>
      <c r="H998" s="1" t="s">
        <v>388</v>
      </c>
      <c r="I998" s="61">
        <v>15</v>
      </c>
      <c r="J998" s="61">
        <v>4</v>
      </c>
      <c r="K998" s="61">
        <v>8.1</v>
      </c>
      <c r="L998" s="69">
        <f t="shared" si="195"/>
        <v>0.6</v>
      </c>
      <c r="M998" s="69">
        <f t="shared" si="196"/>
        <v>1.2150000000000001</v>
      </c>
      <c r="N998" s="56">
        <f>INDEX(Rate_Chart!$A$1:$AK$127,MATCH(Data!J998,Rate_Chart!$A$1:$A$127,0),MATCH(Data!K998,Rate_Chart!$A$1:$AK$1,0))</f>
        <v>39.199125899999999</v>
      </c>
      <c r="O998" s="57">
        <f t="shared" si="197"/>
        <v>587.98688849999996</v>
      </c>
      <c r="P998" s="58">
        <f t="shared" si="198"/>
        <v>417.01197765957443</v>
      </c>
      <c r="Q998" s="58">
        <f t="shared" si="199"/>
        <v>278.00798510638293</v>
      </c>
      <c r="R998" s="66">
        <f t="shared" si="200"/>
        <v>10.289770548750001</v>
      </c>
      <c r="S998" s="64">
        <f t="shared" si="201"/>
        <v>56.25</v>
      </c>
      <c r="T998" s="66">
        <f t="shared" si="202"/>
        <v>654.52665904874993</v>
      </c>
      <c r="U998" s="68">
        <f t="shared" si="203"/>
        <v>43.635110603249998</v>
      </c>
      <c r="V998" s="68">
        <f t="shared" si="204"/>
        <v>464.20330428989359</v>
      </c>
      <c r="W998" s="68">
        <f t="shared" si="205"/>
        <v>309.46886952659571</v>
      </c>
    </row>
    <row r="999" spans="1:23" x14ac:dyDescent="0.25">
      <c r="A999" t="s">
        <v>889</v>
      </c>
      <c r="B999" s="37" t="s">
        <v>396</v>
      </c>
      <c r="C999" t="s">
        <v>591</v>
      </c>
      <c r="D999" t="s">
        <v>594</v>
      </c>
      <c r="E999" t="s">
        <v>376</v>
      </c>
      <c r="F999" s="62" t="str">
        <f t="shared" si="206"/>
        <v>64553</v>
      </c>
      <c r="G999" s="1">
        <v>10620031</v>
      </c>
      <c r="H999" s="1" t="s">
        <v>388</v>
      </c>
      <c r="I999" s="61">
        <v>5</v>
      </c>
      <c r="J999" s="61">
        <v>5</v>
      </c>
      <c r="K999" s="61">
        <v>8.5</v>
      </c>
      <c r="L999" s="69">
        <f t="shared" si="195"/>
        <v>0.25</v>
      </c>
      <c r="M999" s="69">
        <f t="shared" si="196"/>
        <v>0.42499999999999999</v>
      </c>
      <c r="N999" s="56">
        <f>INDEX(Rate_Chart!$A$1:$AK$127,MATCH(Data!J999,Rate_Chart!$A$1:$A$127,0),MATCH(Data!K999,Rate_Chart!$A$1:$AK$1,0))</f>
        <v>44.481181500000005</v>
      </c>
      <c r="O999" s="57">
        <f t="shared" si="197"/>
        <v>222.40590750000001</v>
      </c>
      <c r="P999" s="58">
        <f t="shared" si="198"/>
        <v>417.01107656250002</v>
      </c>
      <c r="Q999" s="58">
        <f t="shared" si="199"/>
        <v>278.00738437500002</v>
      </c>
      <c r="R999" s="66">
        <f t="shared" si="200"/>
        <v>3.8921033812500005</v>
      </c>
      <c r="S999" s="64">
        <f t="shared" si="201"/>
        <v>18.75</v>
      </c>
      <c r="T999" s="66">
        <f t="shared" si="202"/>
        <v>245.04801088125001</v>
      </c>
      <c r="U999" s="68">
        <f t="shared" si="203"/>
        <v>49.009602176249999</v>
      </c>
      <c r="V999" s="68">
        <f t="shared" si="204"/>
        <v>459.46502040234373</v>
      </c>
      <c r="W999" s="68">
        <f t="shared" si="205"/>
        <v>306.3100136015625</v>
      </c>
    </row>
    <row r="1000" spans="1:23" x14ac:dyDescent="0.25">
      <c r="A1000" t="s">
        <v>889</v>
      </c>
      <c r="B1000" s="37" t="s">
        <v>397</v>
      </c>
      <c r="C1000" t="s">
        <v>591</v>
      </c>
      <c r="D1000" t="s">
        <v>594</v>
      </c>
      <c r="E1000" t="s">
        <v>376</v>
      </c>
      <c r="F1000" s="62" t="str">
        <f t="shared" si="206"/>
        <v>64553</v>
      </c>
      <c r="G1000" s="1">
        <v>10620031</v>
      </c>
      <c r="H1000" s="1" t="s">
        <v>388</v>
      </c>
      <c r="I1000" s="61">
        <v>16</v>
      </c>
      <c r="J1000" s="61">
        <v>4.5</v>
      </c>
      <c r="K1000" s="61">
        <v>8.1999999999999993</v>
      </c>
      <c r="L1000" s="69">
        <f t="shared" si="195"/>
        <v>0.72</v>
      </c>
      <c r="M1000" s="69">
        <f t="shared" si="196"/>
        <v>1.3119999999999998</v>
      </c>
      <c r="N1000" s="56">
        <f>INDEX(Rate_Chart!$A$1:$AK$127,MATCH(Data!J1000,Rate_Chart!$A$1:$A$127,0),MATCH(Data!K1000,Rate_Chart!$A$1:$AK$1,0))</f>
        <v>41.562139799999997</v>
      </c>
      <c r="O1000" s="57">
        <f t="shared" si="197"/>
        <v>664.99423679999995</v>
      </c>
      <c r="P1000" s="58">
        <f t="shared" si="198"/>
        <v>417.01143612040136</v>
      </c>
      <c r="Q1000" s="58">
        <f t="shared" si="199"/>
        <v>278.00762408026759</v>
      </c>
      <c r="R1000" s="66">
        <f t="shared" si="200"/>
        <v>11.637399144</v>
      </c>
      <c r="S1000" s="64">
        <f t="shared" si="201"/>
        <v>60</v>
      </c>
      <c r="T1000" s="66">
        <f t="shared" si="202"/>
        <v>736.63163594399998</v>
      </c>
      <c r="U1000" s="68">
        <f t="shared" si="203"/>
        <v>46.039477246499999</v>
      </c>
      <c r="V1000" s="68">
        <f t="shared" si="204"/>
        <v>461.93455431270905</v>
      </c>
      <c r="W1000" s="68">
        <f t="shared" si="205"/>
        <v>307.95636954180605</v>
      </c>
    </row>
    <row r="1001" spans="1:23" x14ac:dyDescent="0.25">
      <c r="A1001" t="s">
        <v>890</v>
      </c>
      <c r="B1001" s="37" t="s">
        <v>396</v>
      </c>
      <c r="C1001" t="s">
        <v>591</v>
      </c>
      <c r="D1001" t="s">
        <v>594</v>
      </c>
      <c r="E1001" t="s">
        <v>376</v>
      </c>
      <c r="F1001" s="62" t="str">
        <f t="shared" si="206"/>
        <v>64553</v>
      </c>
      <c r="G1001" s="1">
        <v>10620031</v>
      </c>
      <c r="H1001" s="1" t="s">
        <v>387</v>
      </c>
      <c r="I1001" s="61">
        <v>3</v>
      </c>
      <c r="J1001" s="61">
        <v>6.8</v>
      </c>
      <c r="K1001" s="61">
        <v>8.8000000000000007</v>
      </c>
      <c r="L1001" s="69">
        <f t="shared" si="195"/>
        <v>0.20399999999999999</v>
      </c>
      <c r="M1001" s="69">
        <f t="shared" si="196"/>
        <v>0.26400000000000001</v>
      </c>
      <c r="N1001" s="56">
        <f>INDEX(Rate_Chart!$A$1:$AK$127,MATCH(Data!J1001,Rate_Chart!$A$1:$A$127,0),MATCH(Data!K1001,Rate_Chart!$A$1:$AK$1,0))</f>
        <v>56.212200000000003</v>
      </c>
      <c r="O1001" s="57">
        <f t="shared" si="197"/>
        <v>168.63660000000002</v>
      </c>
      <c r="P1001" s="58">
        <f t="shared" si="198"/>
        <v>443.78052631578947</v>
      </c>
      <c r="Q1001" s="58">
        <f t="shared" si="199"/>
        <v>295.8536842105263</v>
      </c>
      <c r="R1001" s="66">
        <f t="shared" si="200"/>
        <v>2.9511405000000006</v>
      </c>
      <c r="S1001" s="64">
        <f t="shared" si="201"/>
        <v>11.25</v>
      </c>
      <c r="T1001" s="66">
        <f t="shared" si="202"/>
        <v>182.83774050000002</v>
      </c>
      <c r="U1001" s="68">
        <f t="shared" si="203"/>
        <v>60.94591350000001</v>
      </c>
      <c r="V1001" s="68">
        <f t="shared" si="204"/>
        <v>481.15194868421059</v>
      </c>
      <c r="W1001" s="68">
        <f t="shared" si="205"/>
        <v>320.76796578947375</v>
      </c>
    </row>
    <row r="1002" spans="1:23" x14ac:dyDescent="0.25">
      <c r="A1002" t="s">
        <v>890</v>
      </c>
      <c r="B1002" s="37" t="s">
        <v>397</v>
      </c>
      <c r="C1002" t="s">
        <v>591</v>
      </c>
      <c r="D1002" t="s">
        <v>594</v>
      </c>
      <c r="E1002" t="s">
        <v>376</v>
      </c>
      <c r="F1002" s="62" t="str">
        <f t="shared" si="206"/>
        <v>64553</v>
      </c>
      <c r="G1002" s="1">
        <v>10620031</v>
      </c>
      <c r="H1002" s="1" t="s">
        <v>388</v>
      </c>
      <c r="I1002" s="61">
        <v>16</v>
      </c>
      <c r="J1002" s="61">
        <v>4.5999999999999996</v>
      </c>
      <c r="K1002" s="61">
        <v>8.5</v>
      </c>
      <c r="L1002" s="69">
        <f t="shared" si="195"/>
        <v>0.73599999999999999</v>
      </c>
      <c r="M1002" s="69">
        <f t="shared" si="196"/>
        <v>1.36</v>
      </c>
      <c r="N1002" s="56">
        <f>INDEX(Rate_Chart!$A$1:$AK$127,MATCH(Data!J1002,Rate_Chart!$A$1:$A$127,0),MATCH(Data!K1002,Rate_Chart!$A$1:$AK$1,0))</f>
        <v>42.813181499999999</v>
      </c>
      <c r="O1002" s="57">
        <f t="shared" si="197"/>
        <v>685.01090399999998</v>
      </c>
      <c r="P1002" s="58">
        <f t="shared" si="198"/>
        <v>417.01150811688308</v>
      </c>
      <c r="Q1002" s="58">
        <f t="shared" si="199"/>
        <v>278.00767207792205</v>
      </c>
      <c r="R1002" s="66">
        <f t="shared" si="200"/>
        <v>11.987690820000001</v>
      </c>
      <c r="S1002" s="64">
        <f t="shared" si="201"/>
        <v>60</v>
      </c>
      <c r="T1002" s="66">
        <f t="shared" si="202"/>
        <v>756.99859481999999</v>
      </c>
      <c r="U1002" s="68">
        <f t="shared" si="203"/>
        <v>47.31241217625</v>
      </c>
      <c r="V1002" s="68">
        <f t="shared" si="204"/>
        <v>460.83518353490257</v>
      </c>
      <c r="W1002" s="68">
        <f t="shared" si="205"/>
        <v>307.22345568993507</v>
      </c>
    </row>
    <row r="1003" spans="1:23" x14ac:dyDescent="0.25">
      <c r="A1003" t="s">
        <v>891</v>
      </c>
      <c r="B1003" s="37" t="s">
        <v>396</v>
      </c>
      <c r="C1003" t="s">
        <v>591</v>
      </c>
      <c r="D1003" t="s">
        <v>594</v>
      </c>
      <c r="E1003" t="s">
        <v>376</v>
      </c>
      <c r="F1003" s="62" t="str">
        <f t="shared" si="206"/>
        <v>64553</v>
      </c>
      <c r="G1003" s="1">
        <v>10620031</v>
      </c>
      <c r="H1003" s="1" t="s">
        <v>387</v>
      </c>
      <c r="I1003" s="61">
        <v>2</v>
      </c>
      <c r="J1003" s="61">
        <v>5.8</v>
      </c>
      <c r="K1003" s="61">
        <v>8.4</v>
      </c>
      <c r="L1003" s="69">
        <f t="shared" si="195"/>
        <v>0.11599999999999999</v>
      </c>
      <c r="M1003" s="69">
        <f t="shared" si="196"/>
        <v>0.16800000000000001</v>
      </c>
      <c r="N1003" s="56">
        <f>INDEX(Rate_Chart!$A$1:$AK$127,MATCH(Data!J1003,Rate_Chart!$A$1:$A$127,0),MATCH(Data!K1003,Rate_Chart!$A$1:$AK$1,0))</f>
        <v>46.9771</v>
      </c>
      <c r="O1003" s="57">
        <f t="shared" si="197"/>
        <v>93.9542</v>
      </c>
      <c r="P1003" s="58">
        <f t="shared" si="198"/>
        <v>412.07982456140354</v>
      </c>
      <c r="Q1003" s="58">
        <f t="shared" si="199"/>
        <v>274.71988304093571</v>
      </c>
      <c r="R1003" s="66">
        <f t="shared" si="200"/>
        <v>1.6441985000000001</v>
      </c>
      <c r="S1003" s="64">
        <f t="shared" si="201"/>
        <v>7.5</v>
      </c>
      <c r="T1003" s="66">
        <f t="shared" si="202"/>
        <v>103.0983985</v>
      </c>
      <c r="U1003" s="68">
        <f t="shared" si="203"/>
        <v>51.549199250000001</v>
      </c>
      <c r="V1003" s="68">
        <f t="shared" si="204"/>
        <v>452.18595833333336</v>
      </c>
      <c r="W1003" s="68">
        <f t="shared" si="205"/>
        <v>301.45730555555559</v>
      </c>
    </row>
    <row r="1004" spans="1:23" x14ac:dyDescent="0.25">
      <c r="A1004" t="s">
        <v>891</v>
      </c>
      <c r="B1004" s="37" t="s">
        <v>397</v>
      </c>
      <c r="C1004" t="s">
        <v>591</v>
      </c>
      <c r="D1004" t="s">
        <v>594</v>
      </c>
      <c r="E1004" t="s">
        <v>376</v>
      </c>
      <c r="F1004" s="62" t="str">
        <f t="shared" si="206"/>
        <v>64553</v>
      </c>
      <c r="G1004" s="1">
        <v>10620031</v>
      </c>
      <c r="H1004" s="1" t="s">
        <v>388</v>
      </c>
      <c r="I1004" s="61">
        <v>15</v>
      </c>
      <c r="J1004" s="61">
        <v>5</v>
      </c>
      <c r="K1004" s="61">
        <v>8.5</v>
      </c>
      <c r="L1004" s="69">
        <f t="shared" si="195"/>
        <v>0.75</v>
      </c>
      <c r="M1004" s="69">
        <f t="shared" si="196"/>
        <v>1.2749999999999999</v>
      </c>
      <c r="N1004" s="56">
        <f>INDEX(Rate_Chart!$A$1:$AK$127,MATCH(Data!J1004,Rate_Chart!$A$1:$A$127,0),MATCH(Data!K1004,Rate_Chart!$A$1:$AK$1,0))</f>
        <v>44.481181500000005</v>
      </c>
      <c r="O1004" s="57">
        <f t="shared" si="197"/>
        <v>667.21772250000004</v>
      </c>
      <c r="P1004" s="58">
        <f t="shared" si="198"/>
        <v>417.01107656250002</v>
      </c>
      <c r="Q1004" s="58">
        <f t="shared" si="199"/>
        <v>278.00738437500002</v>
      </c>
      <c r="R1004" s="66">
        <f t="shared" si="200"/>
        <v>11.676310143750001</v>
      </c>
      <c r="S1004" s="64">
        <f t="shared" si="201"/>
        <v>56.25</v>
      </c>
      <c r="T1004" s="66">
        <f t="shared" si="202"/>
        <v>735.14403264375005</v>
      </c>
      <c r="U1004" s="68">
        <f t="shared" si="203"/>
        <v>49.009602176250006</v>
      </c>
      <c r="V1004" s="68">
        <f t="shared" si="204"/>
        <v>459.46502040234378</v>
      </c>
      <c r="W1004" s="68">
        <f t="shared" si="205"/>
        <v>306.3100136015625</v>
      </c>
    </row>
    <row r="1005" spans="1:23" x14ac:dyDescent="0.25">
      <c r="A1005" t="s">
        <v>892</v>
      </c>
      <c r="B1005" s="37" t="s">
        <v>396</v>
      </c>
      <c r="C1005" t="s">
        <v>591</v>
      </c>
      <c r="D1005" t="s">
        <v>594</v>
      </c>
      <c r="E1005" t="s">
        <v>376</v>
      </c>
      <c r="F1005" s="62" t="str">
        <f t="shared" si="206"/>
        <v>64553</v>
      </c>
      <c r="G1005" s="1">
        <v>10620031</v>
      </c>
      <c r="H1005" s="1" t="s">
        <v>387</v>
      </c>
      <c r="I1005" s="61">
        <v>5</v>
      </c>
      <c r="J1005" s="61">
        <v>5.8</v>
      </c>
      <c r="K1005" s="61">
        <v>8.6</v>
      </c>
      <c r="L1005" s="69">
        <f t="shared" si="195"/>
        <v>0.28999999999999998</v>
      </c>
      <c r="M1005" s="69">
        <f t="shared" si="196"/>
        <v>0.43</v>
      </c>
      <c r="N1005" s="56">
        <f>INDEX(Rate_Chart!$A$1:$AK$127,MATCH(Data!J1005,Rate_Chart!$A$1:$A$127,0),MATCH(Data!K1005,Rate_Chart!$A$1:$AK$1,0))</f>
        <v>47.461399999999998</v>
      </c>
      <c r="O1005" s="57">
        <f t="shared" si="197"/>
        <v>237.30699999999999</v>
      </c>
      <c r="P1005" s="58">
        <f t="shared" si="198"/>
        <v>411.51502890173413</v>
      </c>
      <c r="Q1005" s="58">
        <f t="shared" si="199"/>
        <v>274.34335260115608</v>
      </c>
      <c r="R1005" s="66">
        <f t="shared" si="200"/>
        <v>4.1528725</v>
      </c>
      <c r="S1005" s="64">
        <f t="shared" si="201"/>
        <v>18.75</v>
      </c>
      <c r="T1005" s="66">
        <f t="shared" si="202"/>
        <v>260.20987249999996</v>
      </c>
      <c r="U1005" s="68">
        <f t="shared" si="203"/>
        <v>52.041974499999995</v>
      </c>
      <c r="V1005" s="68">
        <f t="shared" si="204"/>
        <v>451.23099277456652</v>
      </c>
      <c r="W1005" s="68">
        <f t="shared" si="205"/>
        <v>300.82066184971103</v>
      </c>
    </row>
    <row r="1006" spans="1:23" x14ac:dyDescent="0.25">
      <c r="A1006" t="s">
        <v>892</v>
      </c>
      <c r="B1006" s="37" t="s">
        <v>397</v>
      </c>
      <c r="C1006" t="s">
        <v>591</v>
      </c>
      <c r="D1006" t="s">
        <v>594</v>
      </c>
      <c r="E1006" t="s">
        <v>376</v>
      </c>
      <c r="F1006" s="62" t="str">
        <f t="shared" si="206"/>
        <v>64553</v>
      </c>
      <c r="G1006" s="1">
        <v>10620031</v>
      </c>
      <c r="H1006" s="1" t="s">
        <v>387</v>
      </c>
      <c r="I1006" s="61">
        <v>6</v>
      </c>
      <c r="J1006" s="61">
        <v>6.7</v>
      </c>
      <c r="K1006" s="61">
        <v>8.8000000000000007</v>
      </c>
      <c r="L1006" s="69">
        <f t="shared" si="195"/>
        <v>0.40200000000000002</v>
      </c>
      <c r="M1006" s="69">
        <f t="shared" si="196"/>
        <v>0.52800000000000002</v>
      </c>
      <c r="N1006" s="56">
        <f>INDEX(Rate_Chart!$A$1:$AK$127,MATCH(Data!J1006,Rate_Chart!$A$1:$A$127,0),MATCH(Data!K1006,Rate_Chart!$A$1:$AK$1,0))</f>
        <v>55.385550000000002</v>
      </c>
      <c r="O1006" s="57">
        <f t="shared" si="197"/>
        <v>332.31330000000003</v>
      </c>
      <c r="P1006" s="58">
        <f t="shared" si="198"/>
        <v>440.73381962864721</v>
      </c>
      <c r="Q1006" s="58">
        <f t="shared" si="199"/>
        <v>293.82254641909816</v>
      </c>
      <c r="R1006" s="66">
        <f t="shared" si="200"/>
        <v>5.815482750000001</v>
      </c>
      <c r="S1006" s="64">
        <f t="shared" si="201"/>
        <v>22.5</v>
      </c>
      <c r="T1006" s="66">
        <f t="shared" si="202"/>
        <v>360.62878275000003</v>
      </c>
      <c r="U1006" s="68">
        <f t="shared" si="203"/>
        <v>60.104797125000005</v>
      </c>
      <c r="V1006" s="68">
        <f t="shared" si="204"/>
        <v>478.28751027851456</v>
      </c>
      <c r="W1006" s="68">
        <f t="shared" si="205"/>
        <v>318.85834018567635</v>
      </c>
    </row>
    <row r="1007" spans="1:23" x14ac:dyDescent="0.25">
      <c r="A1007" t="s">
        <v>893</v>
      </c>
      <c r="B1007" s="37" t="s">
        <v>396</v>
      </c>
      <c r="C1007" t="s">
        <v>591</v>
      </c>
      <c r="D1007" t="s">
        <v>594</v>
      </c>
      <c r="E1007" t="s">
        <v>376</v>
      </c>
      <c r="F1007" s="62" t="str">
        <f t="shared" si="206"/>
        <v>64553</v>
      </c>
      <c r="G1007" s="1">
        <v>10620031</v>
      </c>
      <c r="H1007" s="1" t="s">
        <v>388</v>
      </c>
      <c r="I1007" s="61">
        <v>4</v>
      </c>
      <c r="J1007" s="61">
        <v>4.4000000000000004</v>
      </c>
      <c r="K1007" s="61">
        <v>8.1</v>
      </c>
      <c r="L1007" s="69">
        <f t="shared" si="195"/>
        <v>0.17600000000000002</v>
      </c>
      <c r="M1007" s="69">
        <f t="shared" si="196"/>
        <v>0.32400000000000001</v>
      </c>
      <c r="N1007" s="56">
        <f>INDEX(Rate_Chart!$A$1:$AK$127,MATCH(Data!J1007,Rate_Chart!$A$1:$A$127,0),MATCH(Data!K1007,Rate_Chart!$A$1:$AK$1,0))</f>
        <v>40.867125900000005</v>
      </c>
      <c r="O1007" s="57">
        <f t="shared" si="197"/>
        <v>163.46850360000002</v>
      </c>
      <c r="P1007" s="58">
        <f t="shared" si="198"/>
        <v>417.01148877551026</v>
      </c>
      <c r="Q1007" s="58">
        <f t="shared" si="199"/>
        <v>278.00765918367352</v>
      </c>
      <c r="R1007" s="66">
        <f t="shared" si="200"/>
        <v>2.8606988130000004</v>
      </c>
      <c r="S1007" s="64">
        <f t="shared" si="201"/>
        <v>15</v>
      </c>
      <c r="T1007" s="66">
        <f t="shared" si="202"/>
        <v>181.32920241300002</v>
      </c>
      <c r="U1007" s="68">
        <f t="shared" si="203"/>
        <v>45.332300603250005</v>
      </c>
      <c r="V1007" s="68">
        <f t="shared" si="204"/>
        <v>462.57449595153065</v>
      </c>
      <c r="W1007" s="68">
        <f t="shared" si="205"/>
        <v>308.38299730102045</v>
      </c>
    </row>
    <row r="1008" spans="1:23" x14ac:dyDescent="0.25">
      <c r="A1008" t="s">
        <v>893</v>
      </c>
      <c r="B1008" s="37" t="s">
        <v>397</v>
      </c>
      <c r="C1008" t="s">
        <v>591</v>
      </c>
      <c r="D1008" t="s">
        <v>594</v>
      </c>
      <c r="E1008" t="s">
        <v>376</v>
      </c>
      <c r="F1008" s="62" t="str">
        <f t="shared" si="206"/>
        <v>64553</v>
      </c>
      <c r="G1008" s="1">
        <v>10620031</v>
      </c>
      <c r="H1008" s="1" t="s">
        <v>387</v>
      </c>
      <c r="I1008" s="61">
        <v>8</v>
      </c>
      <c r="J1008" s="61">
        <v>5.6</v>
      </c>
      <c r="K1008" s="61">
        <v>8.6</v>
      </c>
      <c r="L1008" s="69">
        <f t="shared" ref="L1008:L1071" si="207">J1008*I1008/100</f>
        <v>0.44799999999999995</v>
      </c>
      <c r="M1008" s="69">
        <f t="shared" ref="M1008:M1071" si="208">K1008*I1008/100</f>
        <v>0.68799999999999994</v>
      </c>
      <c r="N1008" s="56">
        <f>INDEX(Rate_Chart!$A$1:$AK$127,MATCH(Data!J1008,Rate_Chart!$A$1:$A$127,0),MATCH(Data!K1008,Rate_Chart!$A$1:$AK$1,0))</f>
        <v>45.824799999999996</v>
      </c>
      <c r="O1008" s="57">
        <f t="shared" ref="O1008:O1071" si="209">N1008*I1008</f>
        <v>366.59839999999997</v>
      </c>
      <c r="P1008" s="58">
        <f t="shared" ref="P1008:P1071" si="210">N1008/(J1008%+K1008%*2/3)</f>
        <v>404.33647058823533</v>
      </c>
      <c r="Q1008" s="58">
        <f t="shared" ref="Q1008:Q1071" si="211">P1008*2/3</f>
        <v>269.55764705882353</v>
      </c>
      <c r="R1008" s="66">
        <f t="shared" ref="R1008:R1071" si="212">O1008*1.75%</f>
        <v>6.4154720000000003</v>
      </c>
      <c r="S1008" s="64">
        <f t="shared" ref="S1008:S1071" si="213">I1008*3.75</f>
        <v>30</v>
      </c>
      <c r="T1008" s="66">
        <f t="shared" ref="T1008:T1071" si="214">R1008+S1008+O1008</f>
        <v>403.01387199999999</v>
      </c>
      <c r="U1008" s="68">
        <f t="shared" ref="U1008:U1071" si="215">T1008/I1008</f>
        <v>50.376733999999999</v>
      </c>
      <c r="V1008" s="68">
        <f t="shared" ref="V1008:V1071" si="216">U1008/(J1008%+K1008%*2/3)</f>
        <v>444.50059411764715</v>
      </c>
      <c r="W1008" s="68">
        <f t="shared" ref="W1008:W1071" si="217">V1008*2/3</f>
        <v>296.33372941176475</v>
      </c>
    </row>
    <row r="1009" spans="1:23" x14ac:dyDescent="0.25">
      <c r="A1009" t="s">
        <v>894</v>
      </c>
      <c r="B1009" s="37" t="s">
        <v>396</v>
      </c>
      <c r="C1009" t="s">
        <v>591</v>
      </c>
      <c r="D1009" t="s">
        <v>594</v>
      </c>
      <c r="E1009" t="s">
        <v>376</v>
      </c>
      <c r="F1009" s="62" t="str">
        <f t="shared" si="206"/>
        <v>64553</v>
      </c>
      <c r="G1009" s="1">
        <v>10620031</v>
      </c>
      <c r="H1009" s="1" t="s">
        <v>387</v>
      </c>
      <c r="I1009" s="61">
        <v>3</v>
      </c>
      <c r="J1009" s="61">
        <v>5.6</v>
      </c>
      <c r="K1009" s="61">
        <v>8.4</v>
      </c>
      <c r="L1009" s="69">
        <f t="shared" si="207"/>
        <v>0.16799999999999998</v>
      </c>
      <c r="M1009" s="69">
        <f t="shared" si="208"/>
        <v>0.252</v>
      </c>
      <c r="N1009" s="56">
        <f>INDEX(Rate_Chart!$A$1:$AK$127,MATCH(Data!J1009,Rate_Chart!$A$1:$A$127,0),MATCH(Data!K1009,Rate_Chart!$A$1:$AK$1,0))</f>
        <v>45.357199999999999</v>
      </c>
      <c r="O1009" s="57">
        <f t="shared" si="209"/>
        <v>136.07159999999999</v>
      </c>
      <c r="P1009" s="58">
        <f t="shared" si="210"/>
        <v>404.97500000000002</v>
      </c>
      <c r="Q1009" s="58">
        <f t="shared" si="211"/>
        <v>269.98333333333335</v>
      </c>
      <c r="R1009" s="66">
        <f t="shared" si="212"/>
        <v>2.3812530000000001</v>
      </c>
      <c r="S1009" s="64">
        <f t="shared" si="213"/>
        <v>11.25</v>
      </c>
      <c r="T1009" s="66">
        <f t="shared" si="214"/>
        <v>149.702853</v>
      </c>
      <c r="U1009" s="68">
        <f t="shared" si="215"/>
        <v>49.900950999999999</v>
      </c>
      <c r="V1009" s="68">
        <f t="shared" si="216"/>
        <v>445.54420535714291</v>
      </c>
      <c r="W1009" s="68">
        <f t="shared" si="217"/>
        <v>297.02947023809526</v>
      </c>
    </row>
    <row r="1010" spans="1:23" x14ac:dyDescent="0.25">
      <c r="A1010" t="s">
        <v>894</v>
      </c>
      <c r="B1010" s="37" t="s">
        <v>397</v>
      </c>
      <c r="C1010" t="s">
        <v>591</v>
      </c>
      <c r="D1010" t="s">
        <v>594</v>
      </c>
      <c r="E1010" t="s">
        <v>376</v>
      </c>
      <c r="F1010" s="62" t="str">
        <f t="shared" si="206"/>
        <v>64553</v>
      </c>
      <c r="G1010" s="1">
        <v>10620031</v>
      </c>
      <c r="H1010" s="1" t="s">
        <v>387</v>
      </c>
      <c r="I1010" s="61">
        <v>9</v>
      </c>
      <c r="J1010" s="61">
        <v>6.2</v>
      </c>
      <c r="K1010" s="61">
        <v>8.5</v>
      </c>
      <c r="L1010" s="69">
        <f t="shared" si="207"/>
        <v>0.55800000000000005</v>
      </c>
      <c r="M1010" s="69">
        <f t="shared" si="208"/>
        <v>0.76500000000000001</v>
      </c>
      <c r="N1010" s="56">
        <f>INDEX(Rate_Chart!$A$1:$AK$127,MATCH(Data!J1010,Rate_Chart!$A$1:$A$127,0),MATCH(Data!K1010,Rate_Chart!$A$1:$AK$1,0))</f>
        <v>50.216900000000003</v>
      </c>
      <c r="O1010" s="57">
        <f t="shared" si="209"/>
        <v>451.95210000000003</v>
      </c>
      <c r="P1010" s="58">
        <f t="shared" si="210"/>
        <v>423.1761235955056</v>
      </c>
      <c r="Q1010" s="58">
        <f t="shared" si="211"/>
        <v>282.11741573033709</v>
      </c>
      <c r="R1010" s="66">
        <f t="shared" si="212"/>
        <v>7.9091617500000009</v>
      </c>
      <c r="S1010" s="64">
        <f t="shared" si="213"/>
        <v>33.75</v>
      </c>
      <c r="T1010" s="66">
        <f t="shared" si="214"/>
        <v>493.61126175000004</v>
      </c>
      <c r="U1010" s="68">
        <f t="shared" si="215"/>
        <v>54.845695750000004</v>
      </c>
      <c r="V1010" s="68">
        <f t="shared" si="216"/>
        <v>462.18282935393262</v>
      </c>
      <c r="W1010" s="68">
        <f t="shared" si="217"/>
        <v>308.12188623595506</v>
      </c>
    </row>
    <row r="1011" spans="1:23" x14ac:dyDescent="0.25">
      <c r="A1011" t="s">
        <v>888</v>
      </c>
      <c r="B1011" s="37" t="s">
        <v>396</v>
      </c>
      <c r="C1011" t="s">
        <v>591</v>
      </c>
      <c r="D1011" t="s">
        <v>869</v>
      </c>
      <c r="E1011" t="s">
        <v>377</v>
      </c>
      <c r="F1011" s="62" t="str">
        <f t="shared" si="206"/>
        <v>64555</v>
      </c>
      <c r="G1011" s="1">
        <v>10620017</v>
      </c>
      <c r="H1011" s="1" t="s">
        <v>388</v>
      </c>
      <c r="I1011" s="61">
        <v>22</v>
      </c>
      <c r="J1011" s="61">
        <v>3</v>
      </c>
      <c r="K1011" s="61">
        <v>8</v>
      </c>
      <c r="L1011" s="69">
        <f t="shared" si="207"/>
        <v>0.66</v>
      </c>
      <c r="M1011" s="69">
        <f t="shared" si="208"/>
        <v>1.76</v>
      </c>
      <c r="N1011" s="56">
        <f>INDEX(Rate_Chart!$A$1:$AK$127,MATCH(Data!J1011,Rate_Chart!$A$1:$A$127,0),MATCH(Data!K1011,Rate_Chart!$A$1:$AK$1,0))</f>
        <v>34.751112000000006</v>
      </c>
      <c r="O1011" s="57">
        <f t="shared" si="209"/>
        <v>764.52446400000008</v>
      </c>
      <c r="P1011" s="58">
        <f t="shared" si="210"/>
        <v>417.01334400000002</v>
      </c>
      <c r="Q1011" s="58">
        <f t="shared" si="211"/>
        <v>278.00889599999999</v>
      </c>
      <c r="R1011" s="66">
        <f t="shared" si="212"/>
        <v>13.379178120000002</v>
      </c>
      <c r="S1011" s="64">
        <f t="shared" si="213"/>
        <v>82.5</v>
      </c>
      <c r="T1011" s="66">
        <f t="shared" si="214"/>
        <v>860.40364212000009</v>
      </c>
      <c r="U1011" s="68">
        <f t="shared" si="215"/>
        <v>39.109256460000005</v>
      </c>
      <c r="V1011" s="68">
        <f t="shared" si="216"/>
        <v>469.31107752000003</v>
      </c>
      <c r="W1011" s="68">
        <f t="shared" si="217"/>
        <v>312.87405168000004</v>
      </c>
    </row>
    <row r="1012" spans="1:23" x14ac:dyDescent="0.25">
      <c r="A1012" t="s">
        <v>888</v>
      </c>
      <c r="B1012" s="37" t="s">
        <v>397</v>
      </c>
      <c r="C1012" t="s">
        <v>591</v>
      </c>
      <c r="D1012" t="s">
        <v>869</v>
      </c>
      <c r="E1012" t="s">
        <v>377</v>
      </c>
      <c r="F1012" s="62" t="str">
        <f t="shared" si="206"/>
        <v>64555</v>
      </c>
      <c r="G1012" s="1">
        <v>10620017</v>
      </c>
      <c r="H1012" s="1" t="s">
        <v>388</v>
      </c>
      <c r="I1012" s="61">
        <v>14</v>
      </c>
      <c r="J1012" s="61">
        <v>3</v>
      </c>
      <c r="K1012" s="61">
        <v>8</v>
      </c>
      <c r="L1012" s="69">
        <f t="shared" si="207"/>
        <v>0.42</v>
      </c>
      <c r="M1012" s="69">
        <f t="shared" si="208"/>
        <v>1.1200000000000001</v>
      </c>
      <c r="N1012" s="56">
        <f>INDEX(Rate_Chart!$A$1:$AK$127,MATCH(Data!J1012,Rate_Chart!$A$1:$A$127,0),MATCH(Data!K1012,Rate_Chart!$A$1:$AK$1,0))</f>
        <v>34.751112000000006</v>
      </c>
      <c r="O1012" s="57">
        <f t="shared" si="209"/>
        <v>486.51556800000009</v>
      </c>
      <c r="P1012" s="58">
        <f t="shared" si="210"/>
        <v>417.01334400000002</v>
      </c>
      <c r="Q1012" s="58">
        <f t="shared" si="211"/>
        <v>278.00889599999999</v>
      </c>
      <c r="R1012" s="66">
        <f t="shared" si="212"/>
        <v>8.5140224400000015</v>
      </c>
      <c r="S1012" s="64">
        <f t="shared" si="213"/>
        <v>52.5</v>
      </c>
      <c r="T1012" s="66">
        <f t="shared" si="214"/>
        <v>547.52959044000011</v>
      </c>
      <c r="U1012" s="68">
        <f t="shared" si="215"/>
        <v>39.109256460000005</v>
      </c>
      <c r="V1012" s="68">
        <f t="shared" si="216"/>
        <v>469.31107752000003</v>
      </c>
      <c r="W1012" s="68">
        <f t="shared" si="217"/>
        <v>312.87405168000004</v>
      </c>
    </row>
    <row r="1013" spans="1:23" x14ac:dyDescent="0.25">
      <c r="A1013" t="s">
        <v>889</v>
      </c>
      <c r="B1013" s="37" t="s">
        <v>396</v>
      </c>
      <c r="C1013" t="s">
        <v>591</v>
      </c>
      <c r="D1013" t="s">
        <v>869</v>
      </c>
      <c r="E1013" t="s">
        <v>377</v>
      </c>
      <c r="F1013" s="62" t="str">
        <f t="shared" si="206"/>
        <v>64555</v>
      </c>
      <c r="G1013" s="1">
        <v>10620017</v>
      </c>
      <c r="H1013" s="1" t="s">
        <v>388</v>
      </c>
      <c r="I1013" s="61">
        <v>23</v>
      </c>
      <c r="J1013" s="61">
        <v>3</v>
      </c>
      <c r="K1013" s="61">
        <v>8</v>
      </c>
      <c r="L1013" s="69">
        <f t="shared" si="207"/>
        <v>0.69</v>
      </c>
      <c r="M1013" s="69">
        <f t="shared" si="208"/>
        <v>1.84</v>
      </c>
      <c r="N1013" s="56">
        <f>INDEX(Rate_Chart!$A$1:$AK$127,MATCH(Data!J1013,Rate_Chart!$A$1:$A$127,0),MATCH(Data!K1013,Rate_Chart!$A$1:$AK$1,0))</f>
        <v>34.751112000000006</v>
      </c>
      <c r="O1013" s="57">
        <f t="shared" si="209"/>
        <v>799.27557600000011</v>
      </c>
      <c r="P1013" s="58">
        <f t="shared" si="210"/>
        <v>417.01334400000002</v>
      </c>
      <c r="Q1013" s="58">
        <f t="shared" si="211"/>
        <v>278.00889599999999</v>
      </c>
      <c r="R1013" s="66">
        <f t="shared" si="212"/>
        <v>13.987322580000003</v>
      </c>
      <c r="S1013" s="64">
        <f t="shared" si="213"/>
        <v>86.25</v>
      </c>
      <c r="T1013" s="66">
        <f t="shared" si="214"/>
        <v>899.51289858000007</v>
      </c>
      <c r="U1013" s="68">
        <f t="shared" si="215"/>
        <v>39.109256460000005</v>
      </c>
      <c r="V1013" s="68">
        <f t="shared" si="216"/>
        <v>469.31107752000003</v>
      </c>
      <c r="W1013" s="68">
        <f t="shared" si="217"/>
        <v>312.87405168000004</v>
      </c>
    </row>
    <row r="1014" spans="1:23" x14ac:dyDescent="0.25">
      <c r="A1014" t="s">
        <v>889</v>
      </c>
      <c r="B1014" s="37" t="s">
        <v>397</v>
      </c>
      <c r="C1014" t="s">
        <v>591</v>
      </c>
      <c r="D1014" t="s">
        <v>869</v>
      </c>
      <c r="E1014" t="s">
        <v>377</v>
      </c>
      <c r="F1014" s="62" t="str">
        <f t="shared" si="206"/>
        <v>64555</v>
      </c>
      <c r="G1014" s="1">
        <v>10620017</v>
      </c>
      <c r="H1014" s="1" t="s">
        <v>388</v>
      </c>
      <c r="I1014" s="61">
        <v>24</v>
      </c>
      <c r="J1014" s="61">
        <v>3</v>
      </c>
      <c r="K1014" s="61">
        <v>8</v>
      </c>
      <c r="L1014" s="69">
        <f t="shared" si="207"/>
        <v>0.72</v>
      </c>
      <c r="M1014" s="69">
        <f t="shared" si="208"/>
        <v>1.92</v>
      </c>
      <c r="N1014" s="56">
        <f>INDEX(Rate_Chart!$A$1:$AK$127,MATCH(Data!J1014,Rate_Chart!$A$1:$A$127,0),MATCH(Data!K1014,Rate_Chart!$A$1:$AK$1,0))</f>
        <v>34.751112000000006</v>
      </c>
      <c r="O1014" s="57">
        <f t="shared" si="209"/>
        <v>834.02668800000015</v>
      </c>
      <c r="P1014" s="58">
        <f t="shared" si="210"/>
        <v>417.01334400000002</v>
      </c>
      <c r="Q1014" s="58">
        <f t="shared" si="211"/>
        <v>278.00889599999999</v>
      </c>
      <c r="R1014" s="66">
        <f t="shared" si="212"/>
        <v>14.595467040000004</v>
      </c>
      <c r="S1014" s="64">
        <f t="shared" si="213"/>
        <v>90</v>
      </c>
      <c r="T1014" s="66">
        <f t="shared" si="214"/>
        <v>938.62215504000017</v>
      </c>
      <c r="U1014" s="68">
        <f t="shared" si="215"/>
        <v>39.109256460000005</v>
      </c>
      <c r="V1014" s="68">
        <f t="shared" si="216"/>
        <v>469.31107752000003</v>
      </c>
      <c r="W1014" s="68">
        <f t="shared" si="217"/>
        <v>312.87405168000004</v>
      </c>
    </row>
    <row r="1015" spans="1:23" x14ac:dyDescent="0.25">
      <c r="A1015" t="s">
        <v>890</v>
      </c>
      <c r="B1015" s="37" t="s">
        <v>396</v>
      </c>
      <c r="C1015" t="s">
        <v>591</v>
      </c>
      <c r="D1015" t="s">
        <v>869</v>
      </c>
      <c r="E1015" t="s">
        <v>377</v>
      </c>
      <c r="F1015" s="62" t="str">
        <f t="shared" si="206"/>
        <v>64555</v>
      </c>
      <c r="G1015" s="1">
        <v>10620017</v>
      </c>
      <c r="H1015" s="1" t="s">
        <v>388</v>
      </c>
      <c r="I1015" s="61">
        <v>31</v>
      </c>
      <c r="J1015" s="61">
        <v>3</v>
      </c>
      <c r="K1015" s="61">
        <v>8</v>
      </c>
      <c r="L1015" s="69">
        <f t="shared" si="207"/>
        <v>0.93</v>
      </c>
      <c r="M1015" s="69">
        <f t="shared" si="208"/>
        <v>2.48</v>
      </c>
      <c r="N1015" s="56">
        <f>INDEX(Rate_Chart!$A$1:$AK$127,MATCH(Data!J1015,Rate_Chart!$A$1:$A$127,0),MATCH(Data!K1015,Rate_Chart!$A$1:$AK$1,0))</f>
        <v>34.751112000000006</v>
      </c>
      <c r="O1015" s="57">
        <f t="shared" si="209"/>
        <v>1077.2844720000003</v>
      </c>
      <c r="P1015" s="58">
        <f t="shared" si="210"/>
        <v>417.01334400000002</v>
      </c>
      <c r="Q1015" s="58">
        <f t="shared" si="211"/>
        <v>278.00889599999999</v>
      </c>
      <c r="R1015" s="66">
        <f t="shared" si="212"/>
        <v>18.852478260000005</v>
      </c>
      <c r="S1015" s="64">
        <f t="shared" si="213"/>
        <v>116.25</v>
      </c>
      <c r="T1015" s="66">
        <f t="shared" si="214"/>
        <v>1212.3869502600003</v>
      </c>
      <c r="U1015" s="68">
        <f t="shared" si="215"/>
        <v>39.109256460000012</v>
      </c>
      <c r="V1015" s="68">
        <f t="shared" si="216"/>
        <v>469.31107752000008</v>
      </c>
      <c r="W1015" s="68">
        <f t="shared" si="217"/>
        <v>312.87405168000004</v>
      </c>
    </row>
    <row r="1016" spans="1:23" x14ac:dyDescent="0.25">
      <c r="A1016" t="s">
        <v>890</v>
      </c>
      <c r="B1016" s="37" t="s">
        <v>397</v>
      </c>
      <c r="C1016" t="s">
        <v>591</v>
      </c>
      <c r="D1016" t="s">
        <v>869</v>
      </c>
      <c r="E1016" t="s">
        <v>377</v>
      </c>
      <c r="F1016" s="62" t="str">
        <f t="shared" si="206"/>
        <v>64555</v>
      </c>
      <c r="G1016" s="1">
        <v>10620017</v>
      </c>
      <c r="H1016" s="1" t="s">
        <v>388</v>
      </c>
      <c r="I1016" s="61">
        <v>24</v>
      </c>
      <c r="J1016" s="61">
        <v>3</v>
      </c>
      <c r="K1016" s="61">
        <v>8</v>
      </c>
      <c r="L1016" s="69">
        <f t="shared" si="207"/>
        <v>0.72</v>
      </c>
      <c r="M1016" s="69">
        <f t="shared" si="208"/>
        <v>1.92</v>
      </c>
      <c r="N1016" s="56">
        <f>INDEX(Rate_Chart!$A$1:$AK$127,MATCH(Data!J1016,Rate_Chart!$A$1:$A$127,0),MATCH(Data!K1016,Rate_Chart!$A$1:$AK$1,0))</f>
        <v>34.751112000000006</v>
      </c>
      <c r="O1016" s="57">
        <f t="shared" si="209"/>
        <v>834.02668800000015</v>
      </c>
      <c r="P1016" s="58">
        <f t="shared" si="210"/>
        <v>417.01334400000002</v>
      </c>
      <c r="Q1016" s="58">
        <f t="shared" si="211"/>
        <v>278.00889599999999</v>
      </c>
      <c r="R1016" s="66">
        <f t="shared" si="212"/>
        <v>14.595467040000004</v>
      </c>
      <c r="S1016" s="64">
        <f t="shared" si="213"/>
        <v>90</v>
      </c>
      <c r="T1016" s="66">
        <f t="shared" si="214"/>
        <v>938.62215504000017</v>
      </c>
      <c r="U1016" s="68">
        <f t="shared" si="215"/>
        <v>39.109256460000005</v>
      </c>
      <c r="V1016" s="68">
        <f t="shared" si="216"/>
        <v>469.31107752000003</v>
      </c>
      <c r="W1016" s="68">
        <f t="shared" si="217"/>
        <v>312.87405168000004</v>
      </c>
    </row>
    <row r="1017" spans="1:23" x14ac:dyDescent="0.25">
      <c r="A1017" t="s">
        <v>891</v>
      </c>
      <c r="B1017" s="37" t="s">
        <v>396</v>
      </c>
      <c r="C1017" t="s">
        <v>591</v>
      </c>
      <c r="D1017" t="s">
        <v>869</v>
      </c>
      <c r="E1017" t="s">
        <v>377</v>
      </c>
      <c r="F1017" s="62" t="str">
        <f t="shared" si="206"/>
        <v>64555</v>
      </c>
      <c r="G1017" s="1">
        <v>10620017</v>
      </c>
      <c r="H1017" s="1" t="s">
        <v>388</v>
      </c>
      <c r="I1017" s="61">
        <v>25</v>
      </c>
      <c r="J1017" s="61">
        <v>3</v>
      </c>
      <c r="K1017" s="61">
        <v>8</v>
      </c>
      <c r="L1017" s="69">
        <f t="shared" si="207"/>
        <v>0.75</v>
      </c>
      <c r="M1017" s="69">
        <f t="shared" si="208"/>
        <v>2</v>
      </c>
      <c r="N1017" s="56">
        <f>INDEX(Rate_Chart!$A$1:$AK$127,MATCH(Data!J1017,Rate_Chart!$A$1:$A$127,0),MATCH(Data!K1017,Rate_Chart!$A$1:$AK$1,0))</f>
        <v>34.751112000000006</v>
      </c>
      <c r="O1017" s="57">
        <f t="shared" si="209"/>
        <v>868.77780000000018</v>
      </c>
      <c r="P1017" s="58">
        <f t="shared" si="210"/>
        <v>417.01334400000002</v>
      </c>
      <c r="Q1017" s="58">
        <f t="shared" si="211"/>
        <v>278.00889599999999</v>
      </c>
      <c r="R1017" s="66">
        <f t="shared" si="212"/>
        <v>15.203611500000004</v>
      </c>
      <c r="S1017" s="64">
        <f t="shared" si="213"/>
        <v>93.75</v>
      </c>
      <c r="T1017" s="66">
        <f t="shared" si="214"/>
        <v>977.73141150000015</v>
      </c>
      <c r="U1017" s="68">
        <f t="shared" si="215"/>
        <v>39.109256460000005</v>
      </c>
      <c r="V1017" s="68">
        <f t="shared" si="216"/>
        <v>469.31107752000003</v>
      </c>
      <c r="W1017" s="68">
        <f t="shared" si="217"/>
        <v>312.87405168000004</v>
      </c>
    </row>
    <row r="1018" spans="1:23" x14ac:dyDescent="0.25">
      <c r="A1018" t="s">
        <v>891</v>
      </c>
      <c r="B1018" s="37" t="s">
        <v>397</v>
      </c>
      <c r="C1018" t="s">
        <v>591</v>
      </c>
      <c r="D1018" t="s">
        <v>869</v>
      </c>
      <c r="E1018" t="s">
        <v>377</v>
      </c>
      <c r="F1018" s="62" t="str">
        <f t="shared" si="206"/>
        <v>64555</v>
      </c>
      <c r="G1018" s="1">
        <v>10620017</v>
      </c>
      <c r="H1018" s="1" t="s">
        <v>388</v>
      </c>
      <c r="I1018" s="61">
        <v>24</v>
      </c>
      <c r="J1018" s="61">
        <v>3.3</v>
      </c>
      <c r="K1018" s="61">
        <v>8</v>
      </c>
      <c r="L1018" s="69">
        <f t="shared" si="207"/>
        <v>0.79199999999999993</v>
      </c>
      <c r="M1018" s="69">
        <f t="shared" si="208"/>
        <v>1.92</v>
      </c>
      <c r="N1018" s="56">
        <f>INDEX(Rate_Chart!$A$1:$AK$127,MATCH(Data!J1018,Rate_Chart!$A$1:$A$127,0),MATCH(Data!K1018,Rate_Chart!$A$1:$AK$1,0))</f>
        <v>36.002112000000004</v>
      </c>
      <c r="O1018" s="57">
        <f t="shared" si="209"/>
        <v>864.05068800000004</v>
      </c>
      <c r="P1018" s="58">
        <f t="shared" si="210"/>
        <v>417.01288030888031</v>
      </c>
      <c r="Q1018" s="58">
        <f t="shared" si="211"/>
        <v>278.00858687258687</v>
      </c>
      <c r="R1018" s="66">
        <f t="shared" si="212"/>
        <v>15.120887040000001</v>
      </c>
      <c r="S1018" s="64">
        <f t="shared" si="213"/>
        <v>90</v>
      </c>
      <c r="T1018" s="66">
        <f t="shared" si="214"/>
        <v>969.17157503999999</v>
      </c>
      <c r="U1018" s="68">
        <f t="shared" si="215"/>
        <v>40.382148960000002</v>
      </c>
      <c r="V1018" s="68">
        <f t="shared" si="216"/>
        <v>467.74689915057911</v>
      </c>
      <c r="W1018" s="68">
        <f t="shared" si="217"/>
        <v>311.83126610038607</v>
      </c>
    </row>
    <row r="1019" spans="1:23" x14ac:dyDescent="0.25">
      <c r="A1019" t="s">
        <v>892</v>
      </c>
      <c r="B1019" s="37" t="s">
        <v>396</v>
      </c>
      <c r="C1019" t="s">
        <v>591</v>
      </c>
      <c r="D1019" t="s">
        <v>869</v>
      </c>
      <c r="E1019" t="s">
        <v>377</v>
      </c>
      <c r="F1019" s="62" t="str">
        <f t="shared" si="206"/>
        <v>64555</v>
      </c>
      <c r="G1019" s="1">
        <v>10620017</v>
      </c>
      <c r="H1019" s="1" t="s">
        <v>388</v>
      </c>
      <c r="I1019" s="61">
        <v>22</v>
      </c>
      <c r="J1019" s="61">
        <v>3.1</v>
      </c>
      <c r="K1019" s="61">
        <v>8</v>
      </c>
      <c r="L1019" s="69">
        <f t="shared" si="207"/>
        <v>0.68200000000000005</v>
      </c>
      <c r="M1019" s="69">
        <f t="shared" si="208"/>
        <v>1.76</v>
      </c>
      <c r="N1019" s="56">
        <f>INDEX(Rate_Chart!$A$1:$AK$127,MATCH(Data!J1019,Rate_Chart!$A$1:$A$127,0),MATCH(Data!K1019,Rate_Chart!$A$1:$AK$1,0))</f>
        <v>35.168112000000008</v>
      </c>
      <c r="O1019" s="57">
        <f t="shared" si="209"/>
        <v>773.69846400000017</v>
      </c>
      <c r="P1019" s="58">
        <f t="shared" si="210"/>
        <v>417.01318577075102</v>
      </c>
      <c r="Q1019" s="58">
        <f t="shared" si="211"/>
        <v>278.00879051383401</v>
      </c>
      <c r="R1019" s="66">
        <f t="shared" si="212"/>
        <v>13.539723120000005</v>
      </c>
      <c r="S1019" s="64">
        <f t="shared" si="213"/>
        <v>82.5</v>
      </c>
      <c r="T1019" s="66">
        <f t="shared" si="214"/>
        <v>869.73818712000013</v>
      </c>
      <c r="U1019" s="68">
        <f t="shared" si="215"/>
        <v>39.533553960000006</v>
      </c>
      <c r="V1019" s="68">
        <f t="shared" si="216"/>
        <v>468.77731968379447</v>
      </c>
      <c r="W1019" s="68">
        <f t="shared" si="217"/>
        <v>312.51821312252963</v>
      </c>
    </row>
    <row r="1020" spans="1:23" x14ac:dyDescent="0.25">
      <c r="A1020" t="s">
        <v>892</v>
      </c>
      <c r="B1020" s="37" t="s">
        <v>397</v>
      </c>
      <c r="C1020" t="s">
        <v>591</v>
      </c>
      <c r="D1020" t="s">
        <v>869</v>
      </c>
      <c r="E1020" t="s">
        <v>377</v>
      </c>
      <c r="F1020" s="62" t="str">
        <f t="shared" si="206"/>
        <v>64555</v>
      </c>
      <c r="G1020" s="1">
        <v>10620017</v>
      </c>
      <c r="H1020" s="1" t="s">
        <v>388</v>
      </c>
      <c r="I1020" s="61">
        <v>24</v>
      </c>
      <c r="J1020" s="61">
        <v>3.1</v>
      </c>
      <c r="K1020" s="61">
        <v>8</v>
      </c>
      <c r="L1020" s="69">
        <f t="shared" si="207"/>
        <v>0.74400000000000011</v>
      </c>
      <c r="M1020" s="69">
        <f t="shared" si="208"/>
        <v>1.92</v>
      </c>
      <c r="N1020" s="56">
        <f>INDEX(Rate_Chart!$A$1:$AK$127,MATCH(Data!J1020,Rate_Chart!$A$1:$A$127,0),MATCH(Data!K1020,Rate_Chart!$A$1:$AK$1,0))</f>
        <v>35.168112000000008</v>
      </c>
      <c r="O1020" s="57">
        <f t="shared" si="209"/>
        <v>844.03468800000019</v>
      </c>
      <c r="P1020" s="58">
        <f t="shared" si="210"/>
        <v>417.01318577075102</v>
      </c>
      <c r="Q1020" s="58">
        <f t="shared" si="211"/>
        <v>278.00879051383401</v>
      </c>
      <c r="R1020" s="66">
        <f t="shared" si="212"/>
        <v>14.770607040000005</v>
      </c>
      <c r="S1020" s="64">
        <f t="shared" si="213"/>
        <v>90</v>
      </c>
      <c r="T1020" s="66">
        <f t="shared" si="214"/>
        <v>948.80529504000015</v>
      </c>
      <c r="U1020" s="68">
        <f t="shared" si="215"/>
        <v>39.533553960000006</v>
      </c>
      <c r="V1020" s="68">
        <f t="shared" si="216"/>
        <v>468.77731968379447</v>
      </c>
      <c r="W1020" s="68">
        <f t="shared" si="217"/>
        <v>312.51821312252963</v>
      </c>
    </row>
    <row r="1021" spans="1:23" x14ac:dyDescent="0.25">
      <c r="A1021" t="s">
        <v>893</v>
      </c>
      <c r="B1021" s="37" t="s">
        <v>396</v>
      </c>
      <c r="C1021" t="s">
        <v>591</v>
      </c>
      <c r="D1021" t="s">
        <v>869</v>
      </c>
      <c r="E1021" t="s">
        <v>377</v>
      </c>
      <c r="F1021" s="62" t="str">
        <f t="shared" si="206"/>
        <v>64555</v>
      </c>
      <c r="G1021" s="1">
        <v>10620017</v>
      </c>
      <c r="H1021" s="1" t="s">
        <v>388</v>
      </c>
      <c r="I1021" s="61">
        <v>22</v>
      </c>
      <c r="J1021" s="61">
        <v>3</v>
      </c>
      <c r="K1021" s="61">
        <v>8</v>
      </c>
      <c r="L1021" s="69">
        <f t="shared" si="207"/>
        <v>0.66</v>
      </c>
      <c r="M1021" s="69">
        <f t="shared" si="208"/>
        <v>1.76</v>
      </c>
      <c r="N1021" s="56">
        <f>INDEX(Rate_Chart!$A$1:$AK$127,MATCH(Data!J1021,Rate_Chart!$A$1:$A$127,0),MATCH(Data!K1021,Rate_Chart!$A$1:$AK$1,0))</f>
        <v>34.751112000000006</v>
      </c>
      <c r="O1021" s="57">
        <f t="shared" si="209"/>
        <v>764.52446400000008</v>
      </c>
      <c r="P1021" s="58">
        <f t="shared" si="210"/>
        <v>417.01334400000002</v>
      </c>
      <c r="Q1021" s="58">
        <f t="shared" si="211"/>
        <v>278.00889599999999</v>
      </c>
      <c r="R1021" s="66">
        <f t="shared" si="212"/>
        <v>13.379178120000002</v>
      </c>
      <c r="S1021" s="64">
        <f t="shared" si="213"/>
        <v>82.5</v>
      </c>
      <c r="T1021" s="66">
        <f t="shared" si="214"/>
        <v>860.40364212000009</v>
      </c>
      <c r="U1021" s="68">
        <f t="shared" si="215"/>
        <v>39.109256460000005</v>
      </c>
      <c r="V1021" s="68">
        <f t="shared" si="216"/>
        <v>469.31107752000003</v>
      </c>
      <c r="W1021" s="68">
        <f t="shared" si="217"/>
        <v>312.87405168000004</v>
      </c>
    </row>
    <row r="1022" spans="1:23" x14ac:dyDescent="0.25">
      <c r="A1022" t="s">
        <v>893</v>
      </c>
      <c r="B1022" s="37" t="s">
        <v>397</v>
      </c>
      <c r="C1022" t="s">
        <v>591</v>
      </c>
      <c r="D1022" t="s">
        <v>869</v>
      </c>
      <c r="E1022" t="s">
        <v>377</v>
      </c>
      <c r="F1022" s="62" t="str">
        <f t="shared" si="206"/>
        <v>64555</v>
      </c>
      <c r="G1022" s="1">
        <v>10620017</v>
      </c>
      <c r="H1022" s="1" t="s">
        <v>388</v>
      </c>
      <c r="I1022" s="61">
        <v>15</v>
      </c>
      <c r="J1022" s="61">
        <v>3.1</v>
      </c>
      <c r="K1022" s="61">
        <v>8</v>
      </c>
      <c r="L1022" s="69">
        <f t="shared" si="207"/>
        <v>0.46500000000000002</v>
      </c>
      <c r="M1022" s="69">
        <f t="shared" si="208"/>
        <v>1.2</v>
      </c>
      <c r="N1022" s="56">
        <f>INDEX(Rate_Chart!$A$1:$AK$127,MATCH(Data!J1022,Rate_Chart!$A$1:$A$127,0),MATCH(Data!K1022,Rate_Chart!$A$1:$AK$1,0))</f>
        <v>35.168112000000008</v>
      </c>
      <c r="O1022" s="57">
        <f t="shared" si="209"/>
        <v>527.52168000000006</v>
      </c>
      <c r="P1022" s="58">
        <f t="shared" si="210"/>
        <v>417.01318577075102</v>
      </c>
      <c r="Q1022" s="58">
        <f t="shared" si="211"/>
        <v>278.00879051383401</v>
      </c>
      <c r="R1022" s="66">
        <f t="shared" si="212"/>
        <v>9.2316294000000028</v>
      </c>
      <c r="S1022" s="64">
        <f t="shared" si="213"/>
        <v>56.25</v>
      </c>
      <c r="T1022" s="66">
        <f t="shared" si="214"/>
        <v>593.00330940000003</v>
      </c>
      <c r="U1022" s="68">
        <f t="shared" si="215"/>
        <v>39.533553959999999</v>
      </c>
      <c r="V1022" s="68">
        <f t="shared" si="216"/>
        <v>468.77731968379442</v>
      </c>
      <c r="W1022" s="68">
        <f t="shared" si="217"/>
        <v>312.51821312252963</v>
      </c>
    </row>
    <row r="1023" spans="1:23" x14ac:dyDescent="0.25">
      <c r="A1023" t="s">
        <v>894</v>
      </c>
      <c r="B1023" s="37" t="s">
        <v>396</v>
      </c>
      <c r="C1023" t="s">
        <v>591</v>
      </c>
      <c r="D1023" t="s">
        <v>869</v>
      </c>
      <c r="E1023" t="s">
        <v>377</v>
      </c>
      <c r="F1023" s="62" t="str">
        <f t="shared" si="206"/>
        <v>64555</v>
      </c>
      <c r="G1023" s="1">
        <v>10620017</v>
      </c>
      <c r="H1023" s="1" t="s">
        <v>388</v>
      </c>
      <c r="I1023" s="61">
        <v>22</v>
      </c>
      <c r="J1023" s="61">
        <v>3</v>
      </c>
      <c r="K1023" s="61">
        <v>8</v>
      </c>
      <c r="L1023" s="69">
        <f t="shared" si="207"/>
        <v>0.66</v>
      </c>
      <c r="M1023" s="69">
        <f t="shared" si="208"/>
        <v>1.76</v>
      </c>
      <c r="N1023" s="56">
        <f>INDEX(Rate_Chart!$A$1:$AK$127,MATCH(Data!J1023,Rate_Chart!$A$1:$A$127,0),MATCH(Data!K1023,Rate_Chart!$A$1:$AK$1,0))</f>
        <v>34.751112000000006</v>
      </c>
      <c r="O1023" s="57">
        <f t="shared" si="209"/>
        <v>764.52446400000008</v>
      </c>
      <c r="P1023" s="58">
        <f t="shared" si="210"/>
        <v>417.01334400000002</v>
      </c>
      <c r="Q1023" s="58">
        <f t="shared" si="211"/>
        <v>278.00889599999999</v>
      </c>
      <c r="R1023" s="66">
        <f t="shared" si="212"/>
        <v>13.379178120000002</v>
      </c>
      <c r="S1023" s="64">
        <f t="shared" si="213"/>
        <v>82.5</v>
      </c>
      <c r="T1023" s="66">
        <f t="shared" si="214"/>
        <v>860.40364212000009</v>
      </c>
      <c r="U1023" s="68">
        <f t="shared" si="215"/>
        <v>39.109256460000005</v>
      </c>
      <c r="V1023" s="68">
        <f t="shared" si="216"/>
        <v>469.31107752000003</v>
      </c>
      <c r="W1023" s="68">
        <f t="shared" si="217"/>
        <v>312.87405168000004</v>
      </c>
    </row>
    <row r="1024" spans="1:23" x14ac:dyDescent="0.25">
      <c r="A1024" t="s">
        <v>894</v>
      </c>
      <c r="B1024" s="37" t="s">
        <v>397</v>
      </c>
      <c r="C1024" t="s">
        <v>591</v>
      </c>
      <c r="D1024" t="s">
        <v>869</v>
      </c>
      <c r="E1024" t="s">
        <v>377</v>
      </c>
      <c r="F1024" s="62" t="str">
        <f t="shared" si="206"/>
        <v>64555</v>
      </c>
      <c r="G1024" s="1">
        <v>10620017</v>
      </c>
      <c r="H1024" s="1" t="s">
        <v>388</v>
      </c>
      <c r="I1024" s="61">
        <v>14</v>
      </c>
      <c r="J1024" s="61">
        <v>3</v>
      </c>
      <c r="K1024" s="61">
        <v>8</v>
      </c>
      <c r="L1024" s="69">
        <f t="shared" si="207"/>
        <v>0.42</v>
      </c>
      <c r="M1024" s="69">
        <f t="shared" si="208"/>
        <v>1.1200000000000001</v>
      </c>
      <c r="N1024" s="56">
        <f>INDEX(Rate_Chart!$A$1:$AK$127,MATCH(Data!J1024,Rate_Chart!$A$1:$A$127,0),MATCH(Data!K1024,Rate_Chart!$A$1:$AK$1,0))</f>
        <v>34.751112000000006</v>
      </c>
      <c r="O1024" s="57">
        <f t="shared" si="209"/>
        <v>486.51556800000009</v>
      </c>
      <c r="P1024" s="58">
        <f t="shared" si="210"/>
        <v>417.01334400000002</v>
      </c>
      <c r="Q1024" s="58">
        <f t="shared" si="211"/>
        <v>278.00889599999999</v>
      </c>
      <c r="R1024" s="66">
        <f t="shared" si="212"/>
        <v>8.5140224400000015</v>
      </c>
      <c r="S1024" s="64">
        <f t="shared" si="213"/>
        <v>52.5</v>
      </c>
      <c r="T1024" s="66">
        <f t="shared" si="214"/>
        <v>547.52959044000011</v>
      </c>
      <c r="U1024" s="68">
        <f t="shared" si="215"/>
        <v>39.109256460000005</v>
      </c>
      <c r="V1024" s="68">
        <f t="shared" si="216"/>
        <v>469.31107752000003</v>
      </c>
      <c r="W1024" s="68">
        <f t="shared" si="217"/>
        <v>312.87405168000004</v>
      </c>
    </row>
    <row r="1025" spans="1:23" x14ac:dyDescent="0.25">
      <c r="A1025" t="s">
        <v>888</v>
      </c>
      <c r="B1025" s="37" t="s">
        <v>396</v>
      </c>
      <c r="C1025" t="s">
        <v>591</v>
      </c>
      <c r="D1025" t="s">
        <v>595</v>
      </c>
      <c r="E1025" t="s">
        <v>378</v>
      </c>
      <c r="F1025" s="62" t="str">
        <f t="shared" si="206"/>
        <v>64556</v>
      </c>
      <c r="G1025" s="1">
        <v>10620011</v>
      </c>
      <c r="H1025" s="1" t="s">
        <v>387</v>
      </c>
      <c r="I1025" s="61">
        <v>36</v>
      </c>
      <c r="J1025" s="61">
        <v>7.6</v>
      </c>
      <c r="K1025" s="61">
        <v>9</v>
      </c>
      <c r="L1025" s="69">
        <f t="shared" si="207"/>
        <v>2.7359999999999998</v>
      </c>
      <c r="M1025" s="69">
        <f t="shared" si="208"/>
        <v>3.24</v>
      </c>
      <c r="N1025" s="56">
        <f>INDEX(Rate_Chart!$A$1:$AK$127,MATCH(Data!J1025,Rate_Chart!$A$1:$A$127,0),MATCH(Data!K1025,Rate_Chart!$A$1:$AK$1,0))</f>
        <v>63.46</v>
      </c>
      <c r="O1025" s="57">
        <f t="shared" si="209"/>
        <v>2284.56</v>
      </c>
      <c r="P1025" s="58">
        <f t="shared" si="210"/>
        <v>466.61764705882348</v>
      </c>
      <c r="Q1025" s="58">
        <f t="shared" si="211"/>
        <v>311.07843137254901</v>
      </c>
      <c r="R1025" s="66">
        <f t="shared" si="212"/>
        <v>39.979800000000004</v>
      </c>
      <c r="S1025" s="64">
        <f t="shared" si="213"/>
        <v>135</v>
      </c>
      <c r="T1025" s="66">
        <f t="shared" si="214"/>
        <v>2459.5398</v>
      </c>
      <c r="U1025" s="68">
        <f t="shared" si="215"/>
        <v>68.320549999999997</v>
      </c>
      <c r="V1025" s="68">
        <f t="shared" si="216"/>
        <v>502.35698529411758</v>
      </c>
      <c r="W1025" s="68">
        <f t="shared" si="217"/>
        <v>334.90465686274507</v>
      </c>
    </row>
    <row r="1026" spans="1:23" x14ac:dyDescent="0.25">
      <c r="A1026" t="s">
        <v>888</v>
      </c>
      <c r="B1026" s="37" t="s">
        <v>396</v>
      </c>
      <c r="C1026" t="s">
        <v>591</v>
      </c>
      <c r="D1026" t="s">
        <v>595</v>
      </c>
      <c r="E1026" t="s">
        <v>378</v>
      </c>
      <c r="F1026" s="62" t="str">
        <f t="shared" si="206"/>
        <v>64556</v>
      </c>
      <c r="G1026" s="1">
        <v>10620011</v>
      </c>
      <c r="H1026" s="1" t="s">
        <v>388</v>
      </c>
      <c r="I1026" s="61">
        <v>14</v>
      </c>
      <c r="J1026" s="61">
        <v>3.8</v>
      </c>
      <c r="K1026" s="61">
        <v>8</v>
      </c>
      <c r="L1026" s="69">
        <f t="shared" si="207"/>
        <v>0.53199999999999992</v>
      </c>
      <c r="M1026" s="69">
        <f t="shared" si="208"/>
        <v>1.1200000000000001</v>
      </c>
      <c r="N1026" s="56">
        <f>INDEX(Rate_Chart!$A$1:$AK$127,MATCH(Data!J1026,Rate_Chart!$A$1:$A$127,0),MATCH(Data!K1026,Rate_Chart!$A$1:$AK$1,0))</f>
        <v>38.087112000000005</v>
      </c>
      <c r="O1026" s="57">
        <f t="shared" si="209"/>
        <v>533.21956800000009</v>
      </c>
      <c r="P1026" s="58">
        <f t="shared" si="210"/>
        <v>417.01217518248177</v>
      </c>
      <c r="Q1026" s="58">
        <f t="shared" si="211"/>
        <v>278.00811678832116</v>
      </c>
      <c r="R1026" s="66">
        <f t="shared" si="212"/>
        <v>9.331342440000002</v>
      </c>
      <c r="S1026" s="64">
        <f t="shared" si="213"/>
        <v>52.5</v>
      </c>
      <c r="T1026" s="66">
        <f t="shared" si="214"/>
        <v>595.05091044000005</v>
      </c>
      <c r="U1026" s="68">
        <f t="shared" si="215"/>
        <v>42.503636460000003</v>
      </c>
      <c r="V1026" s="68">
        <f t="shared" si="216"/>
        <v>465.36828240875911</v>
      </c>
      <c r="W1026" s="68">
        <f t="shared" si="217"/>
        <v>310.24552160583943</v>
      </c>
    </row>
    <row r="1027" spans="1:23" x14ac:dyDescent="0.25">
      <c r="A1027" t="s">
        <v>888</v>
      </c>
      <c r="B1027" s="37" t="s">
        <v>397</v>
      </c>
      <c r="C1027" t="s">
        <v>591</v>
      </c>
      <c r="D1027" t="s">
        <v>595</v>
      </c>
      <c r="E1027" t="s">
        <v>378</v>
      </c>
      <c r="F1027" s="62" t="str">
        <f t="shared" si="206"/>
        <v>64556</v>
      </c>
      <c r="G1027" s="1">
        <v>10620011</v>
      </c>
      <c r="H1027" s="1" t="s">
        <v>387</v>
      </c>
      <c r="I1027" s="61">
        <v>24</v>
      </c>
      <c r="J1027" s="61">
        <v>7.3</v>
      </c>
      <c r="K1027" s="61">
        <v>9</v>
      </c>
      <c r="L1027" s="69">
        <f t="shared" si="207"/>
        <v>1.7519999999999998</v>
      </c>
      <c r="M1027" s="69">
        <f t="shared" si="208"/>
        <v>2.16</v>
      </c>
      <c r="N1027" s="56">
        <f>INDEX(Rate_Chart!$A$1:$AK$127,MATCH(Data!J1027,Rate_Chart!$A$1:$A$127,0),MATCH(Data!K1027,Rate_Chart!$A$1:$AK$1,0))</f>
        <v>60.954999999999998</v>
      </c>
      <c r="O1027" s="57">
        <f t="shared" si="209"/>
        <v>1462.92</v>
      </c>
      <c r="P1027" s="58">
        <f t="shared" si="210"/>
        <v>458.30827067669168</v>
      </c>
      <c r="Q1027" s="58">
        <f t="shared" si="211"/>
        <v>305.53884711779443</v>
      </c>
      <c r="R1027" s="66">
        <f t="shared" si="212"/>
        <v>25.601100000000002</v>
      </c>
      <c r="S1027" s="64">
        <f t="shared" si="213"/>
        <v>90</v>
      </c>
      <c r="T1027" s="66">
        <f t="shared" si="214"/>
        <v>1578.5211000000002</v>
      </c>
      <c r="U1027" s="68">
        <f t="shared" si="215"/>
        <v>65.771712500000007</v>
      </c>
      <c r="V1027" s="68">
        <f t="shared" si="216"/>
        <v>494.52415413533839</v>
      </c>
      <c r="W1027" s="68">
        <f t="shared" si="217"/>
        <v>329.68276942355891</v>
      </c>
    </row>
    <row r="1028" spans="1:23" x14ac:dyDescent="0.25">
      <c r="A1028" t="s">
        <v>889</v>
      </c>
      <c r="B1028" s="37" t="s">
        <v>396</v>
      </c>
      <c r="C1028" t="s">
        <v>591</v>
      </c>
      <c r="D1028" t="s">
        <v>595</v>
      </c>
      <c r="E1028" t="s">
        <v>378</v>
      </c>
      <c r="F1028" s="62" t="str">
        <f t="shared" si="206"/>
        <v>64556</v>
      </c>
      <c r="G1028" s="1">
        <v>10620011</v>
      </c>
      <c r="H1028" s="1" t="s">
        <v>387</v>
      </c>
      <c r="I1028" s="61">
        <v>31</v>
      </c>
      <c r="J1028" s="61">
        <v>7.6</v>
      </c>
      <c r="K1028" s="61">
        <v>9</v>
      </c>
      <c r="L1028" s="69">
        <f t="shared" si="207"/>
        <v>2.3559999999999999</v>
      </c>
      <c r="M1028" s="69">
        <f t="shared" si="208"/>
        <v>2.79</v>
      </c>
      <c r="N1028" s="56">
        <f>INDEX(Rate_Chart!$A$1:$AK$127,MATCH(Data!J1028,Rate_Chart!$A$1:$A$127,0),MATCH(Data!K1028,Rate_Chart!$A$1:$AK$1,0))</f>
        <v>63.46</v>
      </c>
      <c r="O1028" s="57">
        <f t="shared" si="209"/>
        <v>1967.26</v>
      </c>
      <c r="P1028" s="58">
        <f t="shared" si="210"/>
        <v>466.61764705882348</v>
      </c>
      <c r="Q1028" s="58">
        <f t="shared" si="211"/>
        <v>311.07843137254901</v>
      </c>
      <c r="R1028" s="66">
        <f t="shared" si="212"/>
        <v>34.427050000000001</v>
      </c>
      <c r="S1028" s="64">
        <f t="shared" si="213"/>
        <v>116.25</v>
      </c>
      <c r="T1028" s="66">
        <f t="shared" si="214"/>
        <v>2117.93705</v>
      </c>
      <c r="U1028" s="68">
        <f t="shared" si="215"/>
        <v>68.320549999999997</v>
      </c>
      <c r="V1028" s="68">
        <f t="shared" si="216"/>
        <v>502.35698529411758</v>
      </c>
      <c r="W1028" s="68">
        <f t="shared" si="217"/>
        <v>334.90465686274507</v>
      </c>
    </row>
    <row r="1029" spans="1:23" x14ac:dyDescent="0.25">
      <c r="A1029" t="s">
        <v>889</v>
      </c>
      <c r="B1029" s="37" t="s">
        <v>396</v>
      </c>
      <c r="C1029" t="s">
        <v>591</v>
      </c>
      <c r="D1029" t="s">
        <v>595</v>
      </c>
      <c r="E1029" t="s">
        <v>378</v>
      </c>
      <c r="F1029" s="62" t="str">
        <f t="shared" ref="F1029:F1092" si="218">MID(E1029,2,5)</f>
        <v>64556</v>
      </c>
      <c r="G1029" s="1">
        <v>10620011</v>
      </c>
      <c r="H1029" s="1" t="s">
        <v>388</v>
      </c>
      <c r="I1029" s="61">
        <v>16</v>
      </c>
      <c r="J1029" s="61">
        <v>4</v>
      </c>
      <c r="K1029" s="61">
        <v>8</v>
      </c>
      <c r="L1029" s="69">
        <f t="shared" si="207"/>
        <v>0.64</v>
      </c>
      <c r="M1029" s="69">
        <f t="shared" si="208"/>
        <v>1.28</v>
      </c>
      <c r="N1029" s="56">
        <f>INDEX(Rate_Chart!$A$1:$AK$127,MATCH(Data!J1029,Rate_Chart!$A$1:$A$127,0),MATCH(Data!K1029,Rate_Chart!$A$1:$AK$1,0))</f>
        <v>38.921112000000008</v>
      </c>
      <c r="O1029" s="57">
        <f t="shared" si="209"/>
        <v>622.73779200000013</v>
      </c>
      <c r="P1029" s="58">
        <f t="shared" si="210"/>
        <v>417.01191428571434</v>
      </c>
      <c r="Q1029" s="58">
        <f t="shared" si="211"/>
        <v>278.00794285714289</v>
      </c>
      <c r="R1029" s="66">
        <f t="shared" si="212"/>
        <v>10.897911360000004</v>
      </c>
      <c r="S1029" s="64">
        <f t="shared" si="213"/>
        <v>60</v>
      </c>
      <c r="T1029" s="66">
        <f t="shared" si="214"/>
        <v>693.63570336000009</v>
      </c>
      <c r="U1029" s="68">
        <f t="shared" si="215"/>
        <v>43.352231460000006</v>
      </c>
      <c r="V1029" s="68">
        <f t="shared" si="216"/>
        <v>464.48819421428578</v>
      </c>
      <c r="W1029" s="68">
        <f t="shared" si="217"/>
        <v>309.65879614285717</v>
      </c>
    </row>
    <row r="1030" spans="1:23" x14ac:dyDescent="0.25">
      <c r="A1030" t="s">
        <v>889</v>
      </c>
      <c r="B1030" s="37" t="s">
        <v>397</v>
      </c>
      <c r="C1030" t="s">
        <v>591</v>
      </c>
      <c r="D1030" t="s">
        <v>595</v>
      </c>
      <c r="E1030" t="s">
        <v>378</v>
      </c>
      <c r="F1030" s="62" t="str">
        <f t="shared" si="218"/>
        <v>64556</v>
      </c>
      <c r="G1030" s="1">
        <v>10620011</v>
      </c>
      <c r="H1030" s="1" t="s">
        <v>387</v>
      </c>
      <c r="I1030" s="61">
        <v>18</v>
      </c>
      <c r="J1030" s="61">
        <v>7.6</v>
      </c>
      <c r="K1030" s="61">
        <v>9</v>
      </c>
      <c r="L1030" s="69">
        <f t="shared" si="207"/>
        <v>1.3679999999999999</v>
      </c>
      <c r="M1030" s="69">
        <f t="shared" si="208"/>
        <v>1.62</v>
      </c>
      <c r="N1030" s="56">
        <f>INDEX(Rate_Chart!$A$1:$AK$127,MATCH(Data!J1030,Rate_Chart!$A$1:$A$127,0),MATCH(Data!K1030,Rate_Chart!$A$1:$AK$1,0))</f>
        <v>63.46</v>
      </c>
      <c r="O1030" s="57">
        <f t="shared" si="209"/>
        <v>1142.28</v>
      </c>
      <c r="P1030" s="58">
        <f t="shared" si="210"/>
        <v>466.61764705882348</v>
      </c>
      <c r="Q1030" s="58">
        <f t="shared" si="211"/>
        <v>311.07843137254901</v>
      </c>
      <c r="R1030" s="66">
        <f t="shared" si="212"/>
        <v>19.989900000000002</v>
      </c>
      <c r="S1030" s="64">
        <f t="shared" si="213"/>
        <v>67.5</v>
      </c>
      <c r="T1030" s="66">
        <f t="shared" si="214"/>
        <v>1229.7699</v>
      </c>
      <c r="U1030" s="68">
        <f t="shared" si="215"/>
        <v>68.320549999999997</v>
      </c>
      <c r="V1030" s="68">
        <f t="shared" si="216"/>
        <v>502.35698529411758</v>
      </c>
      <c r="W1030" s="68">
        <f t="shared" si="217"/>
        <v>334.90465686274507</v>
      </c>
    </row>
    <row r="1031" spans="1:23" x14ac:dyDescent="0.25">
      <c r="A1031" t="s">
        <v>890</v>
      </c>
      <c r="B1031" s="37" t="s">
        <v>396</v>
      </c>
      <c r="C1031" t="s">
        <v>591</v>
      </c>
      <c r="D1031" t="s">
        <v>595</v>
      </c>
      <c r="E1031" t="s">
        <v>378</v>
      </c>
      <c r="F1031" s="62" t="str">
        <f t="shared" si="218"/>
        <v>64556</v>
      </c>
      <c r="G1031" s="1">
        <v>10620011</v>
      </c>
      <c r="H1031" s="1" t="s">
        <v>387</v>
      </c>
      <c r="I1031" s="61">
        <v>33</v>
      </c>
      <c r="J1031" s="61">
        <v>7.8</v>
      </c>
      <c r="K1031" s="61">
        <v>9</v>
      </c>
      <c r="L1031" s="69">
        <f t="shared" si="207"/>
        <v>2.5739999999999998</v>
      </c>
      <c r="M1031" s="69">
        <f t="shared" si="208"/>
        <v>2.97</v>
      </c>
      <c r="N1031" s="56">
        <f>INDEX(Rate_Chart!$A$1:$AK$127,MATCH(Data!J1031,Rate_Chart!$A$1:$A$127,0),MATCH(Data!K1031,Rate_Chart!$A$1:$AK$1,0))</f>
        <v>65.13</v>
      </c>
      <c r="O1031" s="57">
        <f t="shared" si="209"/>
        <v>2149.29</v>
      </c>
      <c r="P1031" s="58">
        <f t="shared" si="210"/>
        <v>471.95652173913038</v>
      </c>
      <c r="Q1031" s="58">
        <f t="shared" si="211"/>
        <v>314.63768115942025</v>
      </c>
      <c r="R1031" s="66">
        <f t="shared" si="212"/>
        <v>37.612575</v>
      </c>
      <c r="S1031" s="64">
        <f t="shared" si="213"/>
        <v>123.75</v>
      </c>
      <c r="T1031" s="66">
        <f t="shared" si="214"/>
        <v>2310.6525750000001</v>
      </c>
      <c r="U1031" s="68">
        <f t="shared" si="215"/>
        <v>70.019774999999996</v>
      </c>
      <c r="V1031" s="68">
        <f t="shared" si="216"/>
        <v>507.3896739130434</v>
      </c>
      <c r="W1031" s="68">
        <f t="shared" si="217"/>
        <v>338.25978260869562</v>
      </c>
    </row>
    <row r="1032" spans="1:23" x14ac:dyDescent="0.25">
      <c r="A1032" t="s">
        <v>890</v>
      </c>
      <c r="B1032" s="37" t="s">
        <v>396</v>
      </c>
      <c r="C1032" t="s">
        <v>591</v>
      </c>
      <c r="D1032" t="s">
        <v>595</v>
      </c>
      <c r="E1032" t="s">
        <v>378</v>
      </c>
      <c r="F1032" s="62" t="str">
        <f t="shared" si="218"/>
        <v>64556</v>
      </c>
      <c r="G1032" s="1">
        <v>10620011</v>
      </c>
      <c r="H1032" s="1" t="s">
        <v>388</v>
      </c>
      <c r="I1032" s="61">
        <v>17</v>
      </c>
      <c r="J1032" s="61">
        <v>3.7</v>
      </c>
      <c r="K1032" s="61">
        <v>8</v>
      </c>
      <c r="L1032" s="69">
        <f t="shared" si="207"/>
        <v>0.629</v>
      </c>
      <c r="M1032" s="69">
        <f t="shared" si="208"/>
        <v>1.36</v>
      </c>
      <c r="N1032" s="56">
        <f>INDEX(Rate_Chart!$A$1:$AK$127,MATCH(Data!J1032,Rate_Chart!$A$1:$A$127,0),MATCH(Data!K1032,Rate_Chart!$A$1:$AK$1,0))</f>
        <v>37.670112000000003</v>
      </c>
      <c r="O1032" s="57">
        <f t="shared" si="209"/>
        <v>640.39190400000007</v>
      </c>
      <c r="P1032" s="58">
        <f t="shared" si="210"/>
        <v>417.0123099630996</v>
      </c>
      <c r="Q1032" s="58">
        <f t="shared" si="211"/>
        <v>278.0082066420664</v>
      </c>
      <c r="R1032" s="66">
        <f t="shared" si="212"/>
        <v>11.206858320000002</v>
      </c>
      <c r="S1032" s="64">
        <f t="shared" si="213"/>
        <v>63.75</v>
      </c>
      <c r="T1032" s="66">
        <f t="shared" si="214"/>
        <v>715.34876232000011</v>
      </c>
      <c r="U1032" s="68">
        <f t="shared" si="215"/>
        <v>42.079338960000008</v>
      </c>
      <c r="V1032" s="68">
        <f t="shared" si="216"/>
        <v>465.82294051660517</v>
      </c>
      <c r="W1032" s="68">
        <f t="shared" si="217"/>
        <v>310.5486270110701</v>
      </c>
    </row>
    <row r="1033" spans="1:23" x14ac:dyDescent="0.25">
      <c r="A1033" t="s">
        <v>890</v>
      </c>
      <c r="B1033" s="37" t="s">
        <v>397</v>
      </c>
      <c r="C1033" t="s">
        <v>591</v>
      </c>
      <c r="D1033" t="s">
        <v>595</v>
      </c>
      <c r="E1033" t="s">
        <v>378</v>
      </c>
      <c r="F1033" s="62" t="str">
        <f t="shared" si="218"/>
        <v>64556</v>
      </c>
      <c r="G1033" s="1">
        <v>10620011</v>
      </c>
      <c r="H1033" s="1" t="s">
        <v>387</v>
      </c>
      <c r="I1033" s="61">
        <v>24</v>
      </c>
      <c r="J1033" s="61">
        <v>6.8</v>
      </c>
      <c r="K1033" s="61">
        <v>9</v>
      </c>
      <c r="L1033" s="69">
        <f t="shared" si="207"/>
        <v>1.6319999999999999</v>
      </c>
      <c r="M1033" s="69">
        <f t="shared" si="208"/>
        <v>2.16</v>
      </c>
      <c r="N1033" s="56">
        <f>INDEX(Rate_Chart!$A$1:$AK$127,MATCH(Data!J1033,Rate_Chart!$A$1:$A$127,0),MATCH(Data!K1033,Rate_Chart!$A$1:$AK$1,0))</f>
        <v>56.78</v>
      </c>
      <c r="O1033" s="57">
        <f t="shared" si="209"/>
        <v>1362.72</v>
      </c>
      <c r="P1033" s="58">
        <f t="shared" si="210"/>
        <v>443.59375</v>
      </c>
      <c r="Q1033" s="58">
        <f t="shared" si="211"/>
        <v>295.72916666666669</v>
      </c>
      <c r="R1033" s="66">
        <f t="shared" si="212"/>
        <v>23.847600000000003</v>
      </c>
      <c r="S1033" s="64">
        <f t="shared" si="213"/>
        <v>90</v>
      </c>
      <c r="T1033" s="66">
        <f t="shared" si="214"/>
        <v>1476.5676000000001</v>
      </c>
      <c r="U1033" s="68">
        <f t="shared" si="215"/>
        <v>61.523650000000004</v>
      </c>
      <c r="V1033" s="68">
        <f t="shared" si="216"/>
        <v>480.65351562500001</v>
      </c>
      <c r="W1033" s="68">
        <f t="shared" si="217"/>
        <v>320.43567708333336</v>
      </c>
    </row>
    <row r="1034" spans="1:23" x14ac:dyDescent="0.25">
      <c r="A1034" t="s">
        <v>891</v>
      </c>
      <c r="B1034" s="37" t="s">
        <v>396</v>
      </c>
      <c r="C1034" t="s">
        <v>591</v>
      </c>
      <c r="D1034" t="s">
        <v>595</v>
      </c>
      <c r="E1034" t="s">
        <v>378</v>
      </c>
      <c r="F1034" s="62" t="str">
        <f t="shared" si="218"/>
        <v>64556</v>
      </c>
      <c r="G1034" s="1">
        <v>10620011</v>
      </c>
      <c r="H1034" s="1" t="s">
        <v>387</v>
      </c>
      <c r="I1034" s="61">
        <v>34</v>
      </c>
      <c r="J1034" s="61">
        <v>7.4</v>
      </c>
      <c r="K1034" s="61">
        <v>9</v>
      </c>
      <c r="L1034" s="69">
        <f t="shared" si="207"/>
        <v>2.516</v>
      </c>
      <c r="M1034" s="69">
        <f t="shared" si="208"/>
        <v>3.06</v>
      </c>
      <c r="N1034" s="56">
        <f>INDEX(Rate_Chart!$A$1:$AK$127,MATCH(Data!J1034,Rate_Chart!$A$1:$A$127,0),MATCH(Data!K1034,Rate_Chart!$A$1:$AK$1,0))</f>
        <v>61.790000000000006</v>
      </c>
      <c r="O1034" s="57">
        <f t="shared" si="209"/>
        <v>2100.86</v>
      </c>
      <c r="P1034" s="58">
        <f t="shared" si="210"/>
        <v>461.11940298507466</v>
      </c>
      <c r="Q1034" s="58">
        <f t="shared" si="211"/>
        <v>307.41293532338312</v>
      </c>
      <c r="R1034" s="66">
        <f t="shared" si="212"/>
        <v>36.765050000000002</v>
      </c>
      <c r="S1034" s="64">
        <f t="shared" si="213"/>
        <v>127.5</v>
      </c>
      <c r="T1034" s="66">
        <f t="shared" si="214"/>
        <v>2265.1250500000001</v>
      </c>
      <c r="U1034" s="68">
        <f t="shared" si="215"/>
        <v>66.621324999999999</v>
      </c>
      <c r="V1034" s="68">
        <f t="shared" si="216"/>
        <v>497.17406716417906</v>
      </c>
      <c r="W1034" s="68">
        <f t="shared" si="217"/>
        <v>331.44937810945271</v>
      </c>
    </row>
    <row r="1035" spans="1:23" x14ac:dyDescent="0.25">
      <c r="A1035" t="s">
        <v>891</v>
      </c>
      <c r="B1035" s="37" t="s">
        <v>396</v>
      </c>
      <c r="C1035" t="s">
        <v>591</v>
      </c>
      <c r="D1035" t="s">
        <v>595</v>
      </c>
      <c r="E1035" t="s">
        <v>378</v>
      </c>
      <c r="F1035" s="62" t="str">
        <f t="shared" si="218"/>
        <v>64556</v>
      </c>
      <c r="G1035" s="1">
        <v>10620011</v>
      </c>
      <c r="H1035" s="1" t="s">
        <v>388</v>
      </c>
      <c r="I1035" s="61">
        <v>13</v>
      </c>
      <c r="J1035" s="61">
        <v>3.8</v>
      </c>
      <c r="K1035" s="61">
        <v>8.1999999999999993</v>
      </c>
      <c r="L1035" s="69">
        <f t="shared" si="207"/>
        <v>0.49399999999999999</v>
      </c>
      <c r="M1035" s="69">
        <f t="shared" si="208"/>
        <v>1.0659999999999998</v>
      </c>
      <c r="N1035" s="56">
        <f>INDEX(Rate_Chart!$A$1:$AK$127,MATCH(Data!J1035,Rate_Chart!$A$1:$A$127,0),MATCH(Data!K1035,Rate_Chart!$A$1:$AK$1,0))</f>
        <v>38.6431398</v>
      </c>
      <c r="O1035" s="57">
        <f t="shared" si="209"/>
        <v>502.36081739999997</v>
      </c>
      <c r="P1035" s="58">
        <f t="shared" si="210"/>
        <v>417.01230000000004</v>
      </c>
      <c r="Q1035" s="58">
        <f t="shared" si="211"/>
        <v>278.00820000000004</v>
      </c>
      <c r="R1035" s="66">
        <f t="shared" si="212"/>
        <v>8.7913143045000002</v>
      </c>
      <c r="S1035" s="64">
        <f t="shared" si="213"/>
        <v>48.75</v>
      </c>
      <c r="T1035" s="66">
        <f t="shared" si="214"/>
        <v>559.90213170449999</v>
      </c>
      <c r="U1035" s="68">
        <f t="shared" si="215"/>
        <v>43.069394746500002</v>
      </c>
      <c r="V1035" s="68">
        <f t="shared" si="216"/>
        <v>464.77764114928061</v>
      </c>
      <c r="W1035" s="68">
        <f t="shared" si="217"/>
        <v>309.85176076618706</v>
      </c>
    </row>
    <row r="1036" spans="1:23" x14ac:dyDescent="0.25">
      <c r="A1036" t="s">
        <v>891</v>
      </c>
      <c r="B1036" s="37" t="s">
        <v>397</v>
      </c>
      <c r="C1036" t="s">
        <v>591</v>
      </c>
      <c r="D1036" t="s">
        <v>595</v>
      </c>
      <c r="E1036" t="s">
        <v>378</v>
      </c>
      <c r="F1036" s="62" t="str">
        <f t="shared" si="218"/>
        <v>64556</v>
      </c>
      <c r="G1036" s="1">
        <v>10620011</v>
      </c>
      <c r="H1036" s="1" t="s">
        <v>387</v>
      </c>
      <c r="I1036" s="61">
        <v>22</v>
      </c>
      <c r="J1036" s="61">
        <v>7</v>
      </c>
      <c r="K1036" s="61">
        <v>9</v>
      </c>
      <c r="L1036" s="69">
        <f t="shared" si="207"/>
        <v>1.54</v>
      </c>
      <c r="M1036" s="69">
        <f t="shared" si="208"/>
        <v>1.98</v>
      </c>
      <c r="N1036" s="56">
        <f>INDEX(Rate_Chart!$A$1:$AK$127,MATCH(Data!J1036,Rate_Chart!$A$1:$A$127,0),MATCH(Data!K1036,Rate_Chart!$A$1:$AK$1,0))</f>
        <v>58.45</v>
      </c>
      <c r="O1036" s="57">
        <f t="shared" si="209"/>
        <v>1285.9000000000001</v>
      </c>
      <c r="P1036" s="58">
        <f t="shared" si="210"/>
        <v>449.61538461538464</v>
      </c>
      <c r="Q1036" s="58">
        <f t="shared" si="211"/>
        <v>299.74358974358978</v>
      </c>
      <c r="R1036" s="66">
        <f t="shared" si="212"/>
        <v>22.503250000000005</v>
      </c>
      <c r="S1036" s="64">
        <f t="shared" si="213"/>
        <v>82.5</v>
      </c>
      <c r="T1036" s="66">
        <f t="shared" si="214"/>
        <v>1390.9032500000001</v>
      </c>
      <c r="U1036" s="68">
        <f t="shared" si="215"/>
        <v>63.222875000000002</v>
      </c>
      <c r="V1036" s="68">
        <f t="shared" si="216"/>
        <v>486.32980769230767</v>
      </c>
      <c r="W1036" s="68">
        <f t="shared" si="217"/>
        <v>324.21987179487178</v>
      </c>
    </row>
    <row r="1037" spans="1:23" x14ac:dyDescent="0.25">
      <c r="A1037" t="s">
        <v>892</v>
      </c>
      <c r="B1037" s="37" t="s">
        <v>396</v>
      </c>
      <c r="C1037" t="s">
        <v>591</v>
      </c>
      <c r="D1037" t="s">
        <v>595</v>
      </c>
      <c r="E1037" t="s">
        <v>378</v>
      </c>
      <c r="F1037" s="62" t="str">
        <f t="shared" si="218"/>
        <v>64556</v>
      </c>
      <c r="G1037" s="1">
        <v>10620011</v>
      </c>
      <c r="H1037" s="1" t="s">
        <v>387</v>
      </c>
      <c r="I1037" s="61">
        <v>33</v>
      </c>
      <c r="J1037" s="61">
        <v>8</v>
      </c>
      <c r="K1037" s="61">
        <v>9</v>
      </c>
      <c r="L1037" s="69">
        <f t="shared" si="207"/>
        <v>2.64</v>
      </c>
      <c r="M1037" s="69">
        <f t="shared" si="208"/>
        <v>2.97</v>
      </c>
      <c r="N1037" s="56">
        <f>INDEX(Rate_Chart!$A$1:$AK$127,MATCH(Data!J1037,Rate_Chart!$A$1:$A$127,0),MATCH(Data!K1037,Rate_Chart!$A$1:$AK$1,0))</f>
        <v>66.8</v>
      </c>
      <c r="O1037" s="57">
        <f t="shared" si="209"/>
        <v>2204.4</v>
      </c>
      <c r="P1037" s="58">
        <f t="shared" si="210"/>
        <v>477.14285714285705</v>
      </c>
      <c r="Q1037" s="58">
        <f t="shared" si="211"/>
        <v>318.09523809523802</v>
      </c>
      <c r="R1037" s="66">
        <f t="shared" si="212"/>
        <v>38.577000000000005</v>
      </c>
      <c r="S1037" s="64">
        <f t="shared" si="213"/>
        <v>123.75</v>
      </c>
      <c r="T1037" s="66">
        <f t="shared" si="214"/>
        <v>2366.7269999999999</v>
      </c>
      <c r="U1037" s="68">
        <f t="shared" si="215"/>
        <v>71.718999999999994</v>
      </c>
      <c r="V1037" s="68">
        <f t="shared" si="216"/>
        <v>512.27857142857135</v>
      </c>
      <c r="W1037" s="68">
        <f t="shared" si="217"/>
        <v>341.51904761904757</v>
      </c>
    </row>
    <row r="1038" spans="1:23" x14ac:dyDescent="0.25">
      <c r="A1038" t="s">
        <v>892</v>
      </c>
      <c r="B1038" s="37" t="s">
        <v>396</v>
      </c>
      <c r="C1038" t="s">
        <v>591</v>
      </c>
      <c r="D1038" t="s">
        <v>595</v>
      </c>
      <c r="E1038" t="s">
        <v>378</v>
      </c>
      <c r="F1038" s="62" t="str">
        <f t="shared" si="218"/>
        <v>64556</v>
      </c>
      <c r="G1038" s="1">
        <v>10620011</v>
      </c>
      <c r="H1038" s="1" t="s">
        <v>388</v>
      </c>
      <c r="I1038" s="61">
        <v>12</v>
      </c>
      <c r="J1038" s="61">
        <v>4</v>
      </c>
      <c r="K1038" s="61">
        <v>8.1</v>
      </c>
      <c r="L1038" s="69">
        <f t="shared" si="207"/>
        <v>0.48</v>
      </c>
      <c r="M1038" s="69">
        <f t="shared" si="208"/>
        <v>0.97199999999999986</v>
      </c>
      <c r="N1038" s="56">
        <f>INDEX(Rate_Chart!$A$1:$AK$127,MATCH(Data!J1038,Rate_Chart!$A$1:$A$127,0),MATCH(Data!K1038,Rate_Chart!$A$1:$AK$1,0))</f>
        <v>39.199125899999999</v>
      </c>
      <c r="O1038" s="57">
        <f t="shared" si="209"/>
        <v>470.38951079999998</v>
      </c>
      <c r="P1038" s="58">
        <f t="shared" si="210"/>
        <v>417.01197765957443</v>
      </c>
      <c r="Q1038" s="58">
        <f t="shared" si="211"/>
        <v>278.00798510638293</v>
      </c>
      <c r="R1038" s="66">
        <f t="shared" si="212"/>
        <v>8.231816439000001</v>
      </c>
      <c r="S1038" s="64">
        <f t="shared" si="213"/>
        <v>45</v>
      </c>
      <c r="T1038" s="66">
        <f t="shared" si="214"/>
        <v>523.62132723900004</v>
      </c>
      <c r="U1038" s="68">
        <f t="shared" si="215"/>
        <v>43.635110603250006</v>
      </c>
      <c r="V1038" s="68">
        <f t="shared" si="216"/>
        <v>464.20330428989365</v>
      </c>
      <c r="W1038" s="68">
        <f t="shared" si="217"/>
        <v>309.46886952659577</v>
      </c>
    </row>
    <row r="1039" spans="1:23" x14ac:dyDescent="0.25">
      <c r="A1039" t="s">
        <v>892</v>
      </c>
      <c r="B1039" s="37" t="s">
        <v>397</v>
      </c>
      <c r="C1039" t="s">
        <v>591</v>
      </c>
      <c r="D1039" t="s">
        <v>595</v>
      </c>
      <c r="E1039" t="s">
        <v>378</v>
      </c>
      <c r="F1039" s="62" t="str">
        <f t="shared" si="218"/>
        <v>64556</v>
      </c>
      <c r="G1039" s="1">
        <v>10620011</v>
      </c>
      <c r="H1039" s="1" t="s">
        <v>387</v>
      </c>
      <c r="I1039" s="61">
        <v>23</v>
      </c>
      <c r="J1039" s="61">
        <v>6.8</v>
      </c>
      <c r="K1039" s="61">
        <v>9</v>
      </c>
      <c r="L1039" s="69">
        <f t="shared" si="207"/>
        <v>1.5640000000000001</v>
      </c>
      <c r="M1039" s="69">
        <f t="shared" si="208"/>
        <v>2.0699999999999998</v>
      </c>
      <c r="N1039" s="56">
        <f>INDEX(Rate_Chart!$A$1:$AK$127,MATCH(Data!J1039,Rate_Chart!$A$1:$A$127,0),MATCH(Data!K1039,Rate_Chart!$A$1:$AK$1,0))</f>
        <v>56.78</v>
      </c>
      <c r="O1039" s="57">
        <f t="shared" si="209"/>
        <v>1305.94</v>
      </c>
      <c r="P1039" s="58">
        <f t="shared" si="210"/>
        <v>443.59375</v>
      </c>
      <c r="Q1039" s="58">
        <f t="shared" si="211"/>
        <v>295.72916666666669</v>
      </c>
      <c r="R1039" s="66">
        <f t="shared" si="212"/>
        <v>22.853950000000005</v>
      </c>
      <c r="S1039" s="64">
        <f t="shared" si="213"/>
        <v>86.25</v>
      </c>
      <c r="T1039" s="66">
        <f t="shared" si="214"/>
        <v>1415.04395</v>
      </c>
      <c r="U1039" s="68">
        <f t="shared" si="215"/>
        <v>61.523649999999996</v>
      </c>
      <c r="V1039" s="68">
        <f t="shared" si="216"/>
        <v>480.65351562499995</v>
      </c>
      <c r="W1039" s="68">
        <f t="shared" si="217"/>
        <v>320.4356770833333</v>
      </c>
    </row>
    <row r="1040" spans="1:23" x14ac:dyDescent="0.25">
      <c r="A1040" t="s">
        <v>893</v>
      </c>
      <c r="B1040" s="37" t="s">
        <v>396</v>
      </c>
      <c r="C1040" t="s">
        <v>591</v>
      </c>
      <c r="D1040" t="s">
        <v>595</v>
      </c>
      <c r="E1040" t="s">
        <v>378</v>
      </c>
      <c r="F1040" s="62" t="str">
        <f t="shared" si="218"/>
        <v>64556</v>
      </c>
      <c r="G1040" s="1">
        <v>10620011</v>
      </c>
      <c r="H1040" s="1" t="s">
        <v>387</v>
      </c>
      <c r="I1040" s="61">
        <v>32</v>
      </c>
      <c r="J1040" s="61">
        <v>7.2</v>
      </c>
      <c r="K1040" s="61">
        <v>8.8000000000000007</v>
      </c>
      <c r="L1040" s="69">
        <f t="shared" si="207"/>
        <v>2.3040000000000003</v>
      </c>
      <c r="M1040" s="69">
        <f t="shared" si="208"/>
        <v>2.8160000000000003</v>
      </c>
      <c r="N1040" s="56">
        <f>INDEX(Rate_Chart!$A$1:$AK$127,MATCH(Data!J1040,Rate_Chart!$A$1:$A$127,0),MATCH(Data!K1040,Rate_Chart!$A$1:$AK$1,0))</f>
        <v>59.518800000000006</v>
      </c>
      <c r="O1040" s="57">
        <f t="shared" si="209"/>
        <v>1904.6016000000002</v>
      </c>
      <c r="P1040" s="58">
        <f t="shared" si="210"/>
        <v>455.50102040816324</v>
      </c>
      <c r="Q1040" s="58">
        <f t="shared" si="211"/>
        <v>303.66734693877549</v>
      </c>
      <c r="R1040" s="66">
        <f t="shared" si="212"/>
        <v>33.330528000000008</v>
      </c>
      <c r="S1040" s="64">
        <f t="shared" si="213"/>
        <v>120</v>
      </c>
      <c r="T1040" s="66">
        <f t="shared" si="214"/>
        <v>2057.9321280000004</v>
      </c>
      <c r="U1040" s="68">
        <f t="shared" si="215"/>
        <v>64.310379000000012</v>
      </c>
      <c r="V1040" s="68">
        <f t="shared" si="216"/>
        <v>492.17126785714288</v>
      </c>
      <c r="W1040" s="68">
        <f t="shared" si="217"/>
        <v>328.11417857142857</v>
      </c>
    </row>
    <row r="1041" spans="1:23" x14ac:dyDescent="0.25">
      <c r="A1041" t="s">
        <v>893</v>
      </c>
      <c r="B1041" s="37" t="s">
        <v>396</v>
      </c>
      <c r="C1041" t="s">
        <v>591</v>
      </c>
      <c r="D1041" t="s">
        <v>595</v>
      </c>
      <c r="E1041" t="s">
        <v>378</v>
      </c>
      <c r="F1041" s="62" t="str">
        <f t="shared" si="218"/>
        <v>64556</v>
      </c>
      <c r="G1041" s="1">
        <v>10620011</v>
      </c>
      <c r="H1041" s="1" t="s">
        <v>388</v>
      </c>
      <c r="I1041" s="61">
        <v>14</v>
      </c>
      <c r="J1041" s="61">
        <v>3.6</v>
      </c>
      <c r="K1041" s="61">
        <v>8.1</v>
      </c>
      <c r="L1041" s="69">
        <f t="shared" si="207"/>
        <v>0.504</v>
      </c>
      <c r="M1041" s="69">
        <f t="shared" si="208"/>
        <v>1.1339999999999999</v>
      </c>
      <c r="N1041" s="56">
        <f>INDEX(Rate_Chart!$A$1:$AK$127,MATCH(Data!J1041,Rate_Chart!$A$1:$A$127,0),MATCH(Data!K1041,Rate_Chart!$A$1:$AK$1,0))</f>
        <v>37.531125900000006</v>
      </c>
      <c r="O1041" s="57">
        <f t="shared" si="209"/>
        <v>525.43576260000009</v>
      </c>
      <c r="P1041" s="58">
        <f t="shared" si="210"/>
        <v>417.01251000000008</v>
      </c>
      <c r="Q1041" s="58">
        <f t="shared" si="211"/>
        <v>278.00834000000003</v>
      </c>
      <c r="R1041" s="66">
        <f t="shared" si="212"/>
        <v>9.1951258455000016</v>
      </c>
      <c r="S1041" s="64">
        <f t="shared" si="213"/>
        <v>52.5</v>
      </c>
      <c r="T1041" s="66">
        <f t="shared" si="214"/>
        <v>587.13088844550009</v>
      </c>
      <c r="U1041" s="68">
        <f t="shared" si="215"/>
        <v>41.937920603250006</v>
      </c>
      <c r="V1041" s="68">
        <f t="shared" si="216"/>
        <v>465.97689559166673</v>
      </c>
      <c r="W1041" s="68">
        <f t="shared" si="217"/>
        <v>310.6512637277778</v>
      </c>
    </row>
    <row r="1042" spans="1:23" x14ac:dyDescent="0.25">
      <c r="A1042" t="s">
        <v>893</v>
      </c>
      <c r="B1042" s="37" t="s">
        <v>397</v>
      </c>
      <c r="C1042" t="s">
        <v>591</v>
      </c>
      <c r="D1042" t="s">
        <v>595</v>
      </c>
      <c r="E1042" t="s">
        <v>378</v>
      </c>
      <c r="F1042" s="62" t="str">
        <f t="shared" si="218"/>
        <v>64556</v>
      </c>
      <c r="G1042" s="1">
        <v>10620011</v>
      </c>
      <c r="H1042" s="1" t="s">
        <v>387</v>
      </c>
      <c r="I1042" s="61">
        <v>23</v>
      </c>
      <c r="J1042" s="61">
        <v>6.8</v>
      </c>
      <c r="K1042" s="61">
        <v>9</v>
      </c>
      <c r="L1042" s="69">
        <f t="shared" si="207"/>
        <v>1.5640000000000001</v>
      </c>
      <c r="M1042" s="69">
        <f t="shared" si="208"/>
        <v>2.0699999999999998</v>
      </c>
      <c r="N1042" s="56">
        <f>INDEX(Rate_Chart!$A$1:$AK$127,MATCH(Data!J1042,Rate_Chart!$A$1:$A$127,0),MATCH(Data!K1042,Rate_Chart!$A$1:$AK$1,0))</f>
        <v>56.78</v>
      </c>
      <c r="O1042" s="57">
        <f t="shared" si="209"/>
        <v>1305.94</v>
      </c>
      <c r="P1042" s="58">
        <f t="shared" si="210"/>
        <v>443.59375</v>
      </c>
      <c r="Q1042" s="58">
        <f t="shared" si="211"/>
        <v>295.72916666666669</v>
      </c>
      <c r="R1042" s="66">
        <f t="shared" si="212"/>
        <v>22.853950000000005</v>
      </c>
      <c r="S1042" s="64">
        <f t="shared" si="213"/>
        <v>86.25</v>
      </c>
      <c r="T1042" s="66">
        <f t="shared" si="214"/>
        <v>1415.04395</v>
      </c>
      <c r="U1042" s="68">
        <f t="shared" si="215"/>
        <v>61.523649999999996</v>
      </c>
      <c r="V1042" s="68">
        <f t="shared" si="216"/>
        <v>480.65351562499995</v>
      </c>
      <c r="W1042" s="68">
        <f t="shared" si="217"/>
        <v>320.4356770833333</v>
      </c>
    </row>
    <row r="1043" spans="1:23" x14ac:dyDescent="0.25">
      <c r="A1043" t="s">
        <v>894</v>
      </c>
      <c r="B1043" s="37" t="s">
        <v>396</v>
      </c>
      <c r="C1043" t="s">
        <v>591</v>
      </c>
      <c r="D1043" t="s">
        <v>595</v>
      </c>
      <c r="E1043" t="s">
        <v>378</v>
      </c>
      <c r="F1043" s="62" t="str">
        <f t="shared" si="218"/>
        <v>64556</v>
      </c>
      <c r="G1043" s="1">
        <v>10620011</v>
      </c>
      <c r="H1043" s="1" t="s">
        <v>387</v>
      </c>
      <c r="I1043" s="61">
        <v>26</v>
      </c>
      <c r="J1043" s="61">
        <v>8</v>
      </c>
      <c r="K1043" s="61">
        <v>9</v>
      </c>
      <c r="L1043" s="69">
        <f t="shared" si="207"/>
        <v>2.08</v>
      </c>
      <c r="M1043" s="69">
        <f t="shared" si="208"/>
        <v>2.34</v>
      </c>
      <c r="N1043" s="56">
        <f>INDEX(Rate_Chart!$A$1:$AK$127,MATCH(Data!J1043,Rate_Chart!$A$1:$A$127,0),MATCH(Data!K1043,Rate_Chart!$A$1:$AK$1,0))</f>
        <v>66.8</v>
      </c>
      <c r="O1043" s="57">
        <f t="shared" si="209"/>
        <v>1736.8</v>
      </c>
      <c r="P1043" s="58">
        <f t="shared" si="210"/>
        <v>477.14285714285705</v>
      </c>
      <c r="Q1043" s="58">
        <f t="shared" si="211"/>
        <v>318.09523809523802</v>
      </c>
      <c r="R1043" s="66">
        <f t="shared" si="212"/>
        <v>30.394000000000002</v>
      </c>
      <c r="S1043" s="64">
        <f t="shared" si="213"/>
        <v>97.5</v>
      </c>
      <c r="T1043" s="66">
        <f t="shared" si="214"/>
        <v>1864.694</v>
      </c>
      <c r="U1043" s="68">
        <f t="shared" si="215"/>
        <v>71.718999999999994</v>
      </c>
      <c r="V1043" s="68">
        <f t="shared" si="216"/>
        <v>512.27857142857135</v>
      </c>
      <c r="W1043" s="68">
        <f t="shared" si="217"/>
        <v>341.51904761904757</v>
      </c>
    </row>
    <row r="1044" spans="1:23" x14ac:dyDescent="0.25">
      <c r="A1044" t="s">
        <v>894</v>
      </c>
      <c r="B1044" s="37" t="s">
        <v>397</v>
      </c>
      <c r="C1044" t="s">
        <v>591</v>
      </c>
      <c r="D1044" t="s">
        <v>595</v>
      </c>
      <c r="E1044" t="s">
        <v>378</v>
      </c>
      <c r="F1044" s="62" t="str">
        <f t="shared" si="218"/>
        <v>64556</v>
      </c>
      <c r="G1044" s="1">
        <v>10620011</v>
      </c>
      <c r="H1044" s="1" t="s">
        <v>387</v>
      </c>
      <c r="I1044" s="61">
        <v>23</v>
      </c>
      <c r="J1044" s="61">
        <v>6.9</v>
      </c>
      <c r="K1044" s="61">
        <v>9</v>
      </c>
      <c r="L1044" s="69">
        <f t="shared" si="207"/>
        <v>1.5870000000000002</v>
      </c>
      <c r="M1044" s="69">
        <f t="shared" si="208"/>
        <v>2.0699999999999998</v>
      </c>
      <c r="N1044" s="56">
        <f>INDEX(Rate_Chart!$A$1:$AK$127,MATCH(Data!J1044,Rate_Chart!$A$1:$A$127,0),MATCH(Data!K1044,Rate_Chart!$A$1:$AK$1,0))</f>
        <v>57.615000000000002</v>
      </c>
      <c r="O1044" s="57">
        <f t="shared" si="209"/>
        <v>1325.145</v>
      </c>
      <c r="P1044" s="58">
        <f t="shared" si="210"/>
        <v>446.62790697674421</v>
      </c>
      <c r="Q1044" s="58">
        <f t="shared" si="211"/>
        <v>297.75193798449612</v>
      </c>
      <c r="R1044" s="66">
        <f t="shared" si="212"/>
        <v>23.190037500000003</v>
      </c>
      <c r="S1044" s="64">
        <f t="shared" si="213"/>
        <v>86.25</v>
      </c>
      <c r="T1044" s="66">
        <f t="shared" si="214"/>
        <v>1434.5850375</v>
      </c>
      <c r="U1044" s="68">
        <f t="shared" si="215"/>
        <v>62.373262500000003</v>
      </c>
      <c r="V1044" s="68">
        <f t="shared" si="216"/>
        <v>483.51366279069771</v>
      </c>
      <c r="W1044" s="68">
        <f t="shared" si="217"/>
        <v>322.34244186046516</v>
      </c>
    </row>
    <row r="1045" spans="1:23" x14ac:dyDescent="0.25">
      <c r="A1045" t="s">
        <v>888</v>
      </c>
      <c r="B1045" s="37" t="s">
        <v>396</v>
      </c>
      <c r="C1045" t="s">
        <v>591</v>
      </c>
      <c r="D1045" t="s">
        <v>593</v>
      </c>
      <c r="E1045" t="s">
        <v>379</v>
      </c>
      <c r="F1045" s="62" t="str">
        <f t="shared" si="218"/>
        <v>64559</v>
      </c>
      <c r="G1045" s="1">
        <v>10620042</v>
      </c>
      <c r="H1045" s="1" t="s">
        <v>387</v>
      </c>
      <c r="I1045" s="61">
        <v>40</v>
      </c>
      <c r="J1045" s="61">
        <v>6.1</v>
      </c>
      <c r="K1045" s="61">
        <v>8.4</v>
      </c>
      <c r="L1045" s="69">
        <f t="shared" si="207"/>
        <v>2.44</v>
      </c>
      <c r="M1045" s="69">
        <f t="shared" si="208"/>
        <v>3.36</v>
      </c>
      <c r="N1045" s="56">
        <f>INDEX(Rate_Chart!$A$1:$AK$127,MATCH(Data!J1045,Rate_Chart!$A$1:$A$127,0),MATCH(Data!K1045,Rate_Chart!$A$1:$AK$1,0))</f>
        <v>49.406950000000002</v>
      </c>
      <c r="O1045" s="57">
        <f t="shared" si="209"/>
        <v>1976.278</v>
      </c>
      <c r="P1045" s="58">
        <f t="shared" si="210"/>
        <v>422.28162393162398</v>
      </c>
      <c r="Q1045" s="58">
        <f t="shared" si="211"/>
        <v>281.52108262108266</v>
      </c>
      <c r="R1045" s="66">
        <f t="shared" si="212"/>
        <v>34.584865000000001</v>
      </c>
      <c r="S1045" s="64">
        <f t="shared" si="213"/>
        <v>150</v>
      </c>
      <c r="T1045" s="66">
        <f t="shared" si="214"/>
        <v>2160.8628650000001</v>
      </c>
      <c r="U1045" s="68">
        <f t="shared" si="215"/>
        <v>54.021571625</v>
      </c>
      <c r="V1045" s="68">
        <f t="shared" si="216"/>
        <v>461.72283440170941</v>
      </c>
      <c r="W1045" s="68">
        <f t="shared" si="217"/>
        <v>307.81522293447296</v>
      </c>
    </row>
    <row r="1046" spans="1:23" x14ac:dyDescent="0.25">
      <c r="A1046" t="s">
        <v>888</v>
      </c>
      <c r="B1046" s="37" t="s">
        <v>396</v>
      </c>
      <c r="C1046" t="s">
        <v>591</v>
      </c>
      <c r="D1046" t="s">
        <v>593</v>
      </c>
      <c r="E1046" t="s">
        <v>379</v>
      </c>
      <c r="F1046" s="62" t="str">
        <f t="shared" si="218"/>
        <v>64559</v>
      </c>
      <c r="G1046" s="1">
        <v>10620042</v>
      </c>
      <c r="H1046" s="1" t="s">
        <v>388</v>
      </c>
      <c r="I1046" s="61">
        <v>55</v>
      </c>
      <c r="J1046" s="61">
        <v>3</v>
      </c>
      <c r="K1046" s="61">
        <v>8</v>
      </c>
      <c r="L1046" s="69">
        <f t="shared" si="207"/>
        <v>1.65</v>
      </c>
      <c r="M1046" s="69">
        <f t="shared" si="208"/>
        <v>4.4000000000000004</v>
      </c>
      <c r="N1046" s="56">
        <f>INDEX(Rate_Chart!$A$1:$AK$127,MATCH(Data!J1046,Rate_Chart!$A$1:$A$127,0),MATCH(Data!K1046,Rate_Chart!$A$1:$AK$1,0))</f>
        <v>34.751112000000006</v>
      </c>
      <c r="O1046" s="57">
        <f t="shared" si="209"/>
        <v>1911.3111600000004</v>
      </c>
      <c r="P1046" s="58">
        <f t="shared" si="210"/>
        <v>417.01334400000002</v>
      </c>
      <c r="Q1046" s="58">
        <f t="shared" si="211"/>
        <v>278.00889599999999</v>
      </c>
      <c r="R1046" s="66">
        <f t="shared" si="212"/>
        <v>33.447945300000008</v>
      </c>
      <c r="S1046" s="64">
        <f t="shared" si="213"/>
        <v>206.25</v>
      </c>
      <c r="T1046" s="66">
        <f t="shared" si="214"/>
        <v>2151.0091053000006</v>
      </c>
      <c r="U1046" s="68">
        <f t="shared" si="215"/>
        <v>39.109256460000012</v>
      </c>
      <c r="V1046" s="68">
        <f t="shared" si="216"/>
        <v>469.31107752000008</v>
      </c>
      <c r="W1046" s="68">
        <f t="shared" si="217"/>
        <v>312.87405168000004</v>
      </c>
    </row>
    <row r="1047" spans="1:23" x14ac:dyDescent="0.25">
      <c r="A1047" t="s">
        <v>888</v>
      </c>
      <c r="B1047" s="37" t="s">
        <v>397</v>
      </c>
      <c r="C1047" t="s">
        <v>591</v>
      </c>
      <c r="D1047" t="s">
        <v>593</v>
      </c>
      <c r="E1047" t="s">
        <v>379</v>
      </c>
      <c r="F1047" s="62" t="str">
        <f t="shared" si="218"/>
        <v>64559</v>
      </c>
      <c r="G1047" s="1">
        <v>10620042</v>
      </c>
      <c r="H1047" s="1" t="s">
        <v>387</v>
      </c>
      <c r="I1047" s="61">
        <v>40</v>
      </c>
      <c r="J1047" s="61">
        <v>6.4</v>
      </c>
      <c r="K1047" s="61">
        <v>8.4</v>
      </c>
      <c r="L1047" s="69">
        <f t="shared" si="207"/>
        <v>2.56</v>
      </c>
      <c r="M1047" s="69">
        <f t="shared" si="208"/>
        <v>3.36</v>
      </c>
      <c r="N1047" s="56">
        <f>INDEX(Rate_Chart!$A$1:$AK$127,MATCH(Data!J1047,Rate_Chart!$A$1:$A$127,0),MATCH(Data!K1047,Rate_Chart!$A$1:$AK$1,0))</f>
        <v>51.836799999999997</v>
      </c>
      <c r="O1047" s="57">
        <f t="shared" si="209"/>
        <v>2073.4719999999998</v>
      </c>
      <c r="P1047" s="58">
        <f t="shared" si="210"/>
        <v>431.9733333333333</v>
      </c>
      <c r="Q1047" s="58">
        <f t="shared" si="211"/>
        <v>287.98222222222222</v>
      </c>
      <c r="R1047" s="66">
        <f t="shared" si="212"/>
        <v>36.285759999999996</v>
      </c>
      <c r="S1047" s="64">
        <f t="shared" si="213"/>
        <v>150</v>
      </c>
      <c r="T1047" s="66">
        <f t="shared" si="214"/>
        <v>2259.7577599999995</v>
      </c>
      <c r="U1047" s="68">
        <f t="shared" si="215"/>
        <v>56.493943999999985</v>
      </c>
      <c r="V1047" s="68">
        <f t="shared" si="216"/>
        <v>470.78286666666656</v>
      </c>
      <c r="W1047" s="68">
        <f t="shared" si="217"/>
        <v>313.85524444444439</v>
      </c>
    </row>
    <row r="1048" spans="1:23" x14ac:dyDescent="0.25">
      <c r="A1048" t="s">
        <v>888</v>
      </c>
      <c r="B1048" s="37" t="s">
        <v>397</v>
      </c>
      <c r="C1048" t="s">
        <v>591</v>
      </c>
      <c r="D1048" t="s">
        <v>593</v>
      </c>
      <c r="E1048" t="s">
        <v>379</v>
      </c>
      <c r="F1048" s="62" t="str">
        <f t="shared" si="218"/>
        <v>64559</v>
      </c>
      <c r="G1048" s="1">
        <v>10620042</v>
      </c>
      <c r="H1048" s="1" t="s">
        <v>388</v>
      </c>
      <c r="I1048" s="61">
        <v>46</v>
      </c>
      <c r="J1048" s="61">
        <v>3</v>
      </c>
      <c r="K1048" s="61">
        <v>8</v>
      </c>
      <c r="L1048" s="69">
        <f t="shared" si="207"/>
        <v>1.38</v>
      </c>
      <c r="M1048" s="69">
        <f t="shared" si="208"/>
        <v>3.68</v>
      </c>
      <c r="N1048" s="56">
        <f>INDEX(Rate_Chart!$A$1:$AK$127,MATCH(Data!J1048,Rate_Chart!$A$1:$A$127,0),MATCH(Data!K1048,Rate_Chart!$A$1:$AK$1,0))</f>
        <v>34.751112000000006</v>
      </c>
      <c r="O1048" s="57">
        <f t="shared" si="209"/>
        <v>1598.5511520000002</v>
      </c>
      <c r="P1048" s="58">
        <f t="shared" si="210"/>
        <v>417.01334400000002</v>
      </c>
      <c r="Q1048" s="58">
        <f t="shared" si="211"/>
        <v>278.00889599999999</v>
      </c>
      <c r="R1048" s="66">
        <f t="shared" si="212"/>
        <v>27.974645160000005</v>
      </c>
      <c r="S1048" s="64">
        <f t="shared" si="213"/>
        <v>172.5</v>
      </c>
      <c r="T1048" s="66">
        <f t="shared" si="214"/>
        <v>1799.0257971600001</v>
      </c>
      <c r="U1048" s="68">
        <f t="shared" si="215"/>
        <v>39.109256460000005</v>
      </c>
      <c r="V1048" s="68">
        <f t="shared" si="216"/>
        <v>469.31107752000003</v>
      </c>
      <c r="W1048" s="68">
        <f t="shared" si="217"/>
        <v>312.87405168000004</v>
      </c>
    </row>
    <row r="1049" spans="1:23" x14ac:dyDescent="0.25">
      <c r="A1049" t="s">
        <v>889</v>
      </c>
      <c r="B1049" s="37" t="s">
        <v>396</v>
      </c>
      <c r="C1049" t="s">
        <v>591</v>
      </c>
      <c r="D1049" t="s">
        <v>593</v>
      </c>
      <c r="E1049" t="s">
        <v>379</v>
      </c>
      <c r="F1049" s="62" t="str">
        <f t="shared" si="218"/>
        <v>64559</v>
      </c>
      <c r="G1049" s="1">
        <v>10620042</v>
      </c>
      <c r="H1049" s="1" t="s">
        <v>387</v>
      </c>
      <c r="I1049" s="61">
        <v>41</v>
      </c>
      <c r="J1049" s="61">
        <v>6</v>
      </c>
      <c r="K1049" s="61">
        <v>8.4</v>
      </c>
      <c r="L1049" s="69">
        <f t="shared" si="207"/>
        <v>2.46</v>
      </c>
      <c r="M1049" s="69">
        <f t="shared" si="208"/>
        <v>3.4440000000000004</v>
      </c>
      <c r="N1049" s="56">
        <f>INDEX(Rate_Chart!$A$1:$AK$127,MATCH(Data!J1049,Rate_Chart!$A$1:$A$127,0),MATCH(Data!K1049,Rate_Chart!$A$1:$AK$1,0))</f>
        <v>48.597000000000001</v>
      </c>
      <c r="O1049" s="57">
        <f t="shared" si="209"/>
        <v>1992.4770000000001</v>
      </c>
      <c r="P1049" s="58">
        <f t="shared" si="210"/>
        <v>418.93965517241384</v>
      </c>
      <c r="Q1049" s="58">
        <f t="shared" si="211"/>
        <v>279.29310344827587</v>
      </c>
      <c r="R1049" s="66">
        <f t="shared" si="212"/>
        <v>34.868347500000006</v>
      </c>
      <c r="S1049" s="64">
        <f t="shared" si="213"/>
        <v>153.75</v>
      </c>
      <c r="T1049" s="66">
        <f t="shared" si="214"/>
        <v>2181.0953475000001</v>
      </c>
      <c r="U1049" s="68">
        <f t="shared" si="215"/>
        <v>53.197447500000003</v>
      </c>
      <c r="V1049" s="68">
        <f t="shared" si="216"/>
        <v>458.59868534482763</v>
      </c>
      <c r="W1049" s="68">
        <f t="shared" si="217"/>
        <v>305.73245689655175</v>
      </c>
    </row>
    <row r="1050" spans="1:23" x14ac:dyDescent="0.25">
      <c r="A1050" t="s">
        <v>889</v>
      </c>
      <c r="B1050" s="37" t="s">
        <v>396</v>
      </c>
      <c r="C1050" t="s">
        <v>591</v>
      </c>
      <c r="D1050" t="s">
        <v>593</v>
      </c>
      <c r="E1050" t="s">
        <v>379</v>
      </c>
      <c r="F1050" s="62" t="str">
        <f t="shared" si="218"/>
        <v>64559</v>
      </c>
      <c r="G1050" s="1">
        <v>10620042</v>
      </c>
      <c r="H1050" s="1" t="s">
        <v>388</v>
      </c>
      <c r="I1050" s="61">
        <v>55</v>
      </c>
      <c r="J1050" s="61">
        <v>3</v>
      </c>
      <c r="K1050" s="61">
        <v>8</v>
      </c>
      <c r="L1050" s="69">
        <f t="shared" si="207"/>
        <v>1.65</v>
      </c>
      <c r="M1050" s="69">
        <f t="shared" si="208"/>
        <v>4.4000000000000004</v>
      </c>
      <c r="N1050" s="56">
        <f>INDEX(Rate_Chart!$A$1:$AK$127,MATCH(Data!J1050,Rate_Chart!$A$1:$A$127,0),MATCH(Data!K1050,Rate_Chart!$A$1:$AK$1,0))</f>
        <v>34.751112000000006</v>
      </c>
      <c r="O1050" s="57">
        <f t="shared" si="209"/>
        <v>1911.3111600000004</v>
      </c>
      <c r="P1050" s="58">
        <f t="shared" si="210"/>
        <v>417.01334400000002</v>
      </c>
      <c r="Q1050" s="58">
        <f t="shared" si="211"/>
        <v>278.00889599999999</v>
      </c>
      <c r="R1050" s="66">
        <f t="shared" si="212"/>
        <v>33.447945300000008</v>
      </c>
      <c r="S1050" s="64">
        <f t="shared" si="213"/>
        <v>206.25</v>
      </c>
      <c r="T1050" s="66">
        <f t="shared" si="214"/>
        <v>2151.0091053000006</v>
      </c>
      <c r="U1050" s="68">
        <f t="shared" si="215"/>
        <v>39.109256460000012</v>
      </c>
      <c r="V1050" s="68">
        <f t="shared" si="216"/>
        <v>469.31107752000008</v>
      </c>
      <c r="W1050" s="68">
        <f t="shared" si="217"/>
        <v>312.87405168000004</v>
      </c>
    </row>
    <row r="1051" spans="1:23" x14ac:dyDescent="0.25">
      <c r="A1051" t="s">
        <v>889</v>
      </c>
      <c r="B1051" s="37" t="s">
        <v>397</v>
      </c>
      <c r="C1051" t="s">
        <v>591</v>
      </c>
      <c r="D1051" t="s">
        <v>593</v>
      </c>
      <c r="E1051" t="s">
        <v>379</v>
      </c>
      <c r="F1051" s="62" t="str">
        <f t="shared" si="218"/>
        <v>64559</v>
      </c>
      <c r="G1051" s="1">
        <v>10620042</v>
      </c>
      <c r="H1051" s="1" t="s">
        <v>387</v>
      </c>
      <c r="I1051" s="61">
        <v>40</v>
      </c>
      <c r="J1051" s="61">
        <v>6.5</v>
      </c>
      <c r="K1051" s="61">
        <v>8.8000000000000007</v>
      </c>
      <c r="L1051" s="69">
        <f t="shared" si="207"/>
        <v>2.6</v>
      </c>
      <c r="M1051" s="69">
        <f t="shared" si="208"/>
        <v>3.52</v>
      </c>
      <c r="N1051" s="56">
        <f>INDEX(Rate_Chart!$A$1:$AK$127,MATCH(Data!J1051,Rate_Chart!$A$1:$A$127,0),MATCH(Data!K1051,Rate_Chart!$A$1:$AK$1,0))</f>
        <v>53.732250000000001</v>
      </c>
      <c r="O1051" s="57">
        <f t="shared" si="209"/>
        <v>2149.29</v>
      </c>
      <c r="P1051" s="58">
        <f t="shared" si="210"/>
        <v>434.49258760107813</v>
      </c>
      <c r="Q1051" s="58">
        <f t="shared" si="211"/>
        <v>289.66172506738542</v>
      </c>
      <c r="R1051" s="66">
        <f t="shared" si="212"/>
        <v>37.612575</v>
      </c>
      <c r="S1051" s="64">
        <f t="shared" si="213"/>
        <v>150</v>
      </c>
      <c r="T1051" s="66">
        <f t="shared" si="214"/>
        <v>2336.9025750000001</v>
      </c>
      <c r="U1051" s="68">
        <f t="shared" si="215"/>
        <v>58.422564375</v>
      </c>
      <c r="V1051" s="68">
        <f t="shared" si="216"/>
        <v>472.41965801886789</v>
      </c>
      <c r="W1051" s="68">
        <f t="shared" si="217"/>
        <v>314.94643867924526</v>
      </c>
    </row>
    <row r="1052" spans="1:23" x14ac:dyDescent="0.25">
      <c r="A1052" t="s">
        <v>889</v>
      </c>
      <c r="B1052" s="37" t="s">
        <v>397</v>
      </c>
      <c r="C1052" t="s">
        <v>591</v>
      </c>
      <c r="D1052" t="s">
        <v>593</v>
      </c>
      <c r="E1052" t="s">
        <v>379</v>
      </c>
      <c r="F1052" s="62" t="str">
        <f t="shared" si="218"/>
        <v>64559</v>
      </c>
      <c r="G1052" s="1">
        <v>10620042</v>
      </c>
      <c r="H1052" s="1" t="s">
        <v>388</v>
      </c>
      <c r="I1052" s="61">
        <v>41</v>
      </c>
      <c r="J1052" s="61">
        <v>3</v>
      </c>
      <c r="K1052" s="61">
        <v>8</v>
      </c>
      <c r="L1052" s="69">
        <f t="shared" si="207"/>
        <v>1.23</v>
      </c>
      <c r="M1052" s="69">
        <f t="shared" si="208"/>
        <v>3.28</v>
      </c>
      <c r="N1052" s="56">
        <f>INDEX(Rate_Chart!$A$1:$AK$127,MATCH(Data!J1052,Rate_Chart!$A$1:$A$127,0),MATCH(Data!K1052,Rate_Chart!$A$1:$AK$1,0))</f>
        <v>34.751112000000006</v>
      </c>
      <c r="O1052" s="57">
        <f t="shared" si="209"/>
        <v>1424.7955920000002</v>
      </c>
      <c r="P1052" s="58">
        <f t="shared" si="210"/>
        <v>417.01334400000002</v>
      </c>
      <c r="Q1052" s="58">
        <f t="shared" si="211"/>
        <v>278.00889599999999</v>
      </c>
      <c r="R1052" s="66">
        <f t="shared" si="212"/>
        <v>24.933922860000006</v>
      </c>
      <c r="S1052" s="64">
        <f t="shared" si="213"/>
        <v>153.75</v>
      </c>
      <c r="T1052" s="66">
        <f t="shared" si="214"/>
        <v>1603.4795148600001</v>
      </c>
      <c r="U1052" s="68">
        <f t="shared" si="215"/>
        <v>39.109256460000005</v>
      </c>
      <c r="V1052" s="68">
        <f t="shared" si="216"/>
        <v>469.31107752000003</v>
      </c>
      <c r="W1052" s="68">
        <f t="shared" si="217"/>
        <v>312.87405168000004</v>
      </c>
    </row>
    <row r="1053" spans="1:23" x14ac:dyDescent="0.25">
      <c r="A1053" t="s">
        <v>890</v>
      </c>
      <c r="B1053" s="37" t="s">
        <v>396</v>
      </c>
      <c r="C1053" t="s">
        <v>591</v>
      </c>
      <c r="D1053" t="s">
        <v>593</v>
      </c>
      <c r="E1053" t="s">
        <v>379</v>
      </c>
      <c r="F1053" s="62" t="str">
        <f t="shared" si="218"/>
        <v>64559</v>
      </c>
      <c r="G1053" s="1">
        <v>10620042</v>
      </c>
      <c r="H1053" s="1" t="s">
        <v>387</v>
      </c>
      <c r="I1053" s="61">
        <v>41</v>
      </c>
      <c r="J1053" s="61">
        <v>6</v>
      </c>
      <c r="K1053" s="61">
        <v>8.4</v>
      </c>
      <c r="L1053" s="69">
        <f t="shared" si="207"/>
        <v>2.46</v>
      </c>
      <c r="M1053" s="69">
        <f t="shared" si="208"/>
        <v>3.4440000000000004</v>
      </c>
      <c r="N1053" s="56">
        <f>INDEX(Rate_Chart!$A$1:$AK$127,MATCH(Data!J1053,Rate_Chart!$A$1:$A$127,0),MATCH(Data!K1053,Rate_Chart!$A$1:$AK$1,0))</f>
        <v>48.597000000000001</v>
      </c>
      <c r="O1053" s="57">
        <f t="shared" si="209"/>
        <v>1992.4770000000001</v>
      </c>
      <c r="P1053" s="58">
        <f t="shared" si="210"/>
        <v>418.93965517241384</v>
      </c>
      <c r="Q1053" s="58">
        <f t="shared" si="211"/>
        <v>279.29310344827587</v>
      </c>
      <c r="R1053" s="66">
        <f t="shared" si="212"/>
        <v>34.868347500000006</v>
      </c>
      <c r="S1053" s="64">
        <f t="shared" si="213"/>
        <v>153.75</v>
      </c>
      <c r="T1053" s="66">
        <f t="shared" si="214"/>
        <v>2181.0953475000001</v>
      </c>
      <c r="U1053" s="68">
        <f t="shared" si="215"/>
        <v>53.197447500000003</v>
      </c>
      <c r="V1053" s="68">
        <f t="shared" si="216"/>
        <v>458.59868534482763</v>
      </c>
      <c r="W1053" s="68">
        <f t="shared" si="217"/>
        <v>305.73245689655175</v>
      </c>
    </row>
    <row r="1054" spans="1:23" x14ac:dyDescent="0.25">
      <c r="A1054" t="s">
        <v>890</v>
      </c>
      <c r="B1054" s="37" t="s">
        <v>396</v>
      </c>
      <c r="C1054" t="s">
        <v>591</v>
      </c>
      <c r="D1054" t="s">
        <v>593</v>
      </c>
      <c r="E1054" t="s">
        <v>379</v>
      </c>
      <c r="F1054" s="62" t="str">
        <f t="shared" si="218"/>
        <v>64559</v>
      </c>
      <c r="G1054" s="1">
        <v>10620042</v>
      </c>
      <c r="H1054" s="1" t="s">
        <v>388</v>
      </c>
      <c r="I1054" s="61">
        <v>53</v>
      </c>
      <c r="J1054" s="61">
        <v>3</v>
      </c>
      <c r="K1054" s="61">
        <v>8</v>
      </c>
      <c r="L1054" s="69">
        <f t="shared" si="207"/>
        <v>1.59</v>
      </c>
      <c r="M1054" s="69">
        <f t="shared" si="208"/>
        <v>4.24</v>
      </c>
      <c r="N1054" s="56">
        <f>INDEX(Rate_Chart!$A$1:$AK$127,MATCH(Data!J1054,Rate_Chart!$A$1:$A$127,0),MATCH(Data!K1054,Rate_Chart!$A$1:$AK$1,0))</f>
        <v>34.751112000000006</v>
      </c>
      <c r="O1054" s="57">
        <f t="shared" si="209"/>
        <v>1841.8089360000004</v>
      </c>
      <c r="P1054" s="58">
        <f t="shared" si="210"/>
        <v>417.01334400000002</v>
      </c>
      <c r="Q1054" s="58">
        <f t="shared" si="211"/>
        <v>278.00889599999999</v>
      </c>
      <c r="R1054" s="66">
        <f t="shared" si="212"/>
        <v>32.231656380000011</v>
      </c>
      <c r="S1054" s="64">
        <f t="shared" si="213"/>
        <v>198.75</v>
      </c>
      <c r="T1054" s="66">
        <f t="shared" si="214"/>
        <v>2072.7905923800004</v>
      </c>
      <c r="U1054" s="68">
        <f t="shared" si="215"/>
        <v>39.109256460000005</v>
      </c>
      <c r="V1054" s="68">
        <f t="shared" si="216"/>
        <v>469.31107752000003</v>
      </c>
      <c r="W1054" s="68">
        <f t="shared" si="217"/>
        <v>312.87405168000004</v>
      </c>
    </row>
    <row r="1055" spans="1:23" x14ac:dyDescent="0.25">
      <c r="A1055" t="s">
        <v>890</v>
      </c>
      <c r="B1055" s="37" t="s">
        <v>397</v>
      </c>
      <c r="C1055" t="s">
        <v>591</v>
      </c>
      <c r="D1055" t="s">
        <v>593</v>
      </c>
      <c r="E1055" t="s">
        <v>379</v>
      </c>
      <c r="F1055" s="62" t="str">
        <f t="shared" si="218"/>
        <v>64559</v>
      </c>
      <c r="G1055" s="1">
        <v>10620042</v>
      </c>
      <c r="H1055" s="1" t="s">
        <v>387</v>
      </c>
      <c r="I1055" s="61">
        <v>40</v>
      </c>
      <c r="J1055" s="61">
        <v>6.9</v>
      </c>
      <c r="K1055" s="61">
        <v>9</v>
      </c>
      <c r="L1055" s="69">
        <f t="shared" si="207"/>
        <v>2.76</v>
      </c>
      <c r="M1055" s="69">
        <f t="shared" si="208"/>
        <v>3.6</v>
      </c>
      <c r="N1055" s="56">
        <f>INDEX(Rate_Chart!$A$1:$AK$127,MATCH(Data!J1055,Rate_Chart!$A$1:$A$127,0),MATCH(Data!K1055,Rate_Chart!$A$1:$AK$1,0))</f>
        <v>57.615000000000002</v>
      </c>
      <c r="O1055" s="57">
        <f t="shared" si="209"/>
        <v>2304.6</v>
      </c>
      <c r="P1055" s="58">
        <f t="shared" si="210"/>
        <v>446.62790697674421</v>
      </c>
      <c r="Q1055" s="58">
        <f t="shared" si="211"/>
        <v>297.75193798449612</v>
      </c>
      <c r="R1055" s="66">
        <f t="shared" si="212"/>
        <v>40.330500000000001</v>
      </c>
      <c r="S1055" s="64">
        <f t="shared" si="213"/>
        <v>150</v>
      </c>
      <c r="T1055" s="66">
        <f t="shared" si="214"/>
        <v>2494.9304999999999</v>
      </c>
      <c r="U1055" s="68">
        <f t="shared" si="215"/>
        <v>62.373262499999996</v>
      </c>
      <c r="V1055" s="68">
        <f t="shared" si="216"/>
        <v>483.51366279069765</v>
      </c>
      <c r="W1055" s="68">
        <f t="shared" si="217"/>
        <v>322.3424418604651</v>
      </c>
    </row>
    <row r="1056" spans="1:23" x14ac:dyDescent="0.25">
      <c r="A1056" t="s">
        <v>890</v>
      </c>
      <c r="B1056" s="37" t="s">
        <v>397</v>
      </c>
      <c r="C1056" t="s">
        <v>591</v>
      </c>
      <c r="D1056" t="s">
        <v>593</v>
      </c>
      <c r="E1056" t="s">
        <v>379</v>
      </c>
      <c r="F1056" s="62" t="str">
        <f t="shared" si="218"/>
        <v>64559</v>
      </c>
      <c r="G1056" s="1">
        <v>10620042</v>
      </c>
      <c r="H1056" s="1" t="s">
        <v>388</v>
      </c>
      <c r="I1056" s="61">
        <v>38</v>
      </c>
      <c r="J1056" s="61">
        <v>3.2</v>
      </c>
      <c r="K1056" s="61">
        <v>8</v>
      </c>
      <c r="L1056" s="69">
        <f t="shared" si="207"/>
        <v>1.2160000000000002</v>
      </c>
      <c r="M1056" s="69">
        <f t="shared" si="208"/>
        <v>3.04</v>
      </c>
      <c r="N1056" s="56">
        <f>INDEX(Rate_Chart!$A$1:$AK$127,MATCH(Data!J1056,Rate_Chart!$A$1:$A$127,0),MATCH(Data!K1056,Rate_Chart!$A$1:$AK$1,0))</f>
        <v>35.585112000000002</v>
      </c>
      <c r="O1056" s="57">
        <f t="shared" si="209"/>
        <v>1352.2342560000002</v>
      </c>
      <c r="P1056" s="58">
        <f t="shared" si="210"/>
        <v>417.01303124999998</v>
      </c>
      <c r="Q1056" s="58">
        <f t="shared" si="211"/>
        <v>278.00868750000001</v>
      </c>
      <c r="R1056" s="66">
        <f t="shared" si="212"/>
        <v>23.664099480000004</v>
      </c>
      <c r="S1056" s="64">
        <f t="shared" si="213"/>
        <v>142.5</v>
      </c>
      <c r="T1056" s="66">
        <f t="shared" si="214"/>
        <v>1518.3983554800002</v>
      </c>
      <c r="U1056" s="68">
        <f t="shared" si="215"/>
        <v>39.957851460000008</v>
      </c>
      <c r="V1056" s="68">
        <f t="shared" si="216"/>
        <v>468.25607179687501</v>
      </c>
      <c r="W1056" s="68">
        <f t="shared" si="217"/>
        <v>312.17071453124998</v>
      </c>
    </row>
    <row r="1057" spans="1:23" x14ac:dyDescent="0.25">
      <c r="A1057" t="s">
        <v>891</v>
      </c>
      <c r="B1057" s="37" t="s">
        <v>396</v>
      </c>
      <c r="C1057" t="s">
        <v>591</v>
      </c>
      <c r="D1057" t="s">
        <v>593</v>
      </c>
      <c r="E1057" t="s">
        <v>379</v>
      </c>
      <c r="F1057" s="62" t="str">
        <f t="shared" si="218"/>
        <v>64559</v>
      </c>
      <c r="G1057" s="1">
        <v>10620042</v>
      </c>
      <c r="H1057" s="1" t="s">
        <v>387</v>
      </c>
      <c r="I1057" s="61">
        <v>39</v>
      </c>
      <c r="J1057" s="61">
        <v>6.4</v>
      </c>
      <c r="K1057" s="61">
        <v>8.6</v>
      </c>
      <c r="L1057" s="69">
        <f t="shared" si="207"/>
        <v>2.4960000000000004</v>
      </c>
      <c r="M1057" s="69">
        <f t="shared" si="208"/>
        <v>3.3539999999999996</v>
      </c>
      <c r="N1057" s="56">
        <f>INDEX(Rate_Chart!$A$1:$AK$127,MATCH(Data!J1057,Rate_Chart!$A$1:$A$127,0),MATCH(Data!K1057,Rate_Chart!$A$1:$AK$1,0))</f>
        <v>52.371199999999995</v>
      </c>
      <c r="O1057" s="57">
        <f t="shared" si="209"/>
        <v>2042.4767999999997</v>
      </c>
      <c r="P1057" s="58">
        <f t="shared" si="210"/>
        <v>431.6307692307692</v>
      </c>
      <c r="Q1057" s="58">
        <f t="shared" si="211"/>
        <v>287.75384615384615</v>
      </c>
      <c r="R1057" s="66">
        <f t="shared" si="212"/>
        <v>35.743344</v>
      </c>
      <c r="S1057" s="64">
        <f t="shared" si="213"/>
        <v>146.25</v>
      </c>
      <c r="T1057" s="66">
        <f t="shared" si="214"/>
        <v>2224.4701439999999</v>
      </c>
      <c r="U1057" s="68">
        <f t="shared" si="215"/>
        <v>57.037695999999997</v>
      </c>
      <c r="V1057" s="68">
        <f t="shared" si="216"/>
        <v>470.0909010989011</v>
      </c>
      <c r="W1057" s="68">
        <f t="shared" si="217"/>
        <v>313.39393406593405</v>
      </c>
    </row>
    <row r="1058" spans="1:23" x14ac:dyDescent="0.25">
      <c r="A1058" t="s">
        <v>891</v>
      </c>
      <c r="B1058" s="37" t="s">
        <v>396</v>
      </c>
      <c r="C1058" t="s">
        <v>591</v>
      </c>
      <c r="D1058" t="s">
        <v>593</v>
      </c>
      <c r="E1058" t="s">
        <v>379</v>
      </c>
      <c r="F1058" s="62" t="str">
        <f t="shared" si="218"/>
        <v>64559</v>
      </c>
      <c r="G1058" s="1">
        <v>10620042</v>
      </c>
      <c r="H1058" s="1" t="s">
        <v>388</v>
      </c>
      <c r="I1058" s="61">
        <v>7</v>
      </c>
      <c r="J1058" s="61">
        <v>3</v>
      </c>
      <c r="K1058" s="61">
        <v>8</v>
      </c>
      <c r="L1058" s="69">
        <f t="shared" si="207"/>
        <v>0.21</v>
      </c>
      <c r="M1058" s="69">
        <f t="shared" si="208"/>
        <v>0.56000000000000005</v>
      </c>
      <c r="N1058" s="56">
        <f>INDEX(Rate_Chart!$A$1:$AK$127,MATCH(Data!J1058,Rate_Chart!$A$1:$A$127,0),MATCH(Data!K1058,Rate_Chart!$A$1:$AK$1,0))</f>
        <v>34.751112000000006</v>
      </c>
      <c r="O1058" s="57">
        <f t="shared" si="209"/>
        <v>243.25778400000004</v>
      </c>
      <c r="P1058" s="58">
        <f t="shared" si="210"/>
        <v>417.01334400000002</v>
      </c>
      <c r="Q1058" s="58">
        <f t="shared" si="211"/>
        <v>278.00889599999999</v>
      </c>
      <c r="R1058" s="66">
        <f t="shared" si="212"/>
        <v>4.2570112200000008</v>
      </c>
      <c r="S1058" s="64">
        <f t="shared" si="213"/>
        <v>26.25</v>
      </c>
      <c r="T1058" s="66">
        <f t="shared" si="214"/>
        <v>273.76479522000005</v>
      </c>
      <c r="U1058" s="68">
        <f t="shared" si="215"/>
        <v>39.109256460000005</v>
      </c>
      <c r="V1058" s="68">
        <f t="shared" si="216"/>
        <v>469.31107752000003</v>
      </c>
      <c r="W1058" s="68">
        <f t="shared" si="217"/>
        <v>312.87405168000004</v>
      </c>
    </row>
    <row r="1059" spans="1:23" x14ac:dyDescent="0.25">
      <c r="A1059" t="s">
        <v>891</v>
      </c>
      <c r="B1059" s="37" t="s">
        <v>397</v>
      </c>
      <c r="C1059" t="s">
        <v>591</v>
      </c>
      <c r="D1059" t="s">
        <v>593</v>
      </c>
      <c r="E1059" t="s">
        <v>379</v>
      </c>
      <c r="F1059" s="62" t="str">
        <f t="shared" si="218"/>
        <v>64559</v>
      </c>
      <c r="G1059" s="1">
        <v>10620042</v>
      </c>
      <c r="H1059" s="1" t="s">
        <v>387</v>
      </c>
      <c r="I1059" s="61">
        <v>28</v>
      </c>
      <c r="J1059" s="61">
        <v>6</v>
      </c>
      <c r="K1059" s="61">
        <v>8.4</v>
      </c>
      <c r="L1059" s="69">
        <f t="shared" si="207"/>
        <v>1.68</v>
      </c>
      <c r="M1059" s="69">
        <f t="shared" si="208"/>
        <v>2.3520000000000003</v>
      </c>
      <c r="N1059" s="56">
        <f>INDEX(Rate_Chart!$A$1:$AK$127,MATCH(Data!J1059,Rate_Chart!$A$1:$A$127,0),MATCH(Data!K1059,Rate_Chart!$A$1:$AK$1,0))</f>
        <v>48.597000000000001</v>
      </c>
      <c r="O1059" s="57">
        <f t="shared" si="209"/>
        <v>1360.7160000000001</v>
      </c>
      <c r="P1059" s="58">
        <f t="shared" si="210"/>
        <v>418.93965517241384</v>
      </c>
      <c r="Q1059" s="58">
        <f t="shared" si="211"/>
        <v>279.29310344827587</v>
      </c>
      <c r="R1059" s="66">
        <f t="shared" si="212"/>
        <v>23.812530000000006</v>
      </c>
      <c r="S1059" s="64">
        <f t="shared" si="213"/>
        <v>105</v>
      </c>
      <c r="T1059" s="66">
        <f t="shared" si="214"/>
        <v>1489.52853</v>
      </c>
      <c r="U1059" s="68">
        <f t="shared" si="215"/>
        <v>53.197447500000003</v>
      </c>
      <c r="V1059" s="68">
        <f t="shared" si="216"/>
        <v>458.59868534482763</v>
      </c>
      <c r="W1059" s="68">
        <f t="shared" si="217"/>
        <v>305.73245689655175</v>
      </c>
    </row>
    <row r="1060" spans="1:23" x14ac:dyDescent="0.25">
      <c r="A1060" t="s">
        <v>891</v>
      </c>
      <c r="B1060" s="37" t="s">
        <v>397</v>
      </c>
      <c r="C1060" t="s">
        <v>591</v>
      </c>
      <c r="D1060" t="s">
        <v>593</v>
      </c>
      <c r="E1060" t="s">
        <v>379</v>
      </c>
      <c r="F1060" s="62" t="str">
        <f t="shared" si="218"/>
        <v>64559</v>
      </c>
      <c r="G1060" s="1">
        <v>10620042</v>
      </c>
      <c r="H1060" s="1" t="s">
        <v>388</v>
      </c>
      <c r="I1060" s="61">
        <v>36</v>
      </c>
      <c r="J1060" s="61">
        <v>3</v>
      </c>
      <c r="K1060" s="61">
        <v>8</v>
      </c>
      <c r="L1060" s="69">
        <f t="shared" si="207"/>
        <v>1.08</v>
      </c>
      <c r="M1060" s="69">
        <f t="shared" si="208"/>
        <v>2.88</v>
      </c>
      <c r="N1060" s="56">
        <f>INDEX(Rate_Chart!$A$1:$AK$127,MATCH(Data!J1060,Rate_Chart!$A$1:$A$127,0),MATCH(Data!K1060,Rate_Chart!$A$1:$AK$1,0))</f>
        <v>34.751112000000006</v>
      </c>
      <c r="O1060" s="57">
        <f t="shared" si="209"/>
        <v>1251.0400320000003</v>
      </c>
      <c r="P1060" s="58">
        <f t="shared" si="210"/>
        <v>417.01334400000002</v>
      </c>
      <c r="Q1060" s="58">
        <f t="shared" si="211"/>
        <v>278.00889599999999</v>
      </c>
      <c r="R1060" s="66">
        <f t="shared" si="212"/>
        <v>21.893200560000007</v>
      </c>
      <c r="S1060" s="64">
        <f t="shared" si="213"/>
        <v>135</v>
      </c>
      <c r="T1060" s="66">
        <f t="shared" si="214"/>
        <v>1407.9332325600003</v>
      </c>
      <c r="U1060" s="68">
        <f t="shared" si="215"/>
        <v>39.109256460000012</v>
      </c>
      <c r="V1060" s="68">
        <f t="shared" si="216"/>
        <v>469.31107752000008</v>
      </c>
      <c r="W1060" s="68">
        <f t="shared" si="217"/>
        <v>312.87405168000004</v>
      </c>
    </row>
    <row r="1061" spans="1:23" x14ac:dyDescent="0.25">
      <c r="A1061" t="s">
        <v>892</v>
      </c>
      <c r="B1061" s="37" t="s">
        <v>396</v>
      </c>
      <c r="C1061" t="s">
        <v>591</v>
      </c>
      <c r="D1061" t="s">
        <v>593</v>
      </c>
      <c r="E1061" t="s">
        <v>379</v>
      </c>
      <c r="F1061" s="62" t="str">
        <f t="shared" si="218"/>
        <v>64559</v>
      </c>
      <c r="G1061" s="1">
        <v>10620042</v>
      </c>
      <c r="H1061" s="1" t="s">
        <v>387</v>
      </c>
      <c r="I1061" s="61">
        <v>32</v>
      </c>
      <c r="J1061" s="61">
        <v>6.2</v>
      </c>
      <c r="K1061" s="61">
        <v>8.4</v>
      </c>
      <c r="L1061" s="69">
        <f t="shared" si="207"/>
        <v>1.984</v>
      </c>
      <c r="M1061" s="69">
        <f t="shared" si="208"/>
        <v>2.6880000000000002</v>
      </c>
      <c r="N1061" s="56">
        <f>INDEX(Rate_Chart!$A$1:$AK$127,MATCH(Data!J1061,Rate_Chart!$A$1:$A$127,0),MATCH(Data!K1061,Rate_Chart!$A$1:$AK$1,0))</f>
        <v>50.216900000000003</v>
      </c>
      <c r="O1061" s="57">
        <f t="shared" si="209"/>
        <v>1606.9408000000001</v>
      </c>
      <c r="P1061" s="58">
        <f t="shared" si="210"/>
        <v>425.56694915254241</v>
      </c>
      <c r="Q1061" s="58">
        <f t="shared" si="211"/>
        <v>283.71129943502825</v>
      </c>
      <c r="R1061" s="66">
        <f t="shared" si="212"/>
        <v>28.121464000000003</v>
      </c>
      <c r="S1061" s="64">
        <f t="shared" si="213"/>
        <v>120</v>
      </c>
      <c r="T1061" s="66">
        <f t="shared" si="214"/>
        <v>1755.0622640000001</v>
      </c>
      <c r="U1061" s="68">
        <f t="shared" si="215"/>
        <v>54.845695750000004</v>
      </c>
      <c r="V1061" s="68">
        <f t="shared" si="216"/>
        <v>464.79403177966105</v>
      </c>
      <c r="W1061" s="68">
        <f t="shared" si="217"/>
        <v>309.86268785310739</v>
      </c>
    </row>
    <row r="1062" spans="1:23" x14ac:dyDescent="0.25">
      <c r="A1062" t="s">
        <v>892</v>
      </c>
      <c r="B1062" s="37" t="s">
        <v>396</v>
      </c>
      <c r="C1062" t="s">
        <v>591</v>
      </c>
      <c r="D1062" t="s">
        <v>593</v>
      </c>
      <c r="E1062" t="s">
        <v>379</v>
      </c>
      <c r="F1062" s="62" t="str">
        <f t="shared" si="218"/>
        <v>64559</v>
      </c>
      <c r="G1062" s="1">
        <v>10620042</v>
      </c>
      <c r="H1062" s="1" t="s">
        <v>388</v>
      </c>
      <c r="I1062" s="61">
        <v>8</v>
      </c>
      <c r="J1062" s="61">
        <v>3</v>
      </c>
      <c r="K1062" s="61">
        <v>8</v>
      </c>
      <c r="L1062" s="69">
        <f t="shared" si="207"/>
        <v>0.24</v>
      </c>
      <c r="M1062" s="69">
        <f t="shared" si="208"/>
        <v>0.64</v>
      </c>
      <c r="N1062" s="56">
        <f>INDEX(Rate_Chart!$A$1:$AK$127,MATCH(Data!J1062,Rate_Chart!$A$1:$A$127,0),MATCH(Data!K1062,Rate_Chart!$A$1:$AK$1,0))</f>
        <v>34.751112000000006</v>
      </c>
      <c r="O1062" s="57">
        <f t="shared" si="209"/>
        <v>278.00889600000005</v>
      </c>
      <c r="P1062" s="58">
        <f t="shared" si="210"/>
        <v>417.01334400000002</v>
      </c>
      <c r="Q1062" s="58">
        <f t="shared" si="211"/>
        <v>278.00889599999999</v>
      </c>
      <c r="R1062" s="66">
        <f t="shared" si="212"/>
        <v>4.8651556800000018</v>
      </c>
      <c r="S1062" s="64">
        <f t="shared" si="213"/>
        <v>30</v>
      </c>
      <c r="T1062" s="66">
        <f t="shared" si="214"/>
        <v>312.87405168000004</v>
      </c>
      <c r="U1062" s="68">
        <f t="shared" si="215"/>
        <v>39.109256460000005</v>
      </c>
      <c r="V1062" s="68">
        <f t="shared" si="216"/>
        <v>469.31107752000003</v>
      </c>
      <c r="W1062" s="68">
        <f t="shared" si="217"/>
        <v>312.87405168000004</v>
      </c>
    </row>
    <row r="1063" spans="1:23" x14ac:dyDescent="0.25">
      <c r="A1063" t="s">
        <v>892</v>
      </c>
      <c r="B1063" s="37" t="s">
        <v>397</v>
      </c>
      <c r="C1063" t="s">
        <v>591</v>
      </c>
      <c r="D1063" t="s">
        <v>593</v>
      </c>
      <c r="E1063" t="s">
        <v>379</v>
      </c>
      <c r="F1063" s="62" t="str">
        <f t="shared" si="218"/>
        <v>64559</v>
      </c>
      <c r="G1063" s="1">
        <v>10620042</v>
      </c>
      <c r="H1063" s="1" t="s">
        <v>387</v>
      </c>
      <c r="I1063" s="61">
        <v>56</v>
      </c>
      <c r="J1063" s="61">
        <v>5.8</v>
      </c>
      <c r="K1063" s="61">
        <v>8.4</v>
      </c>
      <c r="L1063" s="69">
        <f t="shared" si="207"/>
        <v>3.2480000000000002</v>
      </c>
      <c r="M1063" s="69">
        <f t="shared" si="208"/>
        <v>4.7040000000000006</v>
      </c>
      <c r="N1063" s="56">
        <f>INDEX(Rate_Chart!$A$1:$AK$127,MATCH(Data!J1063,Rate_Chart!$A$1:$A$127,0),MATCH(Data!K1063,Rate_Chart!$A$1:$AK$1,0))</f>
        <v>46.9771</v>
      </c>
      <c r="O1063" s="57">
        <f t="shared" si="209"/>
        <v>2630.7175999999999</v>
      </c>
      <c r="P1063" s="58">
        <f t="shared" si="210"/>
        <v>412.07982456140354</v>
      </c>
      <c r="Q1063" s="58">
        <f t="shared" si="211"/>
        <v>274.71988304093571</v>
      </c>
      <c r="R1063" s="66">
        <f t="shared" si="212"/>
        <v>46.037558000000004</v>
      </c>
      <c r="S1063" s="64">
        <f t="shared" si="213"/>
        <v>210</v>
      </c>
      <c r="T1063" s="66">
        <f t="shared" si="214"/>
        <v>2886.7551579999999</v>
      </c>
      <c r="U1063" s="68">
        <f t="shared" si="215"/>
        <v>51.549199250000001</v>
      </c>
      <c r="V1063" s="68">
        <f t="shared" si="216"/>
        <v>452.18595833333336</v>
      </c>
      <c r="W1063" s="68">
        <f t="shared" si="217"/>
        <v>301.45730555555559</v>
      </c>
    </row>
    <row r="1064" spans="1:23" x14ac:dyDescent="0.25">
      <c r="A1064" t="s">
        <v>892</v>
      </c>
      <c r="B1064" s="37" t="s">
        <v>397</v>
      </c>
      <c r="C1064" t="s">
        <v>591</v>
      </c>
      <c r="D1064" t="s">
        <v>593</v>
      </c>
      <c r="E1064" t="s">
        <v>379</v>
      </c>
      <c r="F1064" s="62" t="str">
        <f t="shared" si="218"/>
        <v>64559</v>
      </c>
      <c r="G1064" s="1">
        <v>10620042</v>
      </c>
      <c r="H1064" s="1" t="s">
        <v>388</v>
      </c>
      <c r="I1064" s="61">
        <v>25</v>
      </c>
      <c r="J1064" s="61">
        <v>3</v>
      </c>
      <c r="K1064" s="61">
        <v>8</v>
      </c>
      <c r="L1064" s="69">
        <f t="shared" si="207"/>
        <v>0.75</v>
      </c>
      <c r="M1064" s="69">
        <f t="shared" si="208"/>
        <v>2</v>
      </c>
      <c r="N1064" s="56">
        <f>INDEX(Rate_Chart!$A$1:$AK$127,MATCH(Data!J1064,Rate_Chart!$A$1:$A$127,0),MATCH(Data!K1064,Rate_Chart!$A$1:$AK$1,0))</f>
        <v>34.751112000000006</v>
      </c>
      <c r="O1064" s="57">
        <f t="shared" si="209"/>
        <v>868.77780000000018</v>
      </c>
      <c r="P1064" s="58">
        <f t="shared" si="210"/>
        <v>417.01334400000002</v>
      </c>
      <c r="Q1064" s="58">
        <f t="shared" si="211"/>
        <v>278.00889599999999</v>
      </c>
      <c r="R1064" s="66">
        <f t="shared" si="212"/>
        <v>15.203611500000004</v>
      </c>
      <c r="S1064" s="64">
        <f t="shared" si="213"/>
        <v>93.75</v>
      </c>
      <c r="T1064" s="66">
        <f t="shared" si="214"/>
        <v>977.73141150000015</v>
      </c>
      <c r="U1064" s="68">
        <f t="shared" si="215"/>
        <v>39.109256460000005</v>
      </c>
      <c r="V1064" s="68">
        <f t="shared" si="216"/>
        <v>469.31107752000003</v>
      </c>
      <c r="W1064" s="68">
        <f t="shared" si="217"/>
        <v>312.87405168000004</v>
      </c>
    </row>
    <row r="1065" spans="1:23" x14ac:dyDescent="0.25">
      <c r="A1065" t="s">
        <v>893</v>
      </c>
      <c r="B1065" s="37" t="s">
        <v>396</v>
      </c>
      <c r="C1065" t="s">
        <v>591</v>
      </c>
      <c r="D1065" t="s">
        <v>593</v>
      </c>
      <c r="E1065" t="s">
        <v>379</v>
      </c>
      <c r="F1065" s="62" t="str">
        <f t="shared" si="218"/>
        <v>64559</v>
      </c>
      <c r="G1065" s="1">
        <v>10620042</v>
      </c>
      <c r="H1065" s="1" t="s">
        <v>387</v>
      </c>
      <c r="I1065" s="61">
        <v>41</v>
      </c>
      <c r="J1065" s="61">
        <v>6.8</v>
      </c>
      <c r="K1065" s="61">
        <v>8.4</v>
      </c>
      <c r="L1065" s="69">
        <f t="shared" si="207"/>
        <v>2.7880000000000003</v>
      </c>
      <c r="M1065" s="69">
        <f t="shared" si="208"/>
        <v>3.4440000000000004</v>
      </c>
      <c r="N1065" s="56">
        <f>INDEX(Rate_Chart!$A$1:$AK$127,MATCH(Data!J1065,Rate_Chart!$A$1:$A$127,0),MATCH(Data!K1065,Rate_Chart!$A$1:$AK$1,0))</f>
        <v>55.076599999999999</v>
      </c>
      <c r="O1065" s="57">
        <f t="shared" si="209"/>
        <v>2258.1406000000002</v>
      </c>
      <c r="P1065" s="58">
        <f t="shared" si="210"/>
        <v>444.16612903225808</v>
      </c>
      <c r="Q1065" s="58">
        <f t="shared" si="211"/>
        <v>296.11075268817206</v>
      </c>
      <c r="R1065" s="66">
        <f t="shared" si="212"/>
        <v>39.517460500000006</v>
      </c>
      <c r="S1065" s="64">
        <f t="shared" si="213"/>
        <v>153.75</v>
      </c>
      <c r="T1065" s="66">
        <f t="shared" si="214"/>
        <v>2451.4080605000004</v>
      </c>
      <c r="U1065" s="68">
        <f t="shared" si="215"/>
        <v>59.79044050000001</v>
      </c>
      <c r="V1065" s="68">
        <f t="shared" si="216"/>
        <v>482.18097177419361</v>
      </c>
      <c r="W1065" s="68">
        <f t="shared" si="217"/>
        <v>321.45398118279576</v>
      </c>
    </row>
    <row r="1066" spans="1:23" x14ac:dyDescent="0.25">
      <c r="A1066" t="s">
        <v>893</v>
      </c>
      <c r="B1066" s="37" t="s">
        <v>396</v>
      </c>
      <c r="C1066" t="s">
        <v>591</v>
      </c>
      <c r="D1066" t="s">
        <v>593</v>
      </c>
      <c r="E1066" t="s">
        <v>379</v>
      </c>
      <c r="F1066" s="62" t="str">
        <f t="shared" si="218"/>
        <v>64559</v>
      </c>
      <c r="G1066" s="1">
        <v>10620042</v>
      </c>
      <c r="H1066" s="1" t="s">
        <v>388</v>
      </c>
      <c r="I1066" s="61">
        <v>32</v>
      </c>
      <c r="J1066" s="61">
        <v>3</v>
      </c>
      <c r="K1066" s="61">
        <v>8</v>
      </c>
      <c r="L1066" s="69">
        <f t="shared" si="207"/>
        <v>0.96</v>
      </c>
      <c r="M1066" s="69">
        <f t="shared" si="208"/>
        <v>2.56</v>
      </c>
      <c r="N1066" s="56">
        <f>INDEX(Rate_Chart!$A$1:$AK$127,MATCH(Data!J1066,Rate_Chart!$A$1:$A$127,0),MATCH(Data!K1066,Rate_Chart!$A$1:$AK$1,0))</f>
        <v>34.751112000000006</v>
      </c>
      <c r="O1066" s="57">
        <f t="shared" si="209"/>
        <v>1112.0355840000002</v>
      </c>
      <c r="P1066" s="58">
        <f t="shared" si="210"/>
        <v>417.01334400000002</v>
      </c>
      <c r="Q1066" s="58">
        <f t="shared" si="211"/>
        <v>278.00889599999999</v>
      </c>
      <c r="R1066" s="66">
        <f t="shared" si="212"/>
        <v>19.460622720000007</v>
      </c>
      <c r="S1066" s="64">
        <f t="shared" si="213"/>
        <v>120</v>
      </c>
      <c r="T1066" s="66">
        <f t="shared" si="214"/>
        <v>1251.4962067200001</v>
      </c>
      <c r="U1066" s="68">
        <f t="shared" si="215"/>
        <v>39.109256460000005</v>
      </c>
      <c r="V1066" s="68">
        <f t="shared" si="216"/>
        <v>469.31107752000003</v>
      </c>
      <c r="W1066" s="68">
        <f t="shared" si="217"/>
        <v>312.87405168000004</v>
      </c>
    </row>
    <row r="1067" spans="1:23" x14ac:dyDescent="0.25">
      <c r="A1067" t="s">
        <v>893</v>
      </c>
      <c r="B1067" s="37" t="s">
        <v>397</v>
      </c>
      <c r="C1067" t="s">
        <v>591</v>
      </c>
      <c r="D1067" t="s">
        <v>593</v>
      </c>
      <c r="E1067" t="s">
        <v>379</v>
      </c>
      <c r="F1067" s="62" t="str">
        <f t="shared" si="218"/>
        <v>64559</v>
      </c>
      <c r="G1067" s="1">
        <v>10620042</v>
      </c>
      <c r="H1067" s="1" t="s">
        <v>387</v>
      </c>
      <c r="I1067" s="61">
        <v>40</v>
      </c>
      <c r="J1067" s="61">
        <v>5.9</v>
      </c>
      <c r="K1067" s="61">
        <v>8.6</v>
      </c>
      <c r="L1067" s="69">
        <f t="shared" si="207"/>
        <v>2.36</v>
      </c>
      <c r="M1067" s="69">
        <f t="shared" si="208"/>
        <v>3.44</v>
      </c>
      <c r="N1067" s="56">
        <f>INDEX(Rate_Chart!$A$1:$AK$127,MATCH(Data!J1067,Rate_Chart!$A$1:$A$127,0),MATCH(Data!K1067,Rate_Chart!$A$1:$AK$1,0))</f>
        <v>48.279699999999998</v>
      </c>
      <c r="O1067" s="57">
        <f t="shared" si="209"/>
        <v>1931.1879999999999</v>
      </c>
      <c r="P1067" s="58">
        <f t="shared" si="210"/>
        <v>415.01174785100284</v>
      </c>
      <c r="Q1067" s="58">
        <f t="shared" si="211"/>
        <v>276.67449856733521</v>
      </c>
      <c r="R1067" s="66">
        <f t="shared" si="212"/>
        <v>33.795790000000004</v>
      </c>
      <c r="S1067" s="64">
        <f t="shared" si="213"/>
        <v>150</v>
      </c>
      <c r="T1067" s="66">
        <f t="shared" si="214"/>
        <v>2114.9837899999998</v>
      </c>
      <c r="U1067" s="68">
        <f t="shared" si="215"/>
        <v>52.874594749999993</v>
      </c>
      <c r="V1067" s="68">
        <f t="shared" si="216"/>
        <v>454.50941045845269</v>
      </c>
      <c r="W1067" s="68">
        <f t="shared" si="217"/>
        <v>303.00627363896848</v>
      </c>
    </row>
    <row r="1068" spans="1:23" x14ac:dyDescent="0.25">
      <c r="A1068" t="s">
        <v>893</v>
      </c>
      <c r="B1068" s="37" t="s">
        <v>397</v>
      </c>
      <c r="C1068" t="s">
        <v>591</v>
      </c>
      <c r="D1068" t="s">
        <v>593</v>
      </c>
      <c r="E1068" t="s">
        <v>379</v>
      </c>
      <c r="F1068" s="62" t="str">
        <f t="shared" si="218"/>
        <v>64559</v>
      </c>
      <c r="G1068" s="1">
        <v>10620042</v>
      </c>
      <c r="H1068" s="1" t="s">
        <v>388</v>
      </c>
      <c r="I1068" s="61">
        <v>41</v>
      </c>
      <c r="J1068" s="61">
        <v>3</v>
      </c>
      <c r="K1068" s="61">
        <v>8</v>
      </c>
      <c r="L1068" s="69">
        <f t="shared" si="207"/>
        <v>1.23</v>
      </c>
      <c r="M1068" s="69">
        <f t="shared" si="208"/>
        <v>3.28</v>
      </c>
      <c r="N1068" s="56">
        <f>INDEX(Rate_Chart!$A$1:$AK$127,MATCH(Data!J1068,Rate_Chart!$A$1:$A$127,0),MATCH(Data!K1068,Rate_Chart!$A$1:$AK$1,0))</f>
        <v>34.751112000000006</v>
      </c>
      <c r="O1068" s="57">
        <f t="shared" si="209"/>
        <v>1424.7955920000002</v>
      </c>
      <c r="P1068" s="58">
        <f t="shared" si="210"/>
        <v>417.01334400000002</v>
      </c>
      <c r="Q1068" s="58">
        <f t="shared" si="211"/>
        <v>278.00889599999999</v>
      </c>
      <c r="R1068" s="66">
        <f t="shared" si="212"/>
        <v>24.933922860000006</v>
      </c>
      <c r="S1068" s="64">
        <f t="shared" si="213"/>
        <v>153.75</v>
      </c>
      <c r="T1068" s="66">
        <f t="shared" si="214"/>
        <v>1603.4795148600001</v>
      </c>
      <c r="U1068" s="68">
        <f t="shared" si="215"/>
        <v>39.109256460000005</v>
      </c>
      <c r="V1068" s="68">
        <f t="shared" si="216"/>
        <v>469.31107752000003</v>
      </c>
      <c r="W1068" s="68">
        <f t="shared" si="217"/>
        <v>312.87405168000004</v>
      </c>
    </row>
    <row r="1069" spans="1:23" x14ac:dyDescent="0.25">
      <c r="A1069" t="s">
        <v>894</v>
      </c>
      <c r="B1069" s="37" t="s">
        <v>396</v>
      </c>
      <c r="C1069" t="s">
        <v>591</v>
      </c>
      <c r="D1069" t="s">
        <v>593</v>
      </c>
      <c r="E1069" t="s">
        <v>379</v>
      </c>
      <c r="F1069" s="62" t="str">
        <f t="shared" si="218"/>
        <v>64559</v>
      </c>
      <c r="G1069" s="1">
        <v>10620042</v>
      </c>
      <c r="H1069" s="1" t="s">
        <v>387</v>
      </c>
      <c r="I1069" s="61">
        <v>40</v>
      </c>
      <c r="J1069" s="61">
        <v>6.5</v>
      </c>
      <c r="K1069" s="61">
        <v>8.4</v>
      </c>
      <c r="L1069" s="69">
        <f t="shared" si="207"/>
        <v>2.6</v>
      </c>
      <c r="M1069" s="69">
        <f t="shared" si="208"/>
        <v>3.36</v>
      </c>
      <c r="N1069" s="56">
        <f>INDEX(Rate_Chart!$A$1:$AK$127,MATCH(Data!J1069,Rate_Chart!$A$1:$A$127,0),MATCH(Data!K1069,Rate_Chart!$A$1:$AK$1,0))</f>
        <v>52.646749999999997</v>
      </c>
      <c r="O1069" s="57">
        <f t="shared" si="209"/>
        <v>2105.87</v>
      </c>
      <c r="P1069" s="58">
        <f t="shared" si="210"/>
        <v>435.09710743801651</v>
      </c>
      <c r="Q1069" s="58">
        <f t="shared" si="211"/>
        <v>290.06473829201099</v>
      </c>
      <c r="R1069" s="66">
        <f t="shared" si="212"/>
        <v>36.852725</v>
      </c>
      <c r="S1069" s="64">
        <f t="shared" si="213"/>
        <v>150</v>
      </c>
      <c r="T1069" s="66">
        <f t="shared" si="214"/>
        <v>2292.7227250000001</v>
      </c>
      <c r="U1069" s="68">
        <f t="shared" si="215"/>
        <v>57.318068125000003</v>
      </c>
      <c r="V1069" s="68">
        <f t="shared" si="216"/>
        <v>473.70304235537196</v>
      </c>
      <c r="W1069" s="68">
        <f t="shared" si="217"/>
        <v>315.80202823691462</v>
      </c>
    </row>
    <row r="1070" spans="1:23" x14ac:dyDescent="0.25">
      <c r="A1070" t="s">
        <v>894</v>
      </c>
      <c r="B1070" s="37" t="s">
        <v>396</v>
      </c>
      <c r="C1070" t="s">
        <v>591</v>
      </c>
      <c r="D1070" t="s">
        <v>593</v>
      </c>
      <c r="E1070" t="s">
        <v>379</v>
      </c>
      <c r="F1070" s="62" t="str">
        <f t="shared" si="218"/>
        <v>64559</v>
      </c>
      <c r="G1070" s="1">
        <v>10620042</v>
      </c>
      <c r="H1070" s="1" t="s">
        <v>388</v>
      </c>
      <c r="I1070" s="61">
        <v>50</v>
      </c>
      <c r="J1070" s="61">
        <v>3</v>
      </c>
      <c r="K1070" s="61">
        <v>8</v>
      </c>
      <c r="L1070" s="69">
        <f t="shared" si="207"/>
        <v>1.5</v>
      </c>
      <c r="M1070" s="69">
        <f t="shared" si="208"/>
        <v>4</v>
      </c>
      <c r="N1070" s="56">
        <f>INDEX(Rate_Chart!$A$1:$AK$127,MATCH(Data!J1070,Rate_Chart!$A$1:$A$127,0),MATCH(Data!K1070,Rate_Chart!$A$1:$AK$1,0))</f>
        <v>34.751112000000006</v>
      </c>
      <c r="O1070" s="57">
        <f t="shared" si="209"/>
        <v>1737.5556000000004</v>
      </c>
      <c r="P1070" s="58">
        <f t="shared" si="210"/>
        <v>417.01334400000002</v>
      </c>
      <c r="Q1070" s="58">
        <f t="shared" si="211"/>
        <v>278.00889599999999</v>
      </c>
      <c r="R1070" s="66">
        <f t="shared" si="212"/>
        <v>30.407223000000009</v>
      </c>
      <c r="S1070" s="64">
        <f t="shared" si="213"/>
        <v>187.5</v>
      </c>
      <c r="T1070" s="66">
        <f t="shared" si="214"/>
        <v>1955.4628230000003</v>
      </c>
      <c r="U1070" s="68">
        <f t="shared" si="215"/>
        <v>39.109256460000005</v>
      </c>
      <c r="V1070" s="68">
        <f t="shared" si="216"/>
        <v>469.31107752000003</v>
      </c>
      <c r="W1070" s="68">
        <f t="shared" si="217"/>
        <v>312.87405168000004</v>
      </c>
    </row>
    <row r="1071" spans="1:23" x14ac:dyDescent="0.25">
      <c r="A1071" t="s">
        <v>894</v>
      </c>
      <c r="B1071" s="37" t="s">
        <v>397</v>
      </c>
      <c r="C1071" t="s">
        <v>591</v>
      </c>
      <c r="D1071" t="s">
        <v>593</v>
      </c>
      <c r="E1071" t="s">
        <v>379</v>
      </c>
      <c r="F1071" s="62" t="str">
        <f t="shared" si="218"/>
        <v>64559</v>
      </c>
      <c r="G1071" s="1">
        <v>10620042</v>
      </c>
      <c r="H1071" s="1" t="s">
        <v>387</v>
      </c>
      <c r="I1071" s="61">
        <v>36</v>
      </c>
      <c r="J1071" s="61">
        <v>6.4</v>
      </c>
      <c r="K1071" s="61">
        <v>9</v>
      </c>
      <c r="L1071" s="69">
        <f t="shared" si="207"/>
        <v>2.3040000000000003</v>
      </c>
      <c r="M1071" s="69">
        <f t="shared" si="208"/>
        <v>3.24</v>
      </c>
      <c r="N1071" s="56">
        <f>INDEX(Rate_Chart!$A$1:$AK$127,MATCH(Data!J1071,Rate_Chart!$A$1:$A$127,0),MATCH(Data!K1071,Rate_Chart!$A$1:$AK$1,0))</f>
        <v>53.44</v>
      </c>
      <c r="O1071" s="57">
        <f t="shared" si="209"/>
        <v>1923.84</v>
      </c>
      <c r="P1071" s="58">
        <f t="shared" si="210"/>
        <v>430.96774193548384</v>
      </c>
      <c r="Q1071" s="58">
        <f t="shared" si="211"/>
        <v>287.31182795698925</v>
      </c>
      <c r="R1071" s="66">
        <f t="shared" si="212"/>
        <v>33.667200000000001</v>
      </c>
      <c r="S1071" s="64">
        <f t="shared" si="213"/>
        <v>135</v>
      </c>
      <c r="T1071" s="66">
        <f t="shared" si="214"/>
        <v>2092.5072</v>
      </c>
      <c r="U1071" s="68">
        <f t="shared" si="215"/>
        <v>58.1252</v>
      </c>
      <c r="V1071" s="68">
        <f t="shared" si="216"/>
        <v>468.7516129032258</v>
      </c>
      <c r="W1071" s="68">
        <f t="shared" si="217"/>
        <v>312.5010752688172</v>
      </c>
    </row>
    <row r="1072" spans="1:23" x14ac:dyDescent="0.25">
      <c r="A1072" t="s">
        <v>888</v>
      </c>
      <c r="B1072" s="37" t="s">
        <v>396</v>
      </c>
      <c r="C1072" t="s">
        <v>591</v>
      </c>
      <c r="D1072" t="s">
        <v>593</v>
      </c>
      <c r="E1072" t="s">
        <v>380</v>
      </c>
      <c r="F1072" s="62" t="str">
        <f t="shared" si="218"/>
        <v>64560</v>
      </c>
      <c r="G1072" s="1">
        <v>10620048</v>
      </c>
      <c r="H1072" s="1" t="s">
        <v>388</v>
      </c>
      <c r="I1072" s="61">
        <v>11</v>
      </c>
      <c r="J1072" s="61">
        <v>5</v>
      </c>
      <c r="K1072" s="61">
        <v>8.5</v>
      </c>
      <c r="L1072" s="69">
        <f t="shared" ref="L1072:L1135" si="219">J1072*I1072/100</f>
        <v>0.55000000000000004</v>
      </c>
      <c r="M1072" s="69">
        <f t="shared" ref="M1072:M1135" si="220">K1072*I1072/100</f>
        <v>0.93500000000000005</v>
      </c>
      <c r="N1072" s="56">
        <f>INDEX(Rate_Chart!$A$1:$AK$127,MATCH(Data!J1072,Rate_Chart!$A$1:$A$127,0),MATCH(Data!K1072,Rate_Chart!$A$1:$AK$1,0))</f>
        <v>44.481181500000005</v>
      </c>
      <c r="O1072" s="57">
        <f t="shared" ref="O1072:O1135" si="221">N1072*I1072</f>
        <v>489.29299650000007</v>
      </c>
      <c r="P1072" s="58">
        <f t="shared" ref="P1072:P1135" si="222">N1072/(J1072%+K1072%*2/3)</f>
        <v>417.01107656250002</v>
      </c>
      <c r="Q1072" s="58">
        <f t="shared" ref="Q1072:Q1135" si="223">P1072*2/3</f>
        <v>278.00738437500002</v>
      </c>
      <c r="R1072" s="66">
        <f t="shared" ref="R1072:R1135" si="224">O1072*1.75%</f>
        <v>8.5626274387500025</v>
      </c>
      <c r="S1072" s="64">
        <f t="shared" ref="S1072:S1135" si="225">I1072*3.75</f>
        <v>41.25</v>
      </c>
      <c r="T1072" s="66">
        <f t="shared" ref="T1072:T1135" si="226">R1072+S1072+O1072</f>
        <v>539.10562393875011</v>
      </c>
      <c r="U1072" s="68">
        <f t="shared" ref="U1072:U1135" si="227">T1072/I1072</f>
        <v>49.009602176250013</v>
      </c>
      <c r="V1072" s="68">
        <f t="shared" ref="V1072:V1135" si="228">U1072/(J1072%+K1072%*2/3)</f>
        <v>459.46502040234384</v>
      </c>
      <c r="W1072" s="68">
        <f t="shared" ref="W1072:W1135" si="229">V1072*2/3</f>
        <v>306.31001360156256</v>
      </c>
    </row>
    <row r="1073" spans="1:23" x14ac:dyDescent="0.25">
      <c r="A1073" t="s">
        <v>889</v>
      </c>
      <c r="B1073" s="37" t="s">
        <v>396</v>
      </c>
      <c r="C1073" t="s">
        <v>591</v>
      </c>
      <c r="D1073" t="s">
        <v>593</v>
      </c>
      <c r="E1073" t="s">
        <v>380</v>
      </c>
      <c r="F1073" s="62" t="str">
        <f t="shared" si="218"/>
        <v>64560</v>
      </c>
      <c r="G1073" s="1">
        <v>10620048</v>
      </c>
      <c r="H1073" s="1" t="s">
        <v>387</v>
      </c>
      <c r="I1073" s="61">
        <v>10</v>
      </c>
      <c r="J1073" s="61">
        <v>5.6</v>
      </c>
      <c r="K1073" s="61">
        <v>8.4</v>
      </c>
      <c r="L1073" s="69">
        <f t="shared" si="219"/>
        <v>0.56000000000000005</v>
      </c>
      <c r="M1073" s="69">
        <f t="shared" si="220"/>
        <v>0.84</v>
      </c>
      <c r="N1073" s="56">
        <f>INDEX(Rate_Chart!$A$1:$AK$127,MATCH(Data!J1073,Rate_Chart!$A$1:$A$127,0),MATCH(Data!K1073,Rate_Chart!$A$1:$AK$1,0))</f>
        <v>45.357199999999999</v>
      </c>
      <c r="O1073" s="57">
        <f t="shared" si="221"/>
        <v>453.572</v>
      </c>
      <c r="P1073" s="58">
        <f t="shared" si="222"/>
        <v>404.97500000000002</v>
      </c>
      <c r="Q1073" s="58">
        <f t="shared" si="223"/>
        <v>269.98333333333335</v>
      </c>
      <c r="R1073" s="66">
        <f t="shared" si="224"/>
        <v>7.9375100000000005</v>
      </c>
      <c r="S1073" s="64">
        <f t="shared" si="225"/>
        <v>37.5</v>
      </c>
      <c r="T1073" s="66">
        <f t="shared" si="226"/>
        <v>499.00950999999998</v>
      </c>
      <c r="U1073" s="68">
        <f t="shared" si="227"/>
        <v>49.900950999999999</v>
      </c>
      <c r="V1073" s="68">
        <f t="shared" si="228"/>
        <v>445.54420535714291</v>
      </c>
      <c r="W1073" s="68">
        <f t="shared" si="229"/>
        <v>297.02947023809526</v>
      </c>
    </row>
    <row r="1074" spans="1:23" x14ac:dyDescent="0.25">
      <c r="A1074" t="s">
        <v>890</v>
      </c>
      <c r="B1074" s="37" t="s">
        <v>396</v>
      </c>
      <c r="C1074" t="s">
        <v>591</v>
      </c>
      <c r="D1074" t="s">
        <v>593</v>
      </c>
      <c r="E1074" t="s">
        <v>380</v>
      </c>
      <c r="F1074" s="62" t="str">
        <f t="shared" si="218"/>
        <v>64560</v>
      </c>
      <c r="G1074" s="1">
        <v>10620048</v>
      </c>
      <c r="H1074" s="1" t="s">
        <v>388</v>
      </c>
      <c r="I1074" s="61">
        <v>11</v>
      </c>
      <c r="J1074" s="61">
        <v>5</v>
      </c>
      <c r="K1074" s="61">
        <v>8.5</v>
      </c>
      <c r="L1074" s="69">
        <f t="shared" si="219"/>
        <v>0.55000000000000004</v>
      </c>
      <c r="M1074" s="69">
        <f t="shared" si="220"/>
        <v>0.93500000000000005</v>
      </c>
      <c r="N1074" s="56">
        <f>INDEX(Rate_Chart!$A$1:$AK$127,MATCH(Data!J1074,Rate_Chart!$A$1:$A$127,0),MATCH(Data!K1074,Rate_Chart!$A$1:$AK$1,0))</f>
        <v>44.481181500000005</v>
      </c>
      <c r="O1074" s="57">
        <f t="shared" si="221"/>
        <v>489.29299650000007</v>
      </c>
      <c r="P1074" s="58">
        <f t="shared" si="222"/>
        <v>417.01107656250002</v>
      </c>
      <c r="Q1074" s="58">
        <f t="shared" si="223"/>
        <v>278.00738437500002</v>
      </c>
      <c r="R1074" s="66">
        <f t="shared" si="224"/>
        <v>8.5626274387500025</v>
      </c>
      <c r="S1074" s="64">
        <f t="shared" si="225"/>
        <v>41.25</v>
      </c>
      <c r="T1074" s="66">
        <f t="shared" si="226"/>
        <v>539.10562393875011</v>
      </c>
      <c r="U1074" s="68">
        <f t="shared" si="227"/>
        <v>49.009602176250013</v>
      </c>
      <c r="V1074" s="68">
        <f t="shared" si="228"/>
        <v>459.46502040234384</v>
      </c>
      <c r="W1074" s="68">
        <f t="shared" si="229"/>
        <v>306.31001360156256</v>
      </c>
    </row>
    <row r="1075" spans="1:23" x14ac:dyDescent="0.25">
      <c r="A1075" t="s">
        <v>891</v>
      </c>
      <c r="B1075" s="37" t="s">
        <v>396</v>
      </c>
      <c r="C1075" t="s">
        <v>591</v>
      </c>
      <c r="D1075" t="s">
        <v>593</v>
      </c>
      <c r="E1075" t="s">
        <v>380</v>
      </c>
      <c r="F1075" s="62" t="str">
        <f t="shared" si="218"/>
        <v>64560</v>
      </c>
      <c r="G1075" s="1">
        <v>10620048</v>
      </c>
      <c r="H1075" s="1" t="s">
        <v>388</v>
      </c>
      <c r="I1075" s="61">
        <v>8</v>
      </c>
      <c r="J1075" s="61">
        <v>4.8</v>
      </c>
      <c r="K1075" s="61">
        <v>8.5</v>
      </c>
      <c r="L1075" s="69">
        <f t="shared" si="219"/>
        <v>0.38400000000000001</v>
      </c>
      <c r="M1075" s="69">
        <f t="shared" si="220"/>
        <v>0.68</v>
      </c>
      <c r="N1075" s="56">
        <f>INDEX(Rate_Chart!$A$1:$AK$127,MATCH(Data!J1075,Rate_Chart!$A$1:$A$127,0),MATCH(Data!K1075,Rate_Chart!$A$1:$AK$1,0))</f>
        <v>43.647181500000002</v>
      </c>
      <c r="O1075" s="57">
        <f t="shared" si="221"/>
        <v>349.17745200000002</v>
      </c>
      <c r="P1075" s="58">
        <f t="shared" si="222"/>
        <v>417.0112882165605</v>
      </c>
      <c r="Q1075" s="58">
        <f t="shared" si="223"/>
        <v>278.00752547770702</v>
      </c>
      <c r="R1075" s="66">
        <f t="shared" si="224"/>
        <v>6.1106054100000007</v>
      </c>
      <c r="S1075" s="64">
        <f t="shared" si="225"/>
        <v>30</v>
      </c>
      <c r="T1075" s="66">
        <f t="shared" si="226"/>
        <v>385.28805741000002</v>
      </c>
      <c r="U1075" s="68">
        <f t="shared" si="227"/>
        <v>48.161007176250003</v>
      </c>
      <c r="V1075" s="68">
        <f t="shared" si="228"/>
        <v>460.13701123805731</v>
      </c>
      <c r="W1075" s="68">
        <f t="shared" si="229"/>
        <v>306.75800749203819</v>
      </c>
    </row>
    <row r="1076" spans="1:23" x14ac:dyDescent="0.25">
      <c r="A1076" t="s">
        <v>892</v>
      </c>
      <c r="B1076" s="37" t="s">
        <v>396</v>
      </c>
      <c r="C1076" t="s">
        <v>591</v>
      </c>
      <c r="D1076" t="s">
        <v>593</v>
      </c>
      <c r="E1076" t="s">
        <v>380</v>
      </c>
      <c r="F1076" s="62" t="str">
        <f t="shared" si="218"/>
        <v>64560</v>
      </c>
      <c r="G1076" s="1">
        <v>10620048</v>
      </c>
      <c r="H1076" s="1" t="s">
        <v>387</v>
      </c>
      <c r="I1076" s="61">
        <v>10</v>
      </c>
      <c r="J1076" s="61">
        <v>5.8</v>
      </c>
      <c r="K1076" s="61">
        <v>8.4</v>
      </c>
      <c r="L1076" s="69">
        <f t="shared" si="219"/>
        <v>0.57999999999999996</v>
      </c>
      <c r="M1076" s="69">
        <f t="shared" si="220"/>
        <v>0.84</v>
      </c>
      <c r="N1076" s="56">
        <f>INDEX(Rate_Chart!$A$1:$AK$127,MATCH(Data!J1076,Rate_Chart!$A$1:$A$127,0),MATCH(Data!K1076,Rate_Chart!$A$1:$AK$1,0))</f>
        <v>46.9771</v>
      </c>
      <c r="O1076" s="57">
        <f t="shared" si="221"/>
        <v>469.77100000000002</v>
      </c>
      <c r="P1076" s="58">
        <f t="shared" si="222"/>
        <v>412.07982456140354</v>
      </c>
      <c r="Q1076" s="58">
        <f t="shared" si="223"/>
        <v>274.71988304093571</v>
      </c>
      <c r="R1076" s="66">
        <f t="shared" si="224"/>
        <v>8.2209925000000013</v>
      </c>
      <c r="S1076" s="64">
        <f t="shared" si="225"/>
        <v>37.5</v>
      </c>
      <c r="T1076" s="66">
        <f t="shared" si="226"/>
        <v>515.49199250000004</v>
      </c>
      <c r="U1076" s="68">
        <f t="shared" si="227"/>
        <v>51.549199250000001</v>
      </c>
      <c r="V1076" s="68">
        <f t="shared" si="228"/>
        <v>452.18595833333336</v>
      </c>
      <c r="W1076" s="68">
        <f t="shared" si="229"/>
        <v>301.45730555555559</v>
      </c>
    </row>
    <row r="1077" spans="1:23" x14ac:dyDescent="0.25">
      <c r="A1077" t="s">
        <v>893</v>
      </c>
      <c r="B1077" s="37" t="s">
        <v>396</v>
      </c>
      <c r="C1077" t="s">
        <v>591</v>
      </c>
      <c r="D1077" t="s">
        <v>593</v>
      </c>
      <c r="E1077" t="s">
        <v>380</v>
      </c>
      <c r="F1077" s="62" t="str">
        <f t="shared" si="218"/>
        <v>64560</v>
      </c>
      <c r="G1077" s="1">
        <v>10620048</v>
      </c>
      <c r="H1077" s="1" t="s">
        <v>387</v>
      </c>
      <c r="I1077" s="61">
        <v>11</v>
      </c>
      <c r="J1077" s="61">
        <v>5.8</v>
      </c>
      <c r="K1077" s="61">
        <v>8.4</v>
      </c>
      <c r="L1077" s="69">
        <f t="shared" si="219"/>
        <v>0.63800000000000001</v>
      </c>
      <c r="M1077" s="69">
        <f t="shared" si="220"/>
        <v>0.92400000000000004</v>
      </c>
      <c r="N1077" s="56">
        <f>INDEX(Rate_Chart!$A$1:$AK$127,MATCH(Data!J1077,Rate_Chart!$A$1:$A$127,0),MATCH(Data!K1077,Rate_Chart!$A$1:$AK$1,0))</f>
        <v>46.9771</v>
      </c>
      <c r="O1077" s="57">
        <f t="shared" si="221"/>
        <v>516.74810000000002</v>
      </c>
      <c r="P1077" s="58">
        <f t="shared" si="222"/>
        <v>412.07982456140354</v>
      </c>
      <c r="Q1077" s="58">
        <f t="shared" si="223"/>
        <v>274.71988304093571</v>
      </c>
      <c r="R1077" s="66">
        <f t="shared" si="224"/>
        <v>9.0430917500000021</v>
      </c>
      <c r="S1077" s="64">
        <f t="shared" si="225"/>
        <v>41.25</v>
      </c>
      <c r="T1077" s="66">
        <f t="shared" si="226"/>
        <v>567.04119175000005</v>
      </c>
      <c r="U1077" s="68">
        <f t="shared" si="227"/>
        <v>51.549199250000008</v>
      </c>
      <c r="V1077" s="68">
        <f t="shared" si="228"/>
        <v>452.18595833333342</v>
      </c>
      <c r="W1077" s="68">
        <f t="shared" si="229"/>
        <v>301.45730555555559</v>
      </c>
    </row>
    <row r="1078" spans="1:23" x14ac:dyDescent="0.25">
      <c r="A1078" t="s">
        <v>894</v>
      </c>
      <c r="B1078" s="37" t="s">
        <v>396</v>
      </c>
      <c r="C1078" t="s">
        <v>591</v>
      </c>
      <c r="D1078" t="s">
        <v>593</v>
      </c>
      <c r="E1078" t="s">
        <v>380</v>
      </c>
      <c r="F1078" s="62" t="str">
        <f t="shared" si="218"/>
        <v>64560</v>
      </c>
      <c r="G1078" s="1">
        <v>10620048</v>
      </c>
      <c r="H1078" s="1" t="s">
        <v>388</v>
      </c>
      <c r="I1078" s="61">
        <v>9</v>
      </c>
      <c r="J1078" s="61">
        <v>4.9000000000000004</v>
      </c>
      <c r="K1078" s="61">
        <v>8.1999999999999993</v>
      </c>
      <c r="L1078" s="69">
        <f t="shared" si="219"/>
        <v>0.441</v>
      </c>
      <c r="M1078" s="69">
        <f t="shared" si="220"/>
        <v>0.73799999999999999</v>
      </c>
      <c r="N1078" s="56">
        <f>INDEX(Rate_Chart!$A$1:$AK$127,MATCH(Data!J1078,Rate_Chart!$A$1:$A$127,0),MATCH(Data!K1078,Rate_Chart!$A$1:$AK$1,0))</f>
        <v>43.230139800000003</v>
      </c>
      <c r="O1078" s="57">
        <f t="shared" si="221"/>
        <v>389.07125820000005</v>
      </c>
      <c r="P1078" s="58">
        <f t="shared" si="222"/>
        <v>417.01099485530551</v>
      </c>
      <c r="Q1078" s="58">
        <f t="shared" si="223"/>
        <v>278.00732990353703</v>
      </c>
      <c r="R1078" s="66">
        <f t="shared" si="224"/>
        <v>6.8087470185000019</v>
      </c>
      <c r="S1078" s="64">
        <f t="shared" si="225"/>
        <v>33.75</v>
      </c>
      <c r="T1078" s="66">
        <f t="shared" si="226"/>
        <v>429.63000521850006</v>
      </c>
      <c r="U1078" s="68">
        <f t="shared" si="227"/>
        <v>47.736667246500005</v>
      </c>
      <c r="V1078" s="68">
        <f t="shared" si="228"/>
        <v>460.48232070578786</v>
      </c>
      <c r="W1078" s="68">
        <f t="shared" si="229"/>
        <v>306.98821380385857</v>
      </c>
    </row>
    <row r="1079" spans="1:23" x14ac:dyDescent="0.25">
      <c r="A1079" t="s">
        <v>888</v>
      </c>
      <c r="B1079" s="37" t="s">
        <v>396</v>
      </c>
      <c r="C1079" t="s">
        <v>591</v>
      </c>
      <c r="D1079" t="s">
        <v>594</v>
      </c>
      <c r="E1079" t="s">
        <v>381</v>
      </c>
      <c r="F1079" s="62" t="str">
        <f t="shared" si="218"/>
        <v>64562</v>
      </c>
      <c r="G1079" s="1">
        <v>10620054</v>
      </c>
      <c r="H1079" s="1" t="s">
        <v>387</v>
      </c>
      <c r="I1079" s="61">
        <v>33</v>
      </c>
      <c r="J1079" s="61">
        <v>6.7</v>
      </c>
      <c r="K1079" s="61">
        <v>8.8000000000000007</v>
      </c>
      <c r="L1079" s="69">
        <f t="shared" si="219"/>
        <v>2.2109999999999999</v>
      </c>
      <c r="M1079" s="69">
        <f t="shared" si="220"/>
        <v>2.9040000000000004</v>
      </c>
      <c r="N1079" s="56">
        <f>INDEX(Rate_Chart!$A$1:$AK$127,MATCH(Data!J1079,Rate_Chart!$A$1:$A$127,0),MATCH(Data!K1079,Rate_Chart!$A$1:$AK$1,0))</f>
        <v>55.385550000000002</v>
      </c>
      <c r="O1079" s="57">
        <f t="shared" si="221"/>
        <v>1827.72315</v>
      </c>
      <c r="P1079" s="58">
        <f t="shared" si="222"/>
        <v>440.73381962864721</v>
      </c>
      <c r="Q1079" s="58">
        <f t="shared" si="223"/>
        <v>293.82254641909816</v>
      </c>
      <c r="R1079" s="66">
        <f t="shared" si="224"/>
        <v>31.985155125000002</v>
      </c>
      <c r="S1079" s="64">
        <f t="shared" si="225"/>
        <v>123.75</v>
      </c>
      <c r="T1079" s="66">
        <f t="shared" si="226"/>
        <v>1983.4583051250002</v>
      </c>
      <c r="U1079" s="68">
        <f t="shared" si="227"/>
        <v>60.104797125000005</v>
      </c>
      <c r="V1079" s="68">
        <f t="shared" si="228"/>
        <v>478.28751027851456</v>
      </c>
      <c r="W1079" s="68">
        <f t="shared" si="229"/>
        <v>318.85834018567635</v>
      </c>
    </row>
    <row r="1080" spans="1:23" x14ac:dyDescent="0.25">
      <c r="A1080" t="s">
        <v>888</v>
      </c>
      <c r="B1080" s="37" t="s">
        <v>396</v>
      </c>
      <c r="C1080" t="s">
        <v>591</v>
      </c>
      <c r="D1080" t="s">
        <v>594</v>
      </c>
      <c r="E1080" t="s">
        <v>381</v>
      </c>
      <c r="F1080" s="62" t="str">
        <f t="shared" si="218"/>
        <v>64562</v>
      </c>
      <c r="G1080" s="1">
        <v>10620054</v>
      </c>
      <c r="H1080" s="1" t="s">
        <v>388</v>
      </c>
      <c r="I1080" s="61">
        <v>52</v>
      </c>
      <c r="J1080" s="61">
        <v>3.2</v>
      </c>
      <c r="K1080" s="61">
        <v>8.1</v>
      </c>
      <c r="L1080" s="69">
        <f t="shared" si="219"/>
        <v>1.6640000000000001</v>
      </c>
      <c r="M1080" s="69">
        <f t="shared" si="220"/>
        <v>4.2119999999999997</v>
      </c>
      <c r="N1080" s="56">
        <f>INDEX(Rate_Chart!$A$1:$AK$127,MATCH(Data!J1080,Rate_Chart!$A$1:$A$127,0),MATCH(Data!K1080,Rate_Chart!$A$1:$AK$1,0))</f>
        <v>35.8631259</v>
      </c>
      <c r="O1080" s="57">
        <f t="shared" si="221"/>
        <v>1864.8825468</v>
      </c>
      <c r="P1080" s="58">
        <f t="shared" si="222"/>
        <v>417.01309186046512</v>
      </c>
      <c r="Q1080" s="58">
        <f t="shared" si="223"/>
        <v>278.00872790697673</v>
      </c>
      <c r="R1080" s="66">
        <f t="shared" si="224"/>
        <v>32.635444569000001</v>
      </c>
      <c r="S1080" s="64">
        <f t="shared" si="225"/>
        <v>195</v>
      </c>
      <c r="T1080" s="66">
        <f t="shared" si="226"/>
        <v>2092.5179913689999</v>
      </c>
      <c r="U1080" s="68">
        <f t="shared" si="227"/>
        <v>40.24073060325</v>
      </c>
      <c r="V1080" s="68">
        <f t="shared" si="228"/>
        <v>467.91547213081401</v>
      </c>
      <c r="W1080" s="68">
        <f t="shared" si="229"/>
        <v>311.94364808720934</v>
      </c>
    </row>
    <row r="1081" spans="1:23" x14ac:dyDescent="0.25">
      <c r="A1081" t="s">
        <v>888</v>
      </c>
      <c r="B1081" s="37" t="s">
        <v>397</v>
      </c>
      <c r="C1081" t="s">
        <v>591</v>
      </c>
      <c r="D1081" t="s">
        <v>594</v>
      </c>
      <c r="E1081" t="s">
        <v>381</v>
      </c>
      <c r="F1081" s="62" t="str">
        <f t="shared" si="218"/>
        <v>64562</v>
      </c>
      <c r="G1081" s="1">
        <v>10620054</v>
      </c>
      <c r="H1081" s="1" t="s">
        <v>387</v>
      </c>
      <c r="I1081" s="61">
        <v>16</v>
      </c>
      <c r="J1081" s="61">
        <v>5.8</v>
      </c>
      <c r="K1081" s="61">
        <v>8.6</v>
      </c>
      <c r="L1081" s="69">
        <f t="shared" si="219"/>
        <v>0.92799999999999994</v>
      </c>
      <c r="M1081" s="69">
        <f t="shared" si="220"/>
        <v>1.3759999999999999</v>
      </c>
      <c r="N1081" s="56">
        <f>INDEX(Rate_Chart!$A$1:$AK$127,MATCH(Data!J1081,Rate_Chart!$A$1:$A$127,0),MATCH(Data!K1081,Rate_Chart!$A$1:$AK$1,0))</f>
        <v>47.461399999999998</v>
      </c>
      <c r="O1081" s="57">
        <f t="shared" si="221"/>
        <v>759.38239999999996</v>
      </c>
      <c r="P1081" s="58">
        <f t="shared" si="222"/>
        <v>411.51502890173413</v>
      </c>
      <c r="Q1081" s="58">
        <f t="shared" si="223"/>
        <v>274.34335260115608</v>
      </c>
      <c r="R1081" s="66">
        <f t="shared" si="224"/>
        <v>13.289192</v>
      </c>
      <c r="S1081" s="64">
        <f t="shared" si="225"/>
        <v>60</v>
      </c>
      <c r="T1081" s="66">
        <f t="shared" si="226"/>
        <v>832.67159199999992</v>
      </c>
      <c r="U1081" s="68">
        <f t="shared" si="227"/>
        <v>52.041974499999995</v>
      </c>
      <c r="V1081" s="68">
        <f t="shared" si="228"/>
        <v>451.23099277456652</v>
      </c>
      <c r="W1081" s="68">
        <f t="shared" si="229"/>
        <v>300.82066184971103</v>
      </c>
    </row>
    <row r="1082" spans="1:23" x14ac:dyDescent="0.25">
      <c r="A1082" t="s">
        <v>888</v>
      </c>
      <c r="B1082" s="37" t="s">
        <v>397</v>
      </c>
      <c r="C1082" t="s">
        <v>591</v>
      </c>
      <c r="D1082" t="s">
        <v>594</v>
      </c>
      <c r="E1082" t="s">
        <v>381</v>
      </c>
      <c r="F1082" s="62" t="str">
        <f t="shared" si="218"/>
        <v>64562</v>
      </c>
      <c r="G1082" s="1">
        <v>10620054</v>
      </c>
      <c r="H1082" s="1" t="s">
        <v>388</v>
      </c>
      <c r="I1082" s="61">
        <v>39</v>
      </c>
      <c r="J1082" s="61">
        <v>3.2</v>
      </c>
      <c r="K1082" s="61">
        <v>8.1</v>
      </c>
      <c r="L1082" s="69">
        <f t="shared" si="219"/>
        <v>1.2480000000000002</v>
      </c>
      <c r="M1082" s="69">
        <f t="shared" si="220"/>
        <v>3.1589999999999998</v>
      </c>
      <c r="N1082" s="56">
        <f>INDEX(Rate_Chart!$A$1:$AK$127,MATCH(Data!J1082,Rate_Chart!$A$1:$A$127,0),MATCH(Data!K1082,Rate_Chart!$A$1:$AK$1,0))</f>
        <v>35.8631259</v>
      </c>
      <c r="O1082" s="57">
        <f t="shared" si="221"/>
        <v>1398.6619101000001</v>
      </c>
      <c r="P1082" s="58">
        <f t="shared" si="222"/>
        <v>417.01309186046512</v>
      </c>
      <c r="Q1082" s="58">
        <f t="shared" si="223"/>
        <v>278.00872790697673</v>
      </c>
      <c r="R1082" s="66">
        <f t="shared" si="224"/>
        <v>24.476583426750004</v>
      </c>
      <c r="S1082" s="64">
        <f t="shared" si="225"/>
        <v>146.25</v>
      </c>
      <c r="T1082" s="66">
        <f t="shared" si="226"/>
        <v>1569.3884935267502</v>
      </c>
      <c r="U1082" s="68">
        <f t="shared" si="227"/>
        <v>40.240730603250007</v>
      </c>
      <c r="V1082" s="68">
        <f t="shared" si="228"/>
        <v>467.91547213081407</v>
      </c>
      <c r="W1082" s="68">
        <f t="shared" si="229"/>
        <v>311.9436480872094</v>
      </c>
    </row>
    <row r="1083" spans="1:23" x14ac:dyDescent="0.25">
      <c r="A1083" t="s">
        <v>889</v>
      </c>
      <c r="B1083" s="37" t="s">
        <v>396</v>
      </c>
      <c r="C1083" t="s">
        <v>591</v>
      </c>
      <c r="D1083" t="s">
        <v>594</v>
      </c>
      <c r="E1083" t="s">
        <v>381</v>
      </c>
      <c r="F1083" s="62" t="str">
        <f t="shared" si="218"/>
        <v>64562</v>
      </c>
      <c r="G1083" s="1">
        <v>10620054</v>
      </c>
      <c r="H1083" s="1" t="s">
        <v>387</v>
      </c>
      <c r="I1083" s="61">
        <v>26</v>
      </c>
      <c r="J1083" s="61">
        <v>6.6</v>
      </c>
      <c r="K1083" s="61">
        <v>8.8000000000000007</v>
      </c>
      <c r="L1083" s="69">
        <f t="shared" si="219"/>
        <v>1.716</v>
      </c>
      <c r="M1083" s="69">
        <f t="shared" si="220"/>
        <v>2.2880000000000003</v>
      </c>
      <c r="N1083" s="56">
        <f>INDEX(Rate_Chart!$A$1:$AK$127,MATCH(Data!J1083,Rate_Chart!$A$1:$A$127,0),MATCH(Data!K1083,Rate_Chart!$A$1:$AK$1,0))</f>
        <v>54.558900000000001</v>
      </c>
      <c r="O1083" s="57">
        <f t="shared" si="221"/>
        <v>1418.5314000000001</v>
      </c>
      <c r="P1083" s="58">
        <f t="shared" si="222"/>
        <v>437.63823529411764</v>
      </c>
      <c r="Q1083" s="58">
        <f t="shared" si="223"/>
        <v>291.75882352941176</v>
      </c>
      <c r="R1083" s="66">
        <f t="shared" si="224"/>
        <v>24.824299500000002</v>
      </c>
      <c r="S1083" s="64">
        <f t="shared" si="225"/>
        <v>97.5</v>
      </c>
      <c r="T1083" s="66">
        <f t="shared" si="226"/>
        <v>1540.8556995000001</v>
      </c>
      <c r="U1083" s="68">
        <f t="shared" si="227"/>
        <v>59.263680750000006</v>
      </c>
      <c r="V1083" s="68">
        <f t="shared" si="228"/>
        <v>475.37711831550803</v>
      </c>
      <c r="W1083" s="68">
        <f t="shared" si="229"/>
        <v>316.91807887700537</v>
      </c>
    </row>
    <row r="1084" spans="1:23" x14ac:dyDescent="0.25">
      <c r="A1084" t="s">
        <v>889</v>
      </c>
      <c r="B1084" s="37" t="s">
        <v>396</v>
      </c>
      <c r="C1084" t="s">
        <v>591</v>
      </c>
      <c r="D1084" t="s">
        <v>594</v>
      </c>
      <c r="E1084" t="s">
        <v>381</v>
      </c>
      <c r="F1084" s="62" t="str">
        <f t="shared" si="218"/>
        <v>64562</v>
      </c>
      <c r="G1084" s="1">
        <v>10620054</v>
      </c>
      <c r="H1084" s="1" t="s">
        <v>388</v>
      </c>
      <c r="I1084" s="61">
        <v>53</v>
      </c>
      <c r="J1084" s="61">
        <v>3.6</v>
      </c>
      <c r="K1084" s="61">
        <v>8</v>
      </c>
      <c r="L1084" s="69">
        <f t="shared" si="219"/>
        <v>1.9080000000000001</v>
      </c>
      <c r="M1084" s="69">
        <f t="shared" si="220"/>
        <v>4.24</v>
      </c>
      <c r="N1084" s="56">
        <f>INDEX(Rate_Chart!$A$1:$AK$127,MATCH(Data!J1084,Rate_Chart!$A$1:$A$127,0),MATCH(Data!K1084,Rate_Chart!$A$1:$AK$1,0))</f>
        <v>37.253112000000009</v>
      </c>
      <c r="O1084" s="57">
        <f t="shared" si="221"/>
        <v>1974.4149360000004</v>
      </c>
      <c r="P1084" s="58">
        <f t="shared" si="222"/>
        <v>417.01244776119404</v>
      </c>
      <c r="Q1084" s="58">
        <f t="shared" si="223"/>
        <v>278.00829850746271</v>
      </c>
      <c r="R1084" s="66">
        <f t="shared" si="224"/>
        <v>34.552261380000012</v>
      </c>
      <c r="S1084" s="64">
        <f t="shared" si="225"/>
        <v>198.75</v>
      </c>
      <c r="T1084" s="66">
        <f t="shared" si="226"/>
        <v>2207.7171973800005</v>
      </c>
      <c r="U1084" s="68">
        <f t="shared" si="227"/>
        <v>41.655041460000007</v>
      </c>
      <c r="V1084" s="68">
        <f t="shared" si="228"/>
        <v>466.28777753731345</v>
      </c>
      <c r="W1084" s="68">
        <f t="shared" si="229"/>
        <v>310.85851835820898</v>
      </c>
    </row>
    <row r="1085" spans="1:23" x14ac:dyDescent="0.25">
      <c r="A1085" t="s">
        <v>889</v>
      </c>
      <c r="B1085" s="37" t="s">
        <v>397</v>
      </c>
      <c r="C1085" t="s">
        <v>591</v>
      </c>
      <c r="D1085" t="s">
        <v>594</v>
      </c>
      <c r="E1085" t="s">
        <v>381</v>
      </c>
      <c r="F1085" s="62" t="str">
        <f t="shared" si="218"/>
        <v>64562</v>
      </c>
      <c r="G1085" s="1">
        <v>10620054</v>
      </c>
      <c r="H1085" s="1" t="s">
        <v>387</v>
      </c>
      <c r="I1085" s="61">
        <v>12</v>
      </c>
      <c r="J1085" s="61">
        <v>6.2</v>
      </c>
      <c r="K1085" s="61">
        <v>8.8000000000000007</v>
      </c>
      <c r="L1085" s="69">
        <f t="shared" si="219"/>
        <v>0.74400000000000011</v>
      </c>
      <c r="M1085" s="69">
        <f t="shared" si="220"/>
        <v>1.056</v>
      </c>
      <c r="N1085" s="56">
        <f>INDEX(Rate_Chart!$A$1:$AK$127,MATCH(Data!J1085,Rate_Chart!$A$1:$A$127,0),MATCH(Data!K1085,Rate_Chart!$A$1:$AK$1,0))</f>
        <v>51.252300000000005</v>
      </c>
      <c r="O1085" s="57">
        <f t="shared" si="221"/>
        <v>615.02760000000012</v>
      </c>
      <c r="P1085" s="58">
        <f t="shared" si="222"/>
        <v>424.74281767955802</v>
      </c>
      <c r="Q1085" s="58">
        <f t="shared" si="223"/>
        <v>283.1618784530387</v>
      </c>
      <c r="R1085" s="66">
        <f t="shared" si="224"/>
        <v>10.762983000000004</v>
      </c>
      <c r="S1085" s="64">
        <f t="shared" si="225"/>
        <v>45</v>
      </c>
      <c r="T1085" s="66">
        <f t="shared" si="226"/>
        <v>670.79058300000008</v>
      </c>
      <c r="U1085" s="68">
        <f t="shared" si="227"/>
        <v>55.899215250000005</v>
      </c>
      <c r="V1085" s="68">
        <f t="shared" si="228"/>
        <v>463.25316505524864</v>
      </c>
      <c r="W1085" s="68">
        <f t="shared" si="229"/>
        <v>308.83544337016576</v>
      </c>
    </row>
    <row r="1086" spans="1:23" x14ac:dyDescent="0.25">
      <c r="A1086" t="s">
        <v>889</v>
      </c>
      <c r="B1086" s="37" t="s">
        <v>397</v>
      </c>
      <c r="C1086" t="s">
        <v>591</v>
      </c>
      <c r="D1086" t="s">
        <v>594</v>
      </c>
      <c r="E1086" t="s">
        <v>381</v>
      </c>
      <c r="F1086" s="62" t="str">
        <f t="shared" si="218"/>
        <v>64562</v>
      </c>
      <c r="G1086" s="1">
        <v>10620054</v>
      </c>
      <c r="H1086" s="1" t="s">
        <v>388</v>
      </c>
      <c r="I1086" s="61">
        <v>46</v>
      </c>
      <c r="J1086" s="61">
        <v>3.1</v>
      </c>
      <c r="K1086" s="61">
        <v>8.1</v>
      </c>
      <c r="L1086" s="69">
        <f t="shared" si="219"/>
        <v>1.4259999999999999</v>
      </c>
      <c r="M1086" s="69">
        <f t="shared" si="220"/>
        <v>3.7259999999999995</v>
      </c>
      <c r="N1086" s="56">
        <f>INDEX(Rate_Chart!$A$1:$AK$127,MATCH(Data!J1086,Rate_Chart!$A$1:$A$127,0),MATCH(Data!K1086,Rate_Chart!$A$1:$AK$1,0))</f>
        <v>35.446125899999998</v>
      </c>
      <c r="O1086" s="57">
        <f t="shared" si="221"/>
        <v>1630.5217914</v>
      </c>
      <c r="P1086" s="58">
        <f t="shared" si="222"/>
        <v>417.01324588235298</v>
      </c>
      <c r="Q1086" s="58">
        <f t="shared" si="223"/>
        <v>278.0088305882353</v>
      </c>
      <c r="R1086" s="66">
        <f t="shared" si="224"/>
        <v>28.534131349500001</v>
      </c>
      <c r="S1086" s="64">
        <f t="shared" si="225"/>
        <v>172.5</v>
      </c>
      <c r="T1086" s="66">
        <f t="shared" si="226"/>
        <v>1831.5559227495</v>
      </c>
      <c r="U1086" s="68">
        <f t="shared" si="227"/>
        <v>39.816433103249999</v>
      </c>
      <c r="V1086" s="68">
        <f t="shared" si="228"/>
        <v>468.42862474411766</v>
      </c>
      <c r="W1086" s="68">
        <f t="shared" si="229"/>
        <v>312.28574982941177</v>
      </c>
    </row>
    <row r="1087" spans="1:23" x14ac:dyDescent="0.25">
      <c r="A1087" t="s">
        <v>890</v>
      </c>
      <c r="B1087" s="37" t="s">
        <v>396</v>
      </c>
      <c r="C1087" t="s">
        <v>591</v>
      </c>
      <c r="D1087" t="s">
        <v>594</v>
      </c>
      <c r="E1087" t="s">
        <v>381</v>
      </c>
      <c r="F1087" s="62" t="str">
        <f t="shared" si="218"/>
        <v>64562</v>
      </c>
      <c r="G1087" s="1">
        <v>10620054</v>
      </c>
      <c r="H1087" s="1" t="s">
        <v>387</v>
      </c>
      <c r="I1087" s="61">
        <v>30</v>
      </c>
      <c r="J1087" s="61">
        <v>7.3</v>
      </c>
      <c r="K1087" s="61">
        <v>8.8000000000000007</v>
      </c>
      <c r="L1087" s="69">
        <f t="shared" si="219"/>
        <v>2.19</v>
      </c>
      <c r="M1087" s="69">
        <f t="shared" si="220"/>
        <v>2.64</v>
      </c>
      <c r="N1087" s="56">
        <f>INDEX(Rate_Chart!$A$1:$AK$127,MATCH(Data!J1087,Rate_Chart!$A$1:$A$127,0),MATCH(Data!K1087,Rate_Chart!$A$1:$AK$1,0))</f>
        <v>60.34545</v>
      </c>
      <c r="O1087" s="57">
        <f t="shared" si="221"/>
        <v>1810.3634999999999</v>
      </c>
      <c r="P1087" s="58">
        <f t="shared" si="222"/>
        <v>458.31987341772157</v>
      </c>
      <c r="Q1087" s="58">
        <f t="shared" si="223"/>
        <v>305.54658227848103</v>
      </c>
      <c r="R1087" s="66">
        <f t="shared" si="224"/>
        <v>31.681361250000002</v>
      </c>
      <c r="S1087" s="64">
        <f t="shared" si="225"/>
        <v>112.5</v>
      </c>
      <c r="T1087" s="66">
        <f t="shared" si="226"/>
        <v>1954.5448612499999</v>
      </c>
      <c r="U1087" s="68">
        <f t="shared" si="227"/>
        <v>65.151495374999996</v>
      </c>
      <c r="V1087" s="68">
        <f t="shared" si="228"/>
        <v>494.82148386075949</v>
      </c>
      <c r="W1087" s="68">
        <f t="shared" si="229"/>
        <v>329.88098924050632</v>
      </c>
    </row>
    <row r="1088" spans="1:23" x14ac:dyDescent="0.25">
      <c r="A1088" t="s">
        <v>890</v>
      </c>
      <c r="B1088" s="37" t="s">
        <v>396</v>
      </c>
      <c r="C1088" t="s">
        <v>591</v>
      </c>
      <c r="D1088" t="s">
        <v>594</v>
      </c>
      <c r="E1088" t="s">
        <v>381</v>
      </c>
      <c r="F1088" s="62" t="str">
        <f t="shared" si="218"/>
        <v>64562</v>
      </c>
      <c r="G1088" s="1">
        <v>10620054</v>
      </c>
      <c r="H1088" s="1" t="s">
        <v>388</v>
      </c>
      <c r="I1088" s="61">
        <v>55</v>
      </c>
      <c r="J1088" s="61">
        <v>3.4</v>
      </c>
      <c r="K1088" s="61">
        <v>8.1</v>
      </c>
      <c r="L1088" s="69">
        <f t="shared" si="219"/>
        <v>1.87</v>
      </c>
      <c r="M1088" s="69">
        <f t="shared" si="220"/>
        <v>4.4550000000000001</v>
      </c>
      <c r="N1088" s="56">
        <f>INDEX(Rate_Chart!$A$1:$AK$127,MATCH(Data!J1088,Rate_Chart!$A$1:$A$127,0),MATCH(Data!K1088,Rate_Chart!$A$1:$AK$1,0))</f>
        <v>36.697125900000003</v>
      </c>
      <c r="O1088" s="57">
        <f t="shared" si="221"/>
        <v>2018.3419245000002</v>
      </c>
      <c r="P1088" s="58">
        <f t="shared" si="222"/>
        <v>417.01279431818188</v>
      </c>
      <c r="Q1088" s="58">
        <f t="shared" si="223"/>
        <v>278.00852954545456</v>
      </c>
      <c r="R1088" s="66">
        <f t="shared" si="224"/>
        <v>35.320983678750011</v>
      </c>
      <c r="S1088" s="64">
        <f t="shared" si="225"/>
        <v>206.25</v>
      </c>
      <c r="T1088" s="66">
        <f t="shared" si="226"/>
        <v>2259.9129081787501</v>
      </c>
      <c r="U1088" s="68">
        <f t="shared" si="227"/>
        <v>41.089325603250003</v>
      </c>
      <c r="V1088" s="68">
        <f t="shared" si="228"/>
        <v>466.92415458238645</v>
      </c>
      <c r="W1088" s="68">
        <f t="shared" si="229"/>
        <v>311.28276972159097</v>
      </c>
    </row>
    <row r="1089" spans="1:23" x14ac:dyDescent="0.25">
      <c r="A1089" t="s">
        <v>890</v>
      </c>
      <c r="B1089" s="37" t="s">
        <v>397</v>
      </c>
      <c r="C1089" t="s">
        <v>591</v>
      </c>
      <c r="D1089" t="s">
        <v>594</v>
      </c>
      <c r="E1089" t="s">
        <v>381</v>
      </c>
      <c r="F1089" s="62" t="str">
        <f t="shared" si="218"/>
        <v>64562</v>
      </c>
      <c r="G1089" s="1">
        <v>10620054</v>
      </c>
      <c r="H1089" s="1" t="s">
        <v>387</v>
      </c>
      <c r="I1089" s="61">
        <v>12</v>
      </c>
      <c r="J1089" s="61">
        <v>6</v>
      </c>
      <c r="K1089" s="61">
        <v>8.6</v>
      </c>
      <c r="L1089" s="69">
        <f t="shared" si="219"/>
        <v>0.72</v>
      </c>
      <c r="M1089" s="69">
        <f t="shared" si="220"/>
        <v>1.0319999999999998</v>
      </c>
      <c r="N1089" s="56">
        <f>INDEX(Rate_Chart!$A$1:$AK$127,MATCH(Data!J1089,Rate_Chart!$A$1:$A$127,0),MATCH(Data!K1089,Rate_Chart!$A$1:$AK$1,0))</f>
        <v>49.097999999999999</v>
      </c>
      <c r="O1089" s="57">
        <f t="shared" si="221"/>
        <v>589.17599999999993</v>
      </c>
      <c r="P1089" s="58">
        <f t="shared" si="222"/>
        <v>418.44886363636368</v>
      </c>
      <c r="Q1089" s="58">
        <f t="shared" si="223"/>
        <v>278.96590909090912</v>
      </c>
      <c r="R1089" s="66">
        <f t="shared" si="224"/>
        <v>10.31058</v>
      </c>
      <c r="S1089" s="64">
        <f t="shared" si="225"/>
        <v>45</v>
      </c>
      <c r="T1089" s="66">
        <f t="shared" si="226"/>
        <v>644.48657999999989</v>
      </c>
      <c r="U1089" s="68">
        <f t="shared" si="227"/>
        <v>53.707214999999991</v>
      </c>
      <c r="V1089" s="68">
        <f t="shared" si="228"/>
        <v>457.73194602272724</v>
      </c>
      <c r="W1089" s="68">
        <f t="shared" si="229"/>
        <v>305.15463068181816</v>
      </c>
    </row>
    <row r="1090" spans="1:23" x14ac:dyDescent="0.25">
      <c r="A1090" t="s">
        <v>890</v>
      </c>
      <c r="B1090" s="37" t="s">
        <v>397</v>
      </c>
      <c r="C1090" t="s">
        <v>591</v>
      </c>
      <c r="D1090" t="s">
        <v>594</v>
      </c>
      <c r="E1090" t="s">
        <v>381</v>
      </c>
      <c r="F1090" s="62" t="str">
        <f t="shared" si="218"/>
        <v>64562</v>
      </c>
      <c r="G1090" s="1">
        <v>10620054</v>
      </c>
      <c r="H1090" s="1" t="s">
        <v>388</v>
      </c>
      <c r="I1090" s="61">
        <v>40</v>
      </c>
      <c r="J1090" s="61">
        <v>3</v>
      </c>
      <c r="K1090" s="61">
        <v>8</v>
      </c>
      <c r="L1090" s="69">
        <f t="shared" si="219"/>
        <v>1.2</v>
      </c>
      <c r="M1090" s="69">
        <f t="shared" si="220"/>
        <v>3.2</v>
      </c>
      <c r="N1090" s="56">
        <f>INDEX(Rate_Chart!$A$1:$AK$127,MATCH(Data!J1090,Rate_Chart!$A$1:$A$127,0),MATCH(Data!K1090,Rate_Chart!$A$1:$AK$1,0))</f>
        <v>34.751112000000006</v>
      </c>
      <c r="O1090" s="57">
        <f t="shared" si="221"/>
        <v>1390.0444800000002</v>
      </c>
      <c r="P1090" s="58">
        <f t="shared" si="222"/>
        <v>417.01334400000002</v>
      </c>
      <c r="Q1090" s="58">
        <f t="shared" si="223"/>
        <v>278.00889599999999</v>
      </c>
      <c r="R1090" s="66">
        <f t="shared" si="224"/>
        <v>24.325778400000008</v>
      </c>
      <c r="S1090" s="64">
        <f t="shared" si="225"/>
        <v>150</v>
      </c>
      <c r="T1090" s="66">
        <f t="shared" si="226"/>
        <v>1564.3702584000002</v>
      </c>
      <c r="U1090" s="68">
        <f t="shared" si="227"/>
        <v>39.109256460000005</v>
      </c>
      <c r="V1090" s="68">
        <f t="shared" si="228"/>
        <v>469.31107752000003</v>
      </c>
      <c r="W1090" s="68">
        <f t="shared" si="229"/>
        <v>312.87405168000004</v>
      </c>
    </row>
    <row r="1091" spans="1:23" x14ac:dyDescent="0.25">
      <c r="A1091" t="s">
        <v>891</v>
      </c>
      <c r="B1091" s="37" t="s">
        <v>396</v>
      </c>
      <c r="C1091" t="s">
        <v>591</v>
      </c>
      <c r="D1091" t="s">
        <v>594</v>
      </c>
      <c r="E1091" t="s">
        <v>381</v>
      </c>
      <c r="F1091" s="62" t="str">
        <f t="shared" si="218"/>
        <v>64562</v>
      </c>
      <c r="G1091" s="1">
        <v>10620054</v>
      </c>
      <c r="H1091" s="1" t="s">
        <v>387</v>
      </c>
      <c r="I1091" s="61">
        <v>36</v>
      </c>
      <c r="J1091" s="61">
        <v>7</v>
      </c>
      <c r="K1091" s="61">
        <v>8.8000000000000007</v>
      </c>
      <c r="L1091" s="69">
        <f t="shared" si="219"/>
        <v>2.52</v>
      </c>
      <c r="M1091" s="69">
        <f t="shared" si="220"/>
        <v>3.1680000000000001</v>
      </c>
      <c r="N1091" s="56">
        <f>INDEX(Rate_Chart!$A$1:$AK$127,MATCH(Data!J1091,Rate_Chart!$A$1:$A$127,0),MATCH(Data!K1091,Rate_Chart!$A$1:$AK$1,0))</f>
        <v>57.865500000000004</v>
      </c>
      <c r="O1091" s="57">
        <f t="shared" si="221"/>
        <v>2083.1580000000004</v>
      </c>
      <c r="P1091" s="58">
        <f t="shared" si="222"/>
        <v>449.73186528497411</v>
      </c>
      <c r="Q1091" s="58">
        <f t="shared" si="223"/>
        <v>299.82124352331607</v>
      </c>
      <c r="R1091" s="66">
        <f t="shared" si="224"/>
        <v>36.455265000000011</v>
      </c>
      <c r="S1091" s="64">
        <f t="shared" si="225"/>
        <v>135</v>
      </c>
      <c r="T1091" s="66">
        <f t="shared" si="226"/>
        <v>2254.6132650000004</v>
      </c>
      <c r="U1091" s="68">
        <f t="shared" si="227"/>
        <v>62.628146250000015</v>
      </c>
      <c r="V1091" s="68">
        <f t="shared" si="228"/>
        <v>486.74725064766847</v>
      </c>
      <c r="W1091" s="68">
        <f t="shared" si="229"/>
        <v>324.49816709844566</v>
      </c>
    </row>
    <row r="1092" spans="1:23" x14ac:dyDescent="0.25">
      <c r="A1092" t="s">
        <v>891</v>
      </c>
      <c r="B1092" s="37" t="s">
        <v>396</v>
      </c>
      <c r="C1092" t="s">
        <v>591</v>
      </c>
      <c r="D1092" t="s">
        <v>594</v>
      </c>
      <c r="E1092" t="s">
        <v>381</v>
      </c>
      <c r="F1092" s="62" t="str">
        <f t="shared" si="218"/>
        <v>64562</v>
      </c>
      <c r="G1092" s="1">
        <v>10620054</v>
      </c>
      <c r="H1092" s="1" t="s">
        <v>388</v>
      </c>
      <c r="I1092" s="61">
        <v>46</v>
      </c>
      <c r="J1092" s="61">
        <v>3.2</v>
      </c>
      <c r="K1092" s="61">
        <v>8.1</v>
      </c>
      <c r="L1092" s="69">
        <f t="shared" si="219"/>
        <v>1.4720000000000002</v>
      </c>
      <c r="M1092" s="69">
        <f t="shared" si="220"/>
        <v>3.7259999999999995</v>
      </c>
      <c r="N1092" s="56">
        <f>INDEX(Rate_Chart!$A$1:$AK$127,MATCH(Data!J1092,Rate_Chart!$A$1:$A$127,0),MATCH(Data!K1092,Rate_Chart!$A$1:$AK$1,0))</f>
        <v>35.8631259</v>
      </c>
      <c r="O1092" s="57">
        <f t="shared" si="221"/>
        <v>1649.7037914</v>
      </c>
      <c r="P1092" s="58">
        <f t="shared" si="222"/>
        <v>417.01309186046512</v>
      </c>
      <c r="Q1092" s="58">
        <f t="shared" si="223"/>
        <v>278.00872790697673</v>
      </c>
      <c r="R1092" s="66">
        <f t="shared" si="224"/>
        <v>28.869816349500002</v>
      </c>
      <c r="S1092" s="64">
        <f t="shared" si="225"/>
        <v>172.5</v>
      </c>
      <c r="T1092" s="66">
        <f t="shared" si="226"/>
        <v>1851.0736077495001</v>
      </c>
      <c r="U1092" s="68">
        <f t="shared" si="227"/>
        <v>40.24073060325</v>
      </c>
      <c r="V1092" s="68">
        <f t="shared" si="228"/>
        <v>467.91547213081401</v>
      </c>
      <c r="W1092" s="68">
        <f t="shared" si="229"/>
        <v>311.94364808720934</v>
      </c>
    </row>
    <row r="1093" spans="1:23" x14ac:dyDescent="0.25">
      <c r="A1093" t="s">
        <v>891</v>
      </c>
      <c r="B1093" s="37" t="s">
        <v>397</v>
      </c>
      <c r="C1093" t="s">
        <v>591</v>
      </c>
      <c r="D1093" t="s">
        <v>594</v>
      </c>
      <c r="E1093" t="s">
        <v>381</v>
      </c>
      <c r="F1093" s="62" t="str">
        <f t="shared" ref="F1093:F1156" si="230">MID(E1093,2,5)</f>
        <v>64562</v>
      </c>
      <c r="G1093" s="1">
        <v>10620054</v>
      </c>
      <c r="H1093" s="1" t="s">
        <v>387</v>
      </c>
      <c r="I1093" s="61">
        <v>11</v>
      </c>
      <c r="J1093" s="61">
        <v>6.6</v>
      </c>
      <c r="K1093" s="61">
        <v>8.8000000000000007</v>
      </c>
      <c r="L1093" s="69">
        <f t="shared" si="219"/>
        <v>0.72599999999999998</v>
      </c>
      <c r="M1093" s="69">
        <f t="shared" si="220"/>
        <v>0.96800000000000008</v>
      </c>
      <c r="N1093" s="56">
        <f>INDEX(Rate_Chart!$A$1:$AK$127,MATCH(Data!J1093,Rate_Chart!$A$1:$A$127,0),MATCH(Data!K1093,Rate_Chart!$A$1:$AK$1,0))</f>
        <v>54.558900000000001</v>
      </c>
      <c r="O1093" s="57">
        <f t="shared" si="221"/>
        <v>600.14790000000005</v>
      </c>
      <c r="P1093" s="58">
        <f t="shared" si="222"/>
        <v>437.63823529411764</v>
      </c>
      <c r="Q1093" s="58">
        <f t="shared" si="223"/>
        <v>291.75882352941176</v>
      </c>
      <c r="R1093" s="66">
        <f t="shared" si="224"/>
        <v>10.502588250000002</v>
      </c>
      <c r="S1093" s="64">
        <f t="shared" si="225"/>
        <v>41.25</v>
      </c>
      <c r="T1093" s="66">
        <f t="shared" si="226"/>
        <v>651.90048825000008</v>
      </c>
      <c r="U1093" s="68">
        <f t="shared" si="227"/>
        <v>59.263680750000006</v>
      </c>
      <c r="V1093" s="68">
        <f t="shared" si="228"/>
        <v>475.37711831550803</v>
      </c>
      <c r="W1093" s="68">
        <f t="shared" si="229"/>
        <v>316.91807887700537</v>
      </c>
    </row>
    <row r="1094" spans="1:23" x14ac:dyDescent="0.25">
      <c r="A1094" t="s">
        <v>891</v>
      </c>
      <c r="B1094" s="37" t="s">
        <v>397</v>
      </c>
      <c r="C1094" t="s">
        <v>591</v>
      </c>
      <c r="D1094" t="s">
        <v>594</v>
      </c>
      <c r="E1094" t="s">
        <v>381</v>
      </c>
      <c r="F1094" s="62" t="str">
        <f t="shared" si="230"/>
        <v>64562</v>
      </c>
      <c r="G1094" s="1">
        <v>10620054</v>
      </c>
      <c r="H1094" s="1" t="s">
        <v>388</v>
      </c>
      <c r="I1094" s="61">
        <v>32</v>
      </c>
      <c r="J1094" s="61">
        <v>3</v>
      </c>
      <c r="K1094" s="61">
        <v>8</v>
      </c>
      <c r="L1094" s="69">
        <f t="shared" si="219"/>
        <v>0.96</v>
      </c>
      <c r="M1094" s="69">
        <f t="shared" si="220"/>
        <v>2.56</v>
      </c>
      <c r="N1094" s="56">
        <f>INDEX(Rate_Chart!$A$1:$AK$127,MATCH(Data!J1094,Rate_Chart!$A$1:$A$127,0),MATCH(Data!K1094,Rate_Chart!$A$1:$AK$1,0))</f>
        <v>34.751112000000006</v>
      </c>
      <c r="O1094" s="57">
        <f t="shared" si="221"/>
        <v>1112.0355840000002</v>
      </c>
      <c r="P1094" s="58">
        <f t="shared" si="222"/>
        <v>417.01334400000002</v>
      </c>
      <c r="Q1094" s="58">
        <f t="shared" si="223"/>
        <v>278.00889599999999</v>
      </c>
      <c r="R1094" s="66">
        <f t="shared" si="224"/>
        <v>19.460622720000007</v>
      </c>
      <c r="S1094" s="64">
        <f t="shared" si="225"/>
        <v>120</v>
      </c>
      <c r="T1094" s="66">
        <f t="shared" si="226"/>
        <v>1251.4962067200001</v>
      </c>
      <c r="U1094" s="68">
        <f t="shared" si="227"/>
        <v>39.109256460000005</v>
      </c>
      <c r="V1094" s="68">
        <f t="shared" si="228"/>
        <v>469.31107752000003</v>
      </c>
      <c r="W1094" s="68">
        <f t="shared" si="229"/>
        <v>312.87405168000004</v>
      </c>
    </row>
    <row r="1095" spans="1:23" x14ac:dyDescent="0.25">
      <c r="A1095" t="s">
        <v>892</v>
      </c>
      <c r="B1095" s="37" t="s">
        <v>396</v>
      </c>
      <c r="C1095" t="s">
        <v>591</v>
      </c>
      <c r="D1095" t="s">
        <v>594</v>
      </c>
      <c r="E1095" t="s">
        <v>381</v>
      </c>
      <c r="F1095" s="62" t="str">
        <f t="shared" si="230"/>
        <v>64562</v>
      </c>
      <c r="G1095" s="1">
        <v>10620054</v>
      </c>
      <c r="H1095" s="1" t="s">
        <v>387</v>
      </c>
      <c r="I1095" s="61">
        <v>32</v>
      </c>
      <c r="J1095" s="61">
        <v>7.3</v>
      </c>
      <c r="K1095" s="61">
        <v>8.8000000000000007</v>
      </c>
      <c r="L1095" s="69">
        <f t="shared" si="219"/>
        <v>2.3359999999999999</v>
      </c>
      <c r="M1095" s="69">
        <f t="shared" si="220"/>
        <v>2.8160000000000003</v>
      </c>
      <c r="N1095" s="56">
        <f>INDEX(Rate_Chart!$A$1:$AK$127,MATCH(Data!J1095,Rate_Chart!$A$1:$A$127,0),MATCH(Data!K1095,Rate_Chart!$A$1:$AK$1,0))</f>
        <v>60.34545</v>
      </c>
      <c r="O1095" s="57">
        <f t="shared" si="221"/>
        <v>1931.0544</v>
      </c>
      <c r="P1095" s="58">
        <f t="shared" si="222"/>
        <v>458.31987341772157</v>
      </c>
      <c r="Q1095" s="58">
        <f t="shared" si="223"/>
        <v>305.54658227848103</v>
      </c>
      <c r="R1095" s="66">
        <f t="shared" si="224"/>
        <v>33.793452000000002</v>
      </c>
      <c r="S1095" s="64">
        <f t="shared" si="225"/>
        <v>120</v>
      </c>
      <c r="T1095" s="66">
        <f t="shared" si="226"/>
        <v>2084.8478519999999</v>
      </c>
      <c r="U1095" s="68">
        <f t="shared" si="227"/>
        <v>65.151495374999996</v>
      </c>
      <c r="V1095" s="68">
        <f t="shared" si="228"/>
        <v>494.82148386075949</v>
      </c>
      <c r="W1095" s="68">
        <f t="shared" si="229"/>
        <v>329.88098924050632</v>
      </c>
    </row>
    <row r="1096" spans="1:23" x14ac:dyDescent="0.25">
      <c r="A1096" t="s">
        <v>892</v>
      </c>
      <c r="B1096" s="37" t="s">
        <v>396</v>
      </c>
      <c r="C1096" t="s">
        <v>591</v>
      </c>
      <c r="D1096" t="s">
        <v>594</v>
      </c>
      <c r="E1096" t="s">
        <v>381</v>
      </c>
      <c r="F1096" s="62" t="str">
        <f t="shared" si="230"/>
        <v>64562</v>
      </c>
      <c r="G1096" s="1">
        <v>10620054</v>
      </c>
      <c r="H1096" s="1" t="s">
        <v>388</v>
      </c>
      <c r="I1096" s="61">
        <v>41</v>
      </c>
      <c r="J1096" s="61">
        <v>3.2</v>
      </c>
      <c r="K1096" s="61">
        <v>8.1</v>
      </c>
      <c r="L1096" s="69">
        <f t="shared" si="219"/>
        <v>1.3120000000000003</v>
      </c>
      <c r="M1096" s="69">
        <f t="shared" si="220"/>
        <v>3.3209999999999997</v>
      </c>
      <c r="N1096" s="56">
        <f>INDEX(Rate_Chart!$A$1:$AK$127,MATCH(Data!J1096,Rate_Chart!$A$1:$A$127,0),MATCH(Data!K1096,Rate_Chart!$A$1:$AK$1,0))</f>
        <v>35.8631259</v>
      </c>
      <c r="O1096" s="57">
        <f t="shared" si="221"/>
        <v>1470.3881618999999</v>
      </c>
      <c r="P1096" s="58">
        <f t="shared" si="222"/>
        <v>417.01309186046512</v>
      </c>
      <c r="Q1096" s="58">
        <f t="shared" si="223"/>
        <v>278.00872790697673</v>
      </c>
      <c r="R1096" s="66">
        <f t="shared" si="224"/>
        <v>25.731792833250001</v>
      </c>
      <c r="S1096" s="64">
        <f t="shared" si="225"/>
        <v>153.75</v>
      </c>
      <c r="T1096" s="66">
        <f t="shared" si="226"/>
        <v>1649.8699547332499</v>
      </c>
      <c r="U1096" s="68">
        <f t="shared" si="227"/>
        <v>40.24073060325</v>
      </c>
      <c r="V1096" s="68">
        <f t="shared" si="228"/>
        <v>467.91547213081401</v>
      </c>
      <c r="W1096" s="68">
        <f t="shared" si="229"/>
        <v>311.94364808720934</v>
      </c>
    </row>
    <row r="1097" spans="1:23" x14ac:dyDescent="0.25">
      <c r="A1097" t="s">
        <v>892</v>
      </c>
      <c r="B1097" s="37" t="s">
        <v>397</v>
      </c>
      <c r="C1097" t="s">
        <v>591</v>
      </c>
      <c r="D1097" t="s">
        <v>594</v>
      </c>
      <c r="E1097" t="s">
        <v>381</v>
      </c>
      <c r="F1097" s="62" t="str">
        <f t="shared" si="230"/>
        <v>64562</v>
      </c>
      <c r="G1097" s="1">
        <v>10620054</v>
      </c>
      <c r="H1097" s="1" t="s">
        <v>387</v>
      </c>
      <c r="I1097" s="61">
        <v>8</v>
      </c>
      <c r="J1097" s="61">
        <v>6.8</v>
      </c>
      <c r="K1097" s="61">
        <v>8.8000000000000007</v>
      </c>
      <c r="L1097" s="69">
        <f t="shared" si="219"/>
        <v>0.54400000000000004</v>
      </c>
      <c r="M1097" s="69">
        <f t="shared" si="220"/>
        <v>0.70400000000000007</v>
      </c>
      <c r="N1097" s="56">
        <f>INDEX(Rate_Chart!$A$1:$AK$127,MATCH(Data!J1097,Rate_Chart!$A$1:$A$127,0),MATCH(Data!K1097,Rate_Chart!$A$1:$AK$1,0))</f>
        <v>56.212200000000003</v>
      </c>
      <c r="O1097" s="57">
        <f t="shared" si="221"/>
        <v>449.69760000000002</v>
      </c>
      <c r="P1097" s="58">
        <f t="shared" si="222"/>
        <v>443.78052631578947</v>
      </c>
      <c r="Q1097" s="58">
        <f t="shared" si="223"/>
        <v>295.8536842105263</v>
      </c>
      <c r="R1097" s="66">
        <f t="shared" si="224"/>
        <v>7.869708000000001</v>
      </c>
      <c r="S1097" s="64">
        <f t="shared" si="225"/>
        <v>30</v>
      </c>
      <c r="T1097" s="66">
        <f t="shared" si="226"/>
        <v>487.56730800000003</v>
      </c>
      <c r="U1097" s="68">
        <f t="shared" si="227"/>
        <v>60.945913500000003</v>
      </c>
      <c r="V1097" s="68">
        <f t="shared" si="228"/>
        <v>481.15194868421054</v>
      </c>
      <c r="W1097" s="68">
        <f t="shared" si="229"/>
        <v>320.76796578947369</v>
      </c>
    </row>
    <row r="1098" spans="1:23" x14ac:dyDescent="0.25">
      <c r="A1098" t="s">
        <v>892</v>
      </c>
      <c r="B1098" s="37" t="s">
        <v>397</v>
      </c>
      <c r="C1098" t="s">
        <v>591</v>
      </c>
      <c r="D1098" t="s">
        <v>594</v>
      </c>
      <c r="E1098" t="s">
        <v>381</v>
      </c>
      <c r="F1098" s="62" t="str">
        <f t="shared" si="230"/>
        <v>64562</v>
      </c>
      <c r="G1098" s="1">
        <v>10620054</v>
      </c>
      <c r="H1098" s="1" t="s">
        <v>388</v>
      </c>
      <c r="I1098" s="61">
        <v>41</v>
      </c>
      <c r="J1098" s="61">
        <v>3</v>
      </c>
      <c r="K1098" s="61">
        <v>8</v>
      </c>
      <c r="L1098" s="69">
        <f t="shared" si="219"/>
        <v>1.23</v>
      </c>
      <c r="M1098" s="69">
        <f t="shared" si="220"/>
        <v>3.28</v>
      </c>
      <c r="N1098" s="56">
        <f>INDEX(Rate_Chart!$A$1:$AK$127,MATCH(Data!J1098,Rate_Chart!$A$1:$A$127,0),MATCH(Data!K1098,Rate_Chart!$A$1:$AK$1,0))</f>
        <v>34.751112000000006</v>
      </c>
      <c r="O1098" s="57">
        <f t="shared" si="221"/>
        <v>1424.7955920000002</v>
      </c>
      <c r="P1098" s="58">
        <f t="shared" si="222"/>
        <v>417.01334400000002</v>
      </c>
      <c r="Q1098" s="58">
        <f t="shared" si="223"/>
        <v>278.00889599999999</v>
      </c>
      <c r="R1098" s="66">
        <f t="shared" si="224"/>
        <v>24.933922860000006</v>
      </c>
      <c r="S1098" s="64">
        <f t="shared" si="225"/>
        <v>153.75</v>
      </c>
      <c r="T1098" s="66">
        <f t="shared" si="226"/>
        <v>1603.4795148600001</v>
      </c>
      <c r="U1098" s="68">
        <f t="shared" si="227"/>
        <v>39.109256460000005</v>
      </c>
      <c r="V1098" s="68">
        <f t="shared" si="228"/>
        <v>469.31107752000003</v>
      </c>
      <c r="W1098" s="68">
        <f t="shared" si="229"/>
        <v>312.87405168000004</v>
      </c>
    </row>
    <row r="1099" spans="1:23" x14ac:dyDescent="0.25">
      <c r="A1099" t="s">
        <v>893</v>
      </c>
      <c r="B1099" s="37" t="s">
        <v>396</v>
      </c>
      <c r="C1099" t="s">
        <v>591</v>
      </c>
      <c r="D1099" t="s">
        <v>594</v>
      </c>
      <c r="E1099" t="s">
        <v>381</v>
      </c>
      <c r="F1099" s="62" t="str">
        <f t="shared" si="230"/>
        <v>64562</v>
      </c>
      <c r="G1099" s="1">
        <v>10620054</v>
      </c>
      <c r="H1099" s="1" t="s">
        <v>387</v>
      </c>
      <c r="I1099" s="61">
        <v>32</v>
      </c>
      <c r="J1099" s="61">
        <v>6.7</v>
      </c>
      <c r="K1099" s="61">
        <v>8.8000000000000007</v>
      </c>
      <c r="L1099" s="69">
        <f t="shared" si="219"/>
        <v>2.1440000000000001</v>
      </c>
      <c r="M1099" s="69">
        <f t="shared" si="220"/>
        <v>2.8160000000000003</v>
      </c>
      <c r="N1099" s="56">
        <f>INDEX(Rate_Chart!$A$1:$AK$127,MATCH(Data!J1099,Rate_Chart!$A$1:$A$127,0),MATCH(Data!K1099,Rate_Chart!$A$1:$AK$1,0))</f>
        <v>55.385550000000002</v>
      </c>
      <c r="O1099" s="57">
        <f t="shared" si="221"/>
        <v>1772.3376000000001</v>
      </c>
      <c r="P1099" s="58">
        <f t="shared" si="222"/>
        <v>440.73381962864721</v>
      </c>
      <c r="Q1099" s="58">
        <f t="shared" si="223"/>
        <v>293.82254641909816</v>
      </c>
      <c r="R1099" s="66">
        <f t="shared" si="224"/>
        <v>31.015908000000003</v>
      </c>
      <c r="S1099" s="64">
        <f t="shared" si="225"/>
        <v>120</v>
      </c>
      <c r="T1099" s="66">
        <f t="shared" si="226"/>
        <v>1923.3535080000001</v>
      </c>
      <c r="U1099" s="68">
        <f t="shared" si="227"/>
        <v>60.104797125000005</v>
      </c>
      <c r="V1099" s="68">
        <f t="shared" si="228"/>
        <v>478.28751027851456</v>
      </c>
      <c r="W1099" s="68">
        <f t="shared" si="229"/>
        <v>318.85834018567635</v>
      </c>
    </row>
    <row r="1100" spans="1:23" x14ac:dyDescent="0.25">
      <c r="A1100" t="s">
        <v>893</v>
      </c>
      <c r="B1100" s="37" t="s">
        <v>396</v>
      </c>
      <c r="C1100" t="s">
        <v>591</v>
      </c>
      <c r="D1100" t="s">
        <v>594</v>
      </c>
      <c r="E1100" t="s">
        <v>381</v>
      </c>
      <c r="F1100" s="62" t="str">
        <f t="shared" si="230"/>
        <v>64562</v>
      </c>
      <c r="G1100" s="1">
        <v>10620054</v>
      </c>
      <c r="H1100" s="1" t="s">
        <v>388</v>
      </c>
      <c r="I1100" s="61">
        <v>40</v>
      </c>
      <c r="J1100" s="61">
        <v>3.2</v>
      </c>
      <c r="K1100" s="61">
        <v>8.1</v>
      </c>
      <c r="L1100" s="69">
        <f t="shared" si="219"/>
        <v>1.28</v>
      </c>
      <c r="M1100" s="69">
        <f t="shared" si="220"/>
        <v>3.24</v>
      </c>
      <c r="N1100" s="56">
        <f>INDEX(Rate_Chart!$A$1:$AK$127,MATCH(Data!J1100,Rate_Chart!$A$1:$A$127,0),MATCH(Data!K1100,Rate_Chart!$A$1:$AK$1,0))</f>
        <v>35.8631259</v>
      </c>
      <c r="O1100" s="57">
        <f t="shared" si="221"/>
        <v>1434.525036</v>
      </c>
      <c r="P1100" s="58">
        <f t="shared" si="222"/>
        <v>417.01309186046512</v>
      </c>
      <c r="Q1100" s="58">
        <f t="shared" si="223"/>
        <v>278.00872790697673</v>
      </c>
      <c r="R1100" s="66">
        <f t="shared" si="224"/>
        <v>25.104188130000001</v>
      </c>
      <c r="S1100" s="64">
        <f t="shared" si="225"/>
        <v>150</v>
      </c>
      <c r="T1100" s="66">
        <f t="shared" si="226"/>
        <v>1609.62922413</v>
      </c>
      <c r="U1100" s="68">
        <f t="shared" si="227"/>
        <v>40.24073060325</v>
      </c>
      <c r="V1100" s="68">
        <f t="shared" si="228"/>
        <v>467.91547213081401</v>
      </c>
      <c r="W1100" s="68">
        <f t="shared" si="229"/>
        <v>311.94364808720934</v>
      </c>
    </row>
    <row r="1101" spans="1:23" x14ac:dyDescent="0.25">
      <c r="A1101" t="s">
        <v>893</v>
      </c>
      <c r="B1101" s="37" t="s">
        <v>397</v>
      </c>
      <c r="C1101" t="s">
        <v>591</v>
      </c>
      <c r="D1101" t="s">
        <v>594</v>
      </c>
      <c r="E1101" t="s">
        <v>381</v>
      </c>
      <c r="F1101" s="62" t="str">
        <f t="shared" si="230"/>
        <v>64562</v>
      </c>
      <c r="G1101" s="1">
        <v>10620054</v>
      </c>
      <c r="H1101" s="1" t="s">
        <v>387</v>
      </c>
      <c r="I1101" s="61">
        <v>10</v>
      </c>
      <c r="J1101" s="61">
        <v>6.6</v>
      </c>
      <c r="K1101" s="61">
        <v>8.8000000000000007</v>
      </c>
      <c r="L1101" s="69">
        <f t="shared" si="219"/>
        <v>0.66</v>
      </c>
      <c r="M1101" s="69">
        <f t="shared" si="220"/>
        <v>0.88</v>
      </c>
      <c r="N1101" s="56">
        <f>INDEX(Rate_Chart!$A$1:$AK$127,MATCH(Data!J1101,Rate_Chart!$A$1:$A$127,0),MATCH(Data!K1101,Rate_Chart!$A$1:$AK$1,0))</f>
        <v>54.558900000000001</v>
      </c>
      <c r="O1101" s="57">
        <f t="shared" si="221"/>
        <v>545.58900000000006</v>
      </c>
      <c r="P1101" s="58">
        <f t="shared" si="222"/>
        <v>437.63823529411764</v>
      </c>
      <c r="Q1101" s="58">
        <f t="shared" si="223"/>
        <v>291.75882352941176</v>
      </c>
      <c r="R1101" s="66">
        <f t="shared" si="224"/>
        <v>9.5478075000000011</v>
      </c>
      <c r="S1101" s="64">
        <f t="shared" si="225"/>
        <v>37.5</v>
      </c>
      <c r="T1101" s="66">
        <f t="shared" si="226"/>
        <v>592.63680750000003</v>
      </c>
      <c r="U1101" s="68">
        <f t="shared" si="227"/>
        <v>59.263680750000006</v>
      </c>
      <c r="V1101" s="68">
        <f t="shared" si="228"/>
        <v>475.37711831550803</v>
      </c>
      <c r="W1101" s="68">
        <f t="shared" si="229"/>
        <v>316.91807887700537</v>
      </c>
    </row>
    <row r="1102" spans="1:23" x14ac:dyDescent="0.25">
      <c r="A1102" t="s">
        <v>893</v>
      </c>
      <c r="B1102" s="37" t="s">
        <v>397</v>
      </c>
      <c r="C1102" t="s">
        <v>591</v>
      </c>
      <c r="D1102" t="s">
        <v>594</v>
      </c>
      <c r="E1102" t="s">
        <v>381</v>
      </c>
      <c r="F1102" s="62" t="str">
        <f t="shared" si="230"/>
        <v>64562</v>
      </c>
      <c r="G1102" s="1">
        <v>10620054</v>
      </c>
      <c r="H1102" s="1" t="s">
        <v>388</v>
      </c>
      <c r="I1102" s="61">
        <v>48</v>
      </c>
      <c r="J1102" s="61">
        <v>3.5</v>
      </c>
      <c r="K1102" s="61">
        <v>8.1</v>
      </c>
      <c r="L1102" s="69">
        <f t="shared" si="219"/>
        <v>1.68</v>
      </c>
      <c r="M1102" s="69">
        <f t="shared" si="220"/>
        <v>3.8879999999999995</v>
      </c>
      <c r="N1102" s="56">
        <f>INDEX(Rate_Chart!$A$1:$AK$127,MATCH(Data!J1102,Rate_Chart!$A$1:$A$127,0),MATCH(Data!K1102,Rate_Chart!$A$1:$AK$1,0))</f>
        <v>37.114125900000005</v>
      </c>
      <c r="O1102" s="57">
        <f t="shared" si="221"/>
        <v>1781.4780432000002</v>
      </c>
      <c r="P1102" s="58">
        <f t="shared" si="222"/>
        <v>417.01265056179784</v>
      </c>
      <c r="Q1102" s="58">
        <f t="shared" si="223"/>
        <v>278.00843370786521</v>
      </c>
      <c r="R1102" s="66">
        <f t="shared" si="224"/>
        <v>31.175865756000007</v>
      </c>
      <c r="S1102" s="64">
        <f t="shared" si="225"/>
        <v>180</v>
      </c>
      <c r="T1102" s="66">
        <f t="shared" si="226"/>
        <v>1992.6539089560001</v>
      </c>
      <c r="U1102" s="68">
        <f t="shared" si="227"/>
        <v>41.513623103250005</v>
      </c>
      <c r="V1102" s="68">
        <f t="shared" si="228"/>
        <v>466.44520340730344</v>
      </c>
      <c r="W1102" s="68">
        <f t="shared" si="229"/>
        <v>310.96346893820231</v>
      </c>
    </row>
    <row r="1103" spans="1:23" x14ac:dyDescent="0.25">
      <c r="A1103" t="s">
        <v>894</v>
      </c>
      <c r="B1103" s="37" t="s">
        <v>396</v>
      </c>
      <c r="C1103" t="s">
        <v>591</v>
      </c>
      <c r="D1103" t="s">
        <v>594</v>
      </c>
      <c r="E1103" t="s">
        <v>381</v>
      </c>
      <c r="F1103" s="62" t="str">
        <f t="shared" si="230"/>
        <v>64562</v>
      </c>
      <c r="G1103" s="1">
        <v>10620054</v>
      </c>
      <c r="H1103" s="1" t="s">
        <v>387</v>
      </c>
      <c r="I1103" s="61">
        <v>36</v>
      </c>
      <c r="J1103" s="61">
        <v>6.9</v>
      </c>
      <c r="K1103" s="61">
        <v>9</v>
      </c>
      <c r="L1103" s="69">
        <f t="shared" si="219"/>
        <v>2.484</v>
      </c>
      <c r="M1103" s="69">
        <f t="shared" si="220"/>
        <v>3.24</v>
      </c>
      <c r="N1103" s="56">
        <f>INDEX(Rate_Chart!$A$1:$AK$127,MATCH(Data!J1103,Rate_Chart!$A$1:$A$127,0),MATCH(Data!K1103,Rate_Chart!$A$1:$AK$1,0))</f>
        <v>57.615000000000002</v>
      </c>
      <c r="O1103" s="57">
        <f t="shared" si="221"/>
        <v>2074.14</v>
      </c>
      <c r="P1103" s="58">
        <f t="shared" si="222"/>
        <v>446.62790697674421</v>
      </c>
      <c r="Q1103" s="58">
        <f t="shared" si="223"/>
        <v>297.75193798449612</v>
      </c>
      <c r="R1103" s="66">
        <f t="shared" si="224"/>
        <v>36.297449999999998</v>
      </c>
      <c r="S1103" s="64">
        <f t="shared" si="225"/>
        <v>135</v>
      </c>
      <c r="T1103" s="66">
        <f t="shared" si="226"/>
        <v>2245.4374499999999</v>
      </c>
      <c r="U1103" s="68">
        <f t="shared" si="227"/>
        <v>62.373262499999996</v>
      </c>
      <c r="V1103" s="68">
        <f t="shared" si="228"/>
        <v>483.51366279069765</v>
      </c>
      <c r="W1103" s="68">
        <f t="shared" si="229"/>
        <v>322.3424418604651</v>
      </c>
    </row>
    <row r="1104" spans="1:23" x14ac:dyDescent="0.25">
      <c r="A1104" t="s">
        <v>894</v>
      </c>
      <c r="B1104" s="37" t="s">
        <v>396</v>
      </c>
      <c r="C1104" t="s">
        <v>591</v>
      </c>
      <c r="D1104" t="s">
        <v>594</v>
      </c>
      <c r="E1104" t="s">
        <v>381</v>
      </c>
      <c r="F1104" s="62" t="str">
        <f t="shared" si="230"/>
        <v>64562</v>
      </c>
      <c r="G1104" s="1">
        <v>10620054</v>
      </c>
      <c r="H1104" s="1" t="s">
        <v>388</v>
      </c>
      <c r="I1104" s="61">
        <v>38</v>
      </c>
      <c r="J1104" s="61">
        <v>3.3</v>
      </c>
      <c r="K1104" s="61">
        <v>8.1</v>
      </c>
      <c r="L1104" s="69">
        <f t="shared" si="219"/>
        <v>1.254</v>
      </c>
      <c r="M1104" s="69">
        <f t="shared" si="220"/>
        <v>3.0780000000000003</v>
      </c>
      <c r="N1104" s="56">
        <f>INDEX(Rate_Chart!$A$1:$AK$127,MATCH(Data!J1104,Rate_Chart!$A$1:$A$127,0),MATCH(Data!K1104,Rate_Chart!$A$1:$AK$1,0))</f>
        <v>36.280125900000002</v>
      </c>
      <c r="O1104" s="57">
        <f t="shared" si="221"/>
        <v>1378.6447842</v>
      </c>
      <c r="P1104" s="58">
        <f t="shared" si="222"/>
        <v>417.0129413793104</v>
      </c>
      <c r="Q1104" s="58">
        <f t="shared" si="223"/>
        <v>278.00862758620696</v>
      </c>
      <c r="R1104" s="66">
        <f t="shared" si="224"/>
        <v>24.126283723500002</v>
      </c>
      <c r="S1104" s="64">
        <f t="shared" si="225"/>
        <v>142.5</v>
      </c>
      <c r="T1104" s="66">
        <f t="shared" si="226"/>
        <v>1545.2710679234999</v>
      </c>
      <c r="U1104" s="68">
        <f t="shared" si="227"/>
        <v>40.665028103249995</v>
      </c>
      <c r="V1104" s="68">
        <f t="shared" si="228"/>
        <v>467.41411612931034</v>
      </c>
      <c r="W1104" s="68">
        <f t="shared" si="229"/>
        <v>311.60941075287354</v>
      </c>
    </row>
    <row r="1105" spans="1:23" x14ac:dyDescent="0.25">
      <c r="A1105" t="s">
        <v>894</v>
      </c>
      <c r="B1105" s="37" t="s">
        <v>397</v>
      </c>
      <c r="C1105" t="s">
        <v>591</v>
      </c>
      <c r="D1105" t="s">
        <v>594</v>
      </c>
      <c r="E1105" t="s">
        <v>381</v>
      </c>
      <c r="F1105" s="62" t="str">
        <f t="shared" si="230"/>
        <v>64562</v>
      </c>
      <c r="G1105" s="1">
        <v>10620054</v>
      </c>
      <c r="H1105" s="1" t="s">
        <v>387</v>
      </c>
      <c r="I1105" s="61">
        <v>17</v>
      </c>
      <c r="J1105" s="61">
        <v>5.8</v>
      </c>
      <c r="K1105" s="61">
        <v>8.6</v>
      </c>
      <c r="L1105" s="69">
        <f t="shared" si="219"/>
        <v>0.98599999999999999</v>
      </c>
      <c r="M1105" s="69">
        <f t="shared" si="220"/>
        <v>1.462</v>
      </c>
      <c r="N1105" s="56">
        <f>INDEX(Rate_Chart!$A$1:$AK$127,MATCH(Data!J1105,Rate_Chart!$A$1:$A$127,0),MATCH(Data!K1105,Rate_Chart!$A$1:$AK$1,0))</f>
        <v>47.461399999999998</v>
      </c>
      <c r="O1105" s="57">
        <f t="shared" si="221"/>
        <v>806.84379999999999</v>
      </c>
      <c r="P1105" s="58">
        <f t="shared" si="222"/>
        <v>411.51502890173413</v>
      </c>
      <c r="Q1105" s="58">
        <f t="shared" si="223"/>
        <v>274.34335260115608</v>
      </c>
      <c r="R1105" s="66">
        <f t="shared" si="224"/>
        <v>14.119766500000001</v>
      </c>
      <c r="S1105" s="64">
        <f t="shared" si="225"/>
        <v>63.75</v>
      </c>
      <c r="T1105" s="66">
        <f t="shared" si="226"/>
        <v>884.71356649999996</v>
      </c>
      <c r="U1105" s="68">
        <f t="shared" si="227"/>
        <v>52.041974499999995</v>
      </c>
      <c r="V1105" s="68">
        <f t="shared" si="228"/>
        <v>451.23099277456652</v>
      </c>
      <c r="W1105" s="68">
        <f t="shared" si="229"/>
        <v>300.82066184971103</v>
      </c>
    </row>
    <row r="1106" spans="1:23" x14ac:dyDescent="0.25">
      <c r="A1106" t="s">
        <v>894</v>
      </c>
      <c r="B1106" s="37" t="s">
        <v>397</v>
      </c>
      <c r="C1106" t="s">
        <v>591</v>
      </c>
      <c r="D1106" t="s">
        <v>594</v>
      </c>
      <c r="E1106" t="s">
        <v>381</v>
      </c>
      <c r="F1106" s="62" t="str">
        <f t="shared" si="230"/>
        <v>64562</v>
      </c>
      <c r="G1106" s="1">
        <v>10620054</v>
      </c>
      <c r="H1106" s="1" t="s">
        <v>388</v>
      </c>
      <c r="I1106" s="61">
        <v>28</v>
      </c>
      <c r="J1106" s="61">
        <v>3</v>
      </c>
      <c r="K1106" s="61">
        <v>8</v>
      </c>
      <c r="L1106" s="69">
        <f t="shared" si="219"/>
        <v>0.84</v>
      </c>
      <c r="M1106" s="69">
        <f t="shared" si="220"/>
        <v>2.2400000000000002</v>
      </c>
      <c r="N1106" s="56">
        <f>INDEX(Rate_Chart!$A$1:$AK$127,MATCH(Data!J1106,Rate_Chart!$A$1:$A$127,0),MATCH(Data!K1106,Rate_Chart!$A$1:$AK$1,0))</f>
        <v>34.751112000000006</v>
      </c>
      <c r="O1106" s="57">
        <f t="shared" si="221"/>
        <v>973.03113600000017</v>
      </c>
      <c r="P1106" s="58">
        <f t="shared" si="222"/>
        <v>417.01334400000002</v>
      </c>
      <c r="Q1106" s="58">
        <f t="shared" si="223"/>
        <v>278.00889599999999</v>
      </c>
      <c r="R1106" s="66">
        <f t="shared" si="224"/>
        <v>17.028044880000003</v>
      </c>
      <c r="S1106" s="64">
        <f t="shared" si="225"/>
        <v>105</v>
      </c>
      <c r="T1106" s="66">
        <f t="shared" si="226"/>
        <v>1095.0591808800002</v>
      </c>
      <c r="U1106" s="68">
        <f t="shared" si="227"/>
        <v>39.109256460000005</v>
      </c>
      <c r="V1106" s="68">
        <f t="shared" si="228"/>
        <v>469.31107752000003</v>
      </c>
      <c r="W1106" s="68">
        <f t="shared" si="229"/>
        <v>312.87405168000004</v>
      </c>
    </row>
    <row r="1107" spans="1:23" x14ac:dyDescent="0.25">
      <c r="A1107" t="s">
        <v>888</v>
      </c>
      <c r="B1107" s="37" t="s">
        <v>396</v>
      </c>
      <c r="C1107" t="s">
        <v>591</v>
      </c>
      <c r="D1107" t="s">
        <v>593</v>
      </c>
      <c r="E1107" t="s">
        <v>382</v>
      </c>
      <c r="F1107" s="62" t="str">
        <f t="shared" si="230"/>
        <v>64567</v>
      </c>
      <c r="G1107" s="1">
        <v>10620069</v>
      </c>
      <c r="H1107" s="1" t="s">
        <v>387</v>
      </c>
      <c r="I1107" s="61">
        <v>25</v>
      </c>
      <c r="J1107" s="61">
        <v>7.1</v>
      </c>
      <c r="K1107" s="61">
        <v>8.8000000000000007</v>
      </c>
      <c r="L1107" s="69">
        <f t="shared" si="219"/>
        <v>1.7749999999999999</v>
      </c>
      <c r="M1107" s="69">
        <f t="shared" si="220"/>
        <v>2.2000000000000002</v>
      </c>
      <c r="N1107" s="56">
        <f>INDEX(Rate_Chart!$A$1:$AK$127,MATCH(Data!J1107,Rate_Chart!$A$1:$A$127,0),MATCH(Data!K1107,Rate_Chart!$A$1:$AK$1,0))</f>
        <v>58.692149999999998</v>
      </c>
      <c r="O1107" s="57">
        <f t="shared" si="221"/>
        <v>1467.30375</v>
      </c>
      <c r="P1107" s="58">
        <f t="shared" si="222"/>
        <v>452.63868894601546</v>
      </c>
      <c r="Q1107" s="58">
        <f t="shared" si="223"/>
        <v>301.75912596401031</v>
      </c>
      <c r="R1107" s="66">
        <f t="shared" si="224"/>
        <v>25.677815625000004</v>
      </c>
      <c r="S1107" s="64">
        <f t="shared" si="225"/>
        <v>93.75</v>
      </c>
      <c r="T1107" s="66">
        <f t="shared" si="226"/>
        <v>1586.731565625</v>
      </c>
      <c r="U1107" s="68">
        <f t="shared" si="227"/>
        <v>63.469262624999999</v>
      </c>
      <c r="V1107" s="68">
        <f t="shared" si="228"/>
        <v>489.48017448586126</v>
      </c>
      <c r="W1107" s="68">
        <f t="shared" si="229"/>
        <v>326.32011632390748</v>
      </c>
    </row>
    <row r="1108" spans="1:23" x14ac:dyDescent="0.25">
      <c r="A1108" t="s">
        <v>888</v>
      </c>
      <c r="B1108" s="37" t="s">
        <v>396</v>
      </c>
      <c r="C1108" t="s">
        <v>591</v>
      </c>
      <c r="D1108" t="s">
        <v>593</v>
      </c>
      <c r="E1108" t="s">
        <v>382</v>
      </c>
      <c r="F1108" s="62" t="str">
        <f t="shared" si="230"/>
        <v>64567</v>
      </c>
      <c r="G1108" s="1">
        <v>10620069</v>
      </c>
      <c r="H1108" s="1" t="s">
        <v>388</v>
      </c>
      <c r="I1108" s="61">
        <v>35</v>
      </c>
      <c r="J1108" s="61">
        <v>3</v>
      </c>
      <c r="K1108" s="61">
        <v>8</v>
      </c>
      <c r="L1108" s="69">
        <f t="shared" si="219"/>
        <v>1.05</v>
      </c>
      <c r="M1108" s="69">
        <f t="shared" si="220"/>
        <v>2.8</v>
      </c>
      <c r="N1108" s="56">
        <f>INDEX(Rate_Chart!$A$1:$AK$127,MATCH(Data!J1108,Rate_Chart!$A$1:$A$127,0),MATCH(Data!K1108,Rate_Chart!$A$1:$AK$1,0))</f>
        <v>34.751112000000006</v>
      </c>
      <c r="O1108" s="57">
        <f t="shared" si="221"/>
        <v>1216.2889200000002</v>
      </c>
      <c r="P1108" s="58">
        <f t="shared" si="222"/>
        <v>417.01334400000002</v>
      </c>
      <c r="Q1108" s="58">
        <f t="shared" si="223"/>
        <v>278.00889599999999</v>
      </c>
      <c r="R1108" s="66">
        <f t="shared" si="224"/>
        <v>21.285056100000006</v>
      </c>
      <c r="S1108" s="64">
        <f t="shared" si="225"/>
        <v>131.25</v>
      </c>
      <c r="T1108" s="66">
        <f t="shared" si="226"/>
        <v>1368.8239761000002</v>
      </c>
      <c r="U1108" s="68">
        <f t="shared" si="227"/>
        <v>39.109256460000005</v>
      </c>
      <c r="V1108" s="68">
        <f t="shared" si="228"/>
        <v>469.31107752000003</v>
      </c>
      <c r="W1108" s="68">
        <f t="shared" si="229"/>
        <v>312.87405168000004</v>
      </c>
    </row>
    <row r="1109" spans="1:23" x14ac:dyDescent="0.25">
      <c r="A1109" t="s">
        <v>888</v>
      </c>
      <c r="B1109" s="37" t="s">
        <v>397</v>
      </c>
      <c r="C1109" t="s">
        <v>591</v>
      </c>
      <c r="D1109" t="s">
        <v>593</v>
      </c>
      <c r="E1109" t="s">
        <v>382</v>
      </c>
      <c r="F1109" s="62" t="str">
        <f t="shared" si="230"/>
        <v>64567</v>
      </c>
      <c r="G1109" s="1">
        <v>10620069</v>
      </c>
      <c r="H1109" s="1" t="s">
        <v>387</v>
      </c>
      <c r="I1109" s="61">
        <v>33</v>
      </c>
      <c r="J1109" s="61">
        <v>6.4</v>
      </c>
      <c r="K1109" s="61">
        <v>8.8000000000000007</v>
      </c>
      <c r="L1109" s="69">
        <f t="shared" si="219"/>
        <v>2.1120000000000001</v>
      </c>
      <c r="M1109" s="69">
        <f t="shared" si="220"/>
        <v>2.9040000000000004</v>
      </c>
      <c r="N1109" s="56">
        <f>INDEX(Rate_Chart!$A$1:$AK$127,MATCH(Data!J1109,Rate_Chart!$A$1:$A$127,0),MATCH(Data!K1109,Rate_Chart!$A$1:$AK$1,0))</f>
        <v>52.9056</v>
      </c>
      <c r="O1109" s="57">
        <f t="shared" si="221"/>
        <v>1745.8848</v>
      </c>
      <c r="P1109" s="58">
        <f t="shared" si="222"/>
        <v>431.29565217391303</v>
      </c>
      <c r="Q1109" s="58">
        <f t="shared" si="223"/>
        <v>287.53043478260867</v>
      </c>
      <c r="R1109" s="66">
        <f t="shared" si="224"/>
        <v>30.552984000000002</v>
      </c>
      <c r="S1109" s="64">
        <f t="shared" si="225"/>
        <v>123.75</v>
      </c>
      <c r="T1109" s="66">
        <f t="shared" si="226"/>
        <v>1900.187784</v>
      </c>
      <c r="U1109" s="68">
        <f t="shared" si="227"/>
        <v>57.581448000000002</v>
      </c>
      <c r="V1109" s="68">
        <f t="shared" si="228"/>
        <v>469.41397826086956</v>
      </c>
      <c r="W1109" s="68">
        <f t="shared" si="229"/>
        <v>312.94265217391302</v>
      </c>
    </row>
    <row r="1110" spans="1:23" x14ac:dyDescent="0.25">
      <c r="A1110" t="s">
        <v>888</v>
      </c>
      <c r="B1110" s="37" t="s">
        <v>397</v>
      </c>
      <c r="C1110" t="s">
        <v>591</v>
      </c>
      <c r="D1110" t="s">
        <v>593</v>
      </c>
      <c r="E1110" t="s">
        <v>382</v>
      </c>
      <c r="F1110" s="62" t="str">
        <f t="shared" si="230"/>
        <v>64567</v>
      </c>
      <c r="G1110" s="1">
        <v>10620069</v>
      </c>
      <c r="H1110" s="1" t="s">
        <v>388</v>
      </c>
      <c r="I1110" s="61">
        <v>40</v>
      </c>
      <c r="J1110" s="61">
        <v>3</v>
      </c>
      <c r="K1110" s="61">
        <v>8</v>
      </c>
      <c r="L1110" s="69">
        <f t="shared" si="219"/>
        <v>1.2</v>
      </c>
      <c r="M1110" s="69">
        <f t="shared" si="220"/>
        <v>3.2</v>
      </c>
      <c r="N1110" s="56">
        <f>INDEX(Rate_Chart!$A$1:$AK$127,MATCH(Data!J1110,Rate_Chart!$A$1:$A$127,0),MATCH(Data!K1110,Rate_Chart!$A$1:$AK$1,0))</f>
        <v>34.751112000000006</v>
      </c>
      <c r="O1110" s="57">
        <f t="shared" si="221"/>
        <v>1390.0444800000002</v>
      </c>
      <c r="P1110" s="58">
        <f t="shared" si="222"/>
        <v>417.01334400000002</v>
      </c>
      <c r="Q1110" s="58">
        <f t="shared" si="223"/>
        <v>278.00889599999999</v>
      </c>
      <c r="R1110" s="66">
        <f t="shared" si="224"/>
        <v>24.325778400000008</v>
      </c>
      <c r="S1110" s="64">
        <f t="shared" si="225"/>
        <v>150</v>
      </c>
      <c r="T1110" s="66">
        <f t="shared" si="226"/>
        <v>1564.3702584000002</v>
      </c>
      <c r="U1110" s="68">
        <f t="shared" si="227"/>
        <v>39.109256460000005</v>
      </c>
      <c r="V1110" s="68">
        <f t="shared" si="228"/>
        <v>469.31107752000003</v>
      </c>
      <c r="W1110" s="68">
        <f t="shared" si="229"/>
        <v>312.87405168000004</v>
      </c>
    </row>
    <row r="1111" spans="1:23" x14ac:dyDescent="0.25">
      <c r="A1111" t="s">
        <v>889</v>
      </c>
      <c r="B1111" s="37" t="s">
        <v>396</v>
      </c>
      <c r="C1111" t="s">
        <v>591</v>
      </c>
      <c r="D1111" t="s">
        <v>593</v>
      </c>
      <c r="E1111" t="s">
        <v>382</v>
      </c>
      <c r="F1111" s="62" t="str">
        <f t="shared" si="230"/>
        <v>64567</v>
      </c>
      <c r="G1111" s="1">
        <v>10620069</v>
      </c>
      <c r="H1111" s="1" t="s">
        <v>387</v>
      </c>
      <c r="I1111" s="61">
        <v>23</v>
      </c>
      <c r="J1111" s="61">
        <v>7</v>
      </c>
      <c r="K1111" s="61">
        <v>8.8000000000000007</v>
      </c>
      <c r="L1111" s="69">
        <f t="shared" si="219"/>
        <v>1.61</v>
      </c>
      <c r="M1111" s="69">
        <f t="shared" si="220"/>
        <v>2.024</v>
      </c>
      <c r="N1111" s="56">
        <f>INDEX(Rate_Chart!$A$1:$AK$127,MATCH(Data!J1111,Rate_Chart!$A$1:$A$127,0),MATCH(Data!K1111,Rate_Chart!$A$1:$AK$1,0))</f>
        <v>57.865500000000004</v>
      </c>
      <c r="O1111" s="57">
        <f t="shared" si="221"/>
        <v>1330.9065000000001</v>
      </c>
      <c r="P1111" s="58">
        <f t="shared" si="222"/>
        <v>449.73186528497411</v>
      </c>
      <c r="Q1111" s="58">
        <f t="shared" si="223"/>
        <v>299.82124352331607</v>
      </c>
      <c r="R1111" s="66">
        <f t="shared" si="224"/>
        <v>23.290863750000003</v>
      </c>
      <c r="S1111" s="64">
        <f t="shared" si="225"/>
        <v>86.25</v>
      </c>
      <c r="T1111" s="66">
        <f t="shared" si="226"/>
        <v>1440.44736375</v>
      </c>
      <c r="U1111" s="68">
        <f t="shared" si="227"/>
        <v>62.62814625</v>
      </c>
      <c r="V1111" s="68">
        <f t="shared" si="228"/>
        <v>486.74725064766835</v>
      </c>
      <c r="W1111" s="68">
        <f t="shared" si="229"/>
        <v>324.49816709844555</v>
      </c>
    </row>
    <row r="1112" spans="1:23" x14ac:dyDescent="0.25">
      <c r="A1112" t="s">
        <v>889</v>
      </c>
      <c r="B1112" s="37" t="s">
        <v>396</v>
      </c>
      <c r="C1112" t="s">
        <v>591</v>
      </c>
      <c r="D1112" t="s">
        <v>593</v>
      </c>
      <c r="E1112" t="s">
        <v>382</v>
      </c>
      <c r="F1112" s="62" t="str">
        <f t="shared" si="230"/>
        <v>64567</v>
      </c>
      <c r="G1112" s="1">
        <v>10620069</v>
      </c>
      <c r="H1112" s="1" t="s">
        <v>388</v>
      </c>
      <c r="I1112" s="61">
        <v>37</v>
      </c>
      <c r="J1112" s="61">
        <v>3</v>
      </c>
      <c r="K1112" s="61">
        <v>8</v>
      </c>
      <c r="L1112" s="69">
        <f t="shared" si="219"/>
        <v>1.1100000000000001</v>
      </c>
      <c r="M1112" s="69">
        <f t="shared" si="220"/>
        <v>2.96</v>
      </c>
      <c r="N1112" s="56">
        <f>INDEX(Rate_Chart!$A$1:$AK$127,MATCH(Data!J1112,Rate_Chart!$A$1:$A$127,0),MATCH(Data!K1112,Rate_Chart!$A$1:$AK$1,0))</f>
        <v>34.751112000000006</v>
      </c>
      <c r="O1112" s="57">
        <f t="shared" si="221"/>
        <v>1285.7911440000003</v>
      </c>
      <c r="P1112" s="58">
        <f t="shared" si="222"/>
        <v>417.01334400000002</v>
      </c>
      <c r="Q1112" s="58">
        <f t="shared" si="223"/>
        <v>278.00889599999999</v>
      </c>
      <c r="R1112" s="66">
        <f t="shared" si="224"/>
        <v>22.501345020000006</v>
      </c>
      <c r="S1112" s="64">
        <f t="shared" si="225"/>
        <v>138.75</v>
      </c>
      <c r="T1112" s="66">
        <f t="shared" si="226"/>
        <v>1447.0424890200002</v>
      </c>
      <c r="U1112" s="68">
        <f t="shared" si="227"/>
        <v>39.109256460000005</v>
      </c>
      <c r="V1112" s="68">
        <f t="shared" si="228"/>
        <v>469.31107752000003</v>
      </c>
      <c r="W1112" s="68">
        <f t="shared" si="229"/>
        <v>312.87405168000004</v>
      </c>
    </row>
    <row r="1113" spans="1:23" x14ac:dyDescent="0.25">
      <c r="A1113" t="s">
        <v>889</v>
      </c>
      <c r="B1113" s="37" t="s">
        <v>397</v>
      </c>
      <c r="C1113" t="s">
        <v>591</v>
      </c>
      <c r="D1113" t="s">
        <v>593</v>
      </c>
      <c r="E1113" t="s">
        <v>382</v>
      </c>
      <c r="F1113" s="62" t="str">
        <f t="shared" si="230"/>
        <v>64567</v>
      </c>
      <c r="G1113" s="1">
        <v>10620069</v>
      </c>
      <c r="H1113" s="1" t="s">
        <v>387</v>
      </c>
      <c r="I1113" s="61">
        <v>39</v>
      </c>
      <c r="J1113" s="61">
        <v>6.2</v>
      </c>
      <c r="K1113" s="61">
        <v>8.8000000000000007</v>
      </c>
      <c r="L1113" s="69">
        <f t="shared" si="219"/>
        <v>2.4180000000000001</v>
      </c>
      <c r="M1113" s="69">
        <f t="shared" si="220"/>
        <v>3.4320000000000004</v>
      </c>
      <c r="N1113" s="56">
        <f>INDEX(Rate_Chart!$A$1:$AK$127,MATCH(Data!J1113,Rate_Chart!$A$1:$A$127,0),MATCH(Data!K1113,Rate_Chart!$A$1:$AK$1,0))</f>
        <v>51.252300000000005</v>
      </c>
      <c r="O1113" s="57">
        <f t="shared" si="221"/>
        <v>1998.8397000000002</v>
      </c>
      <c r="P1113" s="58">
        <f t="shared" si="222"/>
        <v>424.74281767955802</v>
      </c>
      <c r="Q1113" s="58">
        <f t="shared" si="223"/>
        <v>283.1618784530387</v>
      </c>
      <c r="R1113" s="66">
        <f t="shared" si="224"/>
        <v>34.979694750000007</v>
      </c>
      <c r="S1113" s="64">
        <f t="shared" si="225"/>
        <v>146.25</v>
      </c>
      <c r="T1113" s="66">
        <f t="shared" si="226"/>
        <v>2180.0693947500004</v>
      </c>
      <c r="U1113" s="68">
        <f t="shared" si="227"/>
        <v>55.899215250000012</v>
      </c>
      <c r="V1113" s="68">
        <f t="shared" si="228"/>
        <v>463.2531650552487</v>
      </c>
      <c r="W1113" s="68">
        <f t="shared" si="229"/>
        <v>308.83544337016582</v>
      </c>
    </row>
    <row r="1114" spans="1:23" x14ac:dyDescent="0.25">
      <c r="A1114" t="s">
        <v>889</v>
      </c>
      <c r="B1114" s="37" t="s">
        <v>397</v>
      </c>
      <c r="C1114" t="s">
        <v>591</v>
      </c>
      <c r="D1114" t="s">
        <v>593</v>
      </c>
      <c r="E1114" t="s">
        <v>382</v>
      </c>
      <c r="F1114" s="62" t="str">
        <f t="shared" si="230"/>
        <v>64567</v>
      </c>
      <c r="G1114" s="1">
        <v>10620069</v>
      </c>
      <c r="H1114" s="1" t="s">
        <v>388</v>
      </c>
      <c r="I1114" s="61">
        <v>33</v>
      </c>
      <c r="J1114" s="61">
        <v>3</v>
      </c>
      <c r="K1114" s="61">
        <v>8</v>
      </c>
      <c r="L1114" s="69">
        <f t="shared" si="219"/>
        <v>0.99</v>
      </c>
      <c r="M1114" s="69">
        <f t="shared" si="220"/>
        <v>2.64</v>
      </c>
      <c r="N1114" s="56">
        <f>INDEX(Rate_Chart!$A$1:$AK$127,MATCH(Data!J1114,Rate_Chart!$A$1:$A$127,0),MATCH(Data!K1114,Rate_Chart!$A$1:$AK$1,0))</f>
        <v>34.751112000000006</v>
      </c>
      <c r="O1114" s="57">
        <f t="shared" si="221"/>
        <v>1146.7866960000001</v>
      </c>
      <c r="P1114" s="58">
        <f t="shared" si="222"/>
        <v>417.01334400000002</v>
      </c>
      <c r="Q1114" s="58">
        <f t="shared" si="223"/>
        <v>278.00889599999999</v>
      </c>
      <c r="R1114" s="66">
        <f t="shared" si="224"/>
        <v>20.068767180000005</v>
      </c>
      <c r="S1114" s="64">
        <f t="shared" si="225"/>
        <v>123.75</v>
      </c>
      <c r="T1114" s="66">
        <f t="shared" si="226"/>
        <v>1290.6054631800002</v>
      </c>
      <c r="U1114" s="68">
        <f t="shared" si="227"/>
        <v>39.109256460000005</v>
      </c>
      <c r="V1114" s="68">
        <f t="shared" si="228"/>
        <v>469.31107752000003</v>
      </c>
      <c r="W1114" s="68">
        <f t="shared" si="229"/>
        <v>312.87405168000004</v>
      </c>
    </row>
    <row r="1115" spans="1:23" x14ac:dyDescent="0.25">
      <c r="A1115" t="s">
        <v>890</v>
      </c>
      <c r="B1115" s="37" t="s">
        <v>396</v>
      </c>
      <c r="C1115" t="s">
        <v>591</v>
      </c>
      <c r="D1115" t="s">
        <v>593</v>
      </c>
      <c r="E1115" t="s">
        <v>382</v>
      </c>
      <c r="F1115" s="62" t="str">
        <f t="shared" si="230"/>
        <v>64567</v>
      </c>
      <c r="G1115" s="237">
        <v>10620069</v>
      </c>
      <c r="H1115" s="237" t="s">
        <v>387</v>
      </c>
      <c r="I1115" s="236">
        <v>16</v>
      </c>
      <c r="J1115" s="236">
        <v>6.9</v>
      </c>
      <c r="K1115" s="236">
        <v>8.8000000000000007</v>
      </c>
      <c r="L1115" s="69">
        <f t="shared" si="219"/>
        <v>1.1040000000000001</v>
      </c>
      <c r="M1115" s="69">
        <f t="shared" si="220"/>
        <v>1.4080000000000001</v>
      </c>
      <c r="N1115" s="56">
        <f>INDEX(Rate_Chart!$A$1:$AK$127,MATCH(Data!J1115,Rate_Chart!$A$1:$A$127,0),MATCH(Data!K1115,Rate_Chart!$A$1:$AK$1,0))</f>
        <v>57.038850000000004</v>
      </c>
      <c r="O1115" s="57">
        <f t="shared" si="221"/>
        <v>912.62160000000006</v>
      </c>
      <c r="P1115" s="58">
        <f t="shared" si="222"/>
        <v>446.77950391644907</v>
      </c>
      <c r="Q1115" s="58">
        <f t="shared" si="223"/>
        <v>297.85300261096603</v>
      </c>
      <c r="R1115" s="66">
        <f t="shared" si="224"/>
        <v>15.970878000000003</v>
      </c>
      <c r="S1115" s="64">
        <f t="shared" si="225"/>
        <v>60</v>
      </c>
      <c r="T1115" s="66">
        <f t="shared" si="226"/>
        <v>988.59247800000003</v>
      </c>
      <c r="U1115" s="68">
        <f t="shared" si="227"/>
        <v>61.787029875000002</v>
      </c>
      <c r="V1115" s="68">
        <f t="shared" si="228"/>
        <v>483.97151338120102</v>
      </c>
      <c r="W1115" s="68">
        <f t="shared" si="229"/>
        <v>322.64767558746735</v>
      </c>
    </row>
    <row r="1116" spans="1:23" x14ac:dyDescent="0.25">
      <c r="A1116" s="1" t="s">
        <v>890</v>
      </c>
      <c r="B1116" s="61" t="s">
        <v>396</v>
      </c>
      <c r="C1116" s="1" t="s">
        <v>591</v>
      </c>
      <c r="D1116" s="1" t="s">
        <v>593</v>
      </c>
      <c r="E1116" s="1" t="s">
        <v>382</v>
      </c>
      <c r="F1116" s="62" t="str">
        <f t="shared" si="230"/>
        <v>64567</v>
      </c>
      <c r="G1116" s="1">
        <v>10620069</v>
      </c>
      <c r="H1116" s="1" t="s">
        <v>388</v>
      </c>
      <c r="I1116" s="61">
        <v>35</v>
      </c>
      <c r="J1116" s="61">
        <v>3</v>
      </c>
      <c r="K1116" s="61">
        <v>8</v>
      </c>
      <c r="L1116" s="69">
        <f t="shared" si="219"/>
        <v>1.05</v>
      </c>
      <c r="M1116" s="69">
        <f t="shared" si="220"/>
        <v>2.8</v>
      </c>
      <c r="N1116" s="56">
        <f>INDEX(Rate_Chart!$A$1:$AK$127,MATCH(Data!J1116,Rate_Chart!$A$1:$A$127,0),MATCH(Data!K1116,Rate_Chart!$A$1:$AK$1,0))</f>
        <v>34.751112000000006</v>
      </c>
      <c r="O1116" s="57">
        <f t="shared" si="221"/>
        <v>1216.2889200000002</v>
      </c>
      <c r="P1116" s="58">
        <f t="shared" si="222"/>
        <v>417.01334400000002</v>
      </c>
      <c r="Q1116" s="58">
        <f t="shared" si="223"/>
        <v>278.00889599999999</v>
      </c>
      <c r="R1116" s="66">
        <f t="shared" si="224"/>
        <v>21.285056100000006</v>
      </c>
      <c r="S1116" s="64">
        <f t="shared" si="225"/>
        <v>131.25</v>
      </c>
      <c r="T1116" s="66">
        <f t="shared" si="226"/>
        <v>1368.8239761000002</v>
      </c>
      <c r="U1116" s="68">
        <f t="shared" si="227"/>
        <v>39.109256460000005</v>
      </c>
      <c r="V1116" s="68">
        <f t="shared" si="228"/>
        <v>469.31107752000003</v>
      </c>
      <c r="W1116" s="68">
        <f t="shared" si="229"/>
        <v>312.87405168000004</v>
      </c>
    </row>
    <row r="1117" spans="1:23" x14ac:dyDescent="0.25">
      <c r="A1117" s="1" t="s">
        <v>890</v>
      </c>
      <c r="B1117" s="61" t="s">
        <v>397</v>
      </c>
      <c r="C1117" s="1" t="s">
        <v>591</v>
      </c>
      <c r="D1117" s="1" t="s">
        <v>593</v>
      </c>
      <c r="E1117" s="1" t="s">
        <v>382</v>
      </c>
      <c r="F1117" s="62" t="str">
        <f t="shared" si="230"/>
        <v>64567</v>
      </c>
      <c r="G1117" s="1">
        <v>10620069</v>
      </c>
      <c r="H1117" s="1" t="s">
        <v>387</v>
      </c>
      <c r="I1117" s="61">
        <v>29</v>
      </c>
      <c r="J1117" s="61">
        <v>6.7</v>
      </c>
      <c r="K1117" s="61">
        <v>8.8000000000000007</v>
      </c>
      <c r="L1117" s="69">
        <f t="shared" si="219"/>
        <v>1.9430000000000001</v>
      </c>
      <c r="M1117" s="69">
        <f t="shared" si="220"/>
        <v>2.552</v>
      </c>
      <c r="N1117" s="56">
        <f>INDEX(Rate_Chart!$A$1:$AK$127,MATCH(Data!J1117,Rate_Chart!$A$1:$A$127,0),MATCH(Data!K1117,Rate_Chart!$A$1:$AK$1,0))</f>
        <v>55.385550000000002</v>
      </c>
      <c r="O1117" s="57">
        <f t="shared" si="221"/>
        <v>1606.1809500000002</v>
      </c>
      <c r="P1117" s="58">
        <f t="shared" si="222"/>
        <v>440.73381962864721</v>
      </c>
      <c r="Q1117" s="58">
        <f t="shared" si="223"/>
        <v>293.82254641909816</v>
      </c>
      <c r="R1117" s="66">
        <f t="shared" si="224"/>
        <v>28.108166625000006</v>
      </c>
      <c r="S1117" s="64">
        <f t="shared" si="225"/>
        <v>108.75</v>
      </c>
      <c r="T1117" s="66">
        <f t="shared" si="226"/>
        <v>1743.0391166250001</v>
      </c>
      <c r="U1117" s="68">
        <f t="shared" si="227"/>
        <v>60.104797125000005</v>
      </c>
      <c r="V1117" s="68">
        <f t="shared" si="228"/>
        <v>478.28751027851456</v>
      </c>
      <c r="W1117" s="68">
        <f t="shared" si="229"/>
        <v>318.85834018567635</v>
      </c>
    </row>
    <row r="1118" spans="1:23" x14ac:dyDescent="0.25">
      <c r="A1118" s="1" t="s">
        <v>890</v>
      </c>
      <c r="B1118" s="61" t="s">
        <v>397</v>
      </c>
      <c r="C1118" s="1" t="s">
        <v>591</v>
      </c>
      <c r="D1118" s="1" t="s">
        <v>593</v>
      </c>
      <c r="E1118" s="1" t="s">
        <v>382</v>
      </c>
      <c r="F1118" s="62" t="str">
        <f t="shared" si="230"/>
        <v>64567</v>
      </c>
      <c r="G1118" s="1">
        <v>10620069</v>
      </c>
      <c r="H1118" s="1" t="s">
        <v>388</v>
      </c>
      <c r="I1118" s="61">
        <v>37</v>
      </c>
      <c r="J1118" s="61">
        <v>3</v>
      </c>
      <c r="K1118" s="61">
        <v>8</v>
      </c>
      <c r="L1118" s="69">
        <f t="shared" si="219"/>
        <v>1.1100000000000001</v>
      </c>
      <c r="M1118" s="69">
        <f t="shared" si="220"/>
        <v>2.96</v>
      </c>
      <c r="N1118" s="56">
        <f>INDEX(Rate_Chart!$A$1:$AK$127,MATCH(Data!J1118,Rate_Chart!$A$1:$A$127,0),MATCH(Data!K1118,Rate_Chart!$A$1:$AK$1,0))</f>
        <v>34.751112000000006</v>
      </c>
      <c r="O1118" s="57">
        <f t="shared" si="221"/>
        <v>1285.7911440000003</v>
      </c>
      <c r="P1118" s="58">
        <f t="shared" si="222"/>
        <v>417.01334400000002</v>
      </c>
      <c r="Q1118" s="58">
        <f t="shared" si="223"/>
        <v>278.00889599999999</v>
      </c>
      <c r="R1118" s="66">
        <f t="shared" si="224"/>
        <v>22.501345020000006</v>
      </c>
      <c r="S1118" s="64">
        <f t="shared" si="225"/>
        <v>138.75</v>
      </c>
      <c r="T1118" s="66">
        <f t="shared" si="226"/>
        <v>1447.0424890200002</v>
      </c>
      <c r="U1118" s="68">
        <f t="shared" si="227"/>
        <v>39.109256460000005</v>
      </c>
      <c r="V1118" s="68">
        <f t="shared" si="228"/>
        <v>469.31107752000003</v>
      </c>
      <c r="W1118" s="68">
        <f t="shared" si="229"/>
        <v>312.87405168000004</v>
      </c>
    </row>
    <row r="1119" spans="1:23" x14ac:dyDescent="0.25">
      <c r="A1119" s="1" t="s">
        <v>891</v>
      </c>
      <c r="B1119" s="61" t="s">
        <v>396</v>
      </c>
      <c r="C1119" s="1" t="s">
        <v>591</v>
      </c>
      <c r="D1119" s="1" t="s">
        <v>593</v>
      </c>
      <c r="E1119" s="1" t="s">
        <v>382</v>
      </c>
      <c r="F1119" s="62" t="str">
        <f t="shared" si="230"/>
        <v>64567</v>
      </c>
      <c r="G1119" s="1">
        <v>10620069</v>
      </c>
      <c r="H1119" s="1" t="s">
        <v>387</v>
      </c>
      <c r="I1119" s="61">
        <v>20</v>
      </c>
      <c r="J1119" s="61">
        <v>7.2</v>
      </c>
      <c r="K1119" s="61">
        <v>8.8000000000000007</v>
      </c>
      <c r="L1119" s="69">
        <f t="shared" si="219"/>
        <v>1.44</v>
      </c>
      <c r="M1119" s="69">
        <f t="shared" si="220"/>
        <v>1.76</v>
      </c>
      <c r="N1119" s="56">
        <f>INDEX(Rate_Chart!$A$1:$AK$127,MATCH(Data!J1119,Rate_Chart!$A$1:$A$127,0),MATCH(Data!K1119,Rate_Chart!$A$1:$AK$1,0))</f>
        <v>59.518800000000006</v>
      </c>
      <c r="O1119" s="57">
        <f t="shared" si="221"/>
        <v>1190.3760000000002</v>
      </c>
      <c r="P1119" s="58">
        <f t="shared" si="222"/>
        <v>455.50102040816324</v>
      </c>
      <c r="Q1119" s="58">
        <f t="shared" si="223"/>
        <v>303.66734693877549</v>
      </c>
      <c r="R1119" s="66">
        <f t="shared" si="224"/>
        <v>20.831580000000006</v>
      </c>
      <c r="S1119" s="64">
        <f t="shared" si="225"/>
        <v>75</v>
      </c>
      <c r="T1119" s="66">
        <f t="shared" si="226"/>
        <v>1286.2075800000002</v>
      </c>
      <c r="U1119" s="68">
        <f t="shared" si="227"/>
        <v>64.310379000000012</v>
      </c>
      <c r="V1119" s="68">
        <f t="shared" si="228"/>
        <v>492.17126785714288</v>
      </c>
      <c r="W1119" s="68">
        <f t="shared" si="229"/>
        <v>328.11417857142857</v>
      </c>
    </row>
    <row r="1120" spans="1:23" x14ac:dyDescent="0.25">
      <c r="A1120" s="1" t="s">
        <v>891</v>
      </c>
      <c r="B1120" s="61" t="s">
        <v>397</v>
      </c>
      <c r="C1120" s="1" t="s">
        <v>591</v>
      </c>
      <c r="D1120" s="1" t="s">
        <v>593</v>
      </c>
      <c r="E1120" s="1" t="s">
        <v>382</v>
      </c>
      <c r="F1120" s="62" t="str">
        <f t="shared" si="230"/>
        <v>64567</v>
      </c>
      <c r="G1120" s="1">
        <v>10620069</v>
      </c>
      <c r="H1120" s="1" t="s">
        <v>387</v>
      </c>
      <c r="I1120" s="61">
        <v>21</v>
      </c>
      <c r="J1120" s="61">
        <v>6.9</v>
      </c>
      <c r="K1120" s="61">
        <v>8.8000000000000007</v>
      </c>
      <c r="L1120" s="69">
        <f t="shared" si="219"/>
        <v>1.4490000000000001</v>
      </c>
      <c r="M1120" s="69">
        <f t="shared" si="220"/>
        <v>1.8480000000000001</v>
      </c>
      <c r="N1120" s="56">
        <f>INDEX(Rate_Chart!$A$1:$AK$127,MATCH(Data!J1120,Rate_Chart!$A$1:$A$127,0),MATCH(Data!K1120,Rate_Chart!$A$1:$AK$1,0))</f>
        <v>57.038850000000004</v>
      </c>
      <c r="O1120" s="57">
        <f t="shared" si="221"/>
        <v>1197.8158500000002</v>
      </c>
      <c r="P1120" s="58">
        <f t="shared" si="222"/>
        <v>446.77950391644907</v>
      </c>
      <c r="Q1120" s="58">
        <f t="shared" si="223"/>
        <v>297.85300261096603</v>
      </c>
      <c r="R1120" s="66">
        <f t="shared" si="224"/>
        <v>20.961777375000004</v>
      </c>
      <c r="S1120" s="64">
        <f t="shared" si="225"/>
        <v>78.75</v>
      </c>
      <c r="T1120" s="66">
        <f t="shared" si="226"/>
        <v>1297.5276273750001</v>
      </c>
      <c r="U1120" s="68">
        <f t="shared" si="227"/>
        <v>61.787029875000002</v>
      </c>
      <c r="V1120" s="68">
        <f t="shared" si="228"/>
        <v>483.97151338120102</v>
      </c>
      <c r="W1120" s="68">
        <f t="shared" si="229"/>
        <v>322.64767558746735</v>
      </c>
    </row>
    <row r="1121" spans="1:23" x14ac:dyDescent="0.25">
      <c r="A1121" s="1" t="s">
        <v>891</v>
      </c>
      <c r="B1121" s="61" t="s">
        <v>397</v>
      </c>
      <c r="C1121" s="1" t="s">
        <v>591</v>
      </c>
      <c r="D1121" s="1" t="s">
        <v>593</v>
      </c>
      <c r="E1121" s="1" t="s">
        <v>382</v>
      </c>
      <c r="F1121" s="62" t="str">
        <f t="shared" si="230"/>
        <v>64567</v>
      </c>
      <c r="G1121" s="1">
        <v>10620069</v>
      </c>
      <c r="H1121" s="1" t="s">
        <v>388</v>
      </c>
      <c r="I1121" s="61">
        <v>38</v>
      </c>
      <c r="J1121" s="61">
        <v>3</v>
      </c>
      <c r="K1121" s="61">
        <v>8</v>
      </c>
      <c r="L1121" s="69">
        <f t="shared" si="219"/>
        <v>1.1399999999999999</v>
      </c>
      <c r="M1121" s="69">
        <f t="shared" si="220"/>
        <v>3.04</v>
      </c>
      <c r="N1121" s="56">
        <f>INDEX(Rate_Chart!$A$1:$AK$127,MATCH(Data!J1121,Rate_Chart!$A$1:$A$127,0),MATCH(Data!K1121,Rate_Chart!$A$1:$AK$1,0))</f>
        <v>34.751112000000006</v>
      </c>
      <c r="O1121" s="57">
        <f t="shared" si="221"/>
        <v>1320.5422560000002</v>
      </c>
      <c r="P1121" s="58">
        <f t="shared" si="222"/>
        <v>417.01334400000002</v>
      </c>
      <c r="Q1121" s="58">
        <f t="shared" si="223"/>
        <v>278.00889599999999</v>
      </c>
      <c r="R1121" s="66">
        <f t="shared" si="224"/>
        <v>23.109489480000004</v>
      </c>
      <c r="S1121" s="64">
        <f t="shared" si="225"/>
        <v>142.5</v>
      </c>
      <c r="T1121" s="66">
        <f t="shared" si="226"/>
        <v>1486.1517454800003</v>
      </c>
      <c r="U1121" s="68">
        <f t="shared" si="227"/>
        <v>39.109256460000005</v>
      </c>
      <c r="V1121" s="68">
        <f t="shared" si="228"/>
        <v>469.31107752000003</v>
      </c>
      <c r="W1121" s="68">
        <f t="shared" si="229"/>
        <v>312.87405168000004</v>
      </c>
    </row>
    <row r="1122" spans="1:23" x14ac:dyDescent="0.25">
      <c r="A1122" s="1" t="s">
        <v>892</v>
      </c>
      <c r="B1122" s="61" t="s">
        <v>396</v>
      </c>
      <c r="C1122" s="1" t="s">
        <v>591</v>
      </c>
      <c r="D1122" s="1" t="s">
        <v>593</v>
      </c>
      <c r="E1122" s="1" t="s">
        <v>382</v>
      </c>
      <c r="F1122" s="62" t="str">
        <f t="shared" si="230"/>
        <v>64567</v>
      </c>
      <c r="G1122" s="1">
        <v>10620069</v>
      </c>
      <c r="H1122" s="1" t="s">
        <v>387</v>
      </c>
      <c r="I1122" s="61">
        <v>17</v>
      </c>
      <c r="J1122" s="61">
        <v>7.3</v>
      </c>
      <c r="K1122" s="61">
        <v>8.8000000000000007</v>
      </c>
      <c r="L1122" s="69">
        <f t="shared" si="219"/>
        <v>1.2409999999999999</v>
      </c>
      <c r="M1122" s="69">
        <f t="shared" si="220"/>
        <v>1.4960000000000002</v>
      </c>
      <c r="N1122" s="56">
        <f>INDEX(Rate_Chart!$A$1:$AK$127,MATCH(Data!J1122,Rate_Chart!$A$1:$A$127,0),MATCH(Data!K1122,Rate_Chart!$A$1:$AK$1,0))</f>
        <v>60.34545</v>
      </c>
      <c r="O1122" s="57">
        <f t="shared" si="221"/>
        <v>1025.87265</v>
      </c>
      <c r="P1122" s="58">
        <f t="shared" si="222"/>
        <v>458.31987341772157</v>
      </c>
      <c r="Q1122" s="58">
        <f t="shared" si="223"/>
        <v>305.54658227848103</v>
      </c>
      <c r="R1122" s="66">
        <f t="shared" si="224"/>
        <v>17.952771375000001</v>
      </c>
      <c r="S1122" s="64">
        <f t="shared" si="225"/>
        <v>63.75</v>
      </c>
      <c r="T1122" s="66">
        <f t="shared" si="226"/>
        <v>1107.5754213750001</v>
      </c>
      <c r="U1122" s="68">
        <f t="shared" si="227"/>
        <v>65.15149537500001</v>
      </c>
      <c r="V1122" s="68">
        <f t="shared" si="228"/>
        <v>494.8214838607596</v>
      </c>
      <c r="W1122" s="68">
        <f t="shared" si="229"/>
        <v>329.88098924050638</v>
      </c>
    </row>
    <row r="1123" spans="1:23" x14ac:dyDescent="0.25">
      <c r="A1123" s="1" t="s">
        <v>892</v>
      </c>
      <c r="B1123" s="61" t="s">
        <v>397</v>
      </c>
      <c r="C1123" s="1" t="s">
        <v>591</v>
      </c>
      <c r="D1123" s="1" t="s">
        <v>593</v>
      </c>
      <c r="E1123" s="1" t="s">
        <v>382</v>
      </c>
      <c r="F1123" s="62" t="str">
        <f t="shared" si="230"/>
        <v>64567</v>
      </c>
      <c r="G1123" s="1">
        <v>10620069</v>
      </c>
      <c r="H1123" s="1" t="s">
        <v>387</v>
      </c>
      <c r="I1123" s="61">
        <v>41</v>
      </c>
      <c r="J1123" s="61">
        <v>6</v>
      </c>
      <c r="K1123" s="61">
        <v>8.8000000000000007</v>
      </c>
      <c r="L1123" s="69">
        <f t="shared" si="219"/>
        <v>2.46</v>
      </c>
      <c r="M1123" s="69">
        <f t="shared" si="220"/>
        <v>3.6080000000000001</v>
      </c>
      <c r="N1123" s="56">
        <f>INDEX(Rate_Chart!$A$1:$AK$127,MATCH(Data!J1123,Rate_Chart!$A$1:$A$127,0),MATCH(Data!K1123,Rate_Chart!$A$1:$AK$1,0))</f>
        <v>49.599000000000004</v>
      </c>
      <c r="O1123" s="57">
        <f t="shared" si="221"/>
        <v>2033.5590000000002</v>
      </c>
      <c r="P1123" s="58">
        <f t="shared" si="222"/>
        <v>417.96910112359552</v>
      </c>
      <c r="Q1123" s="58">
        <f t="shared" si="223"/>
        <v>278.64606741573033</v>
      </c>
      <c r="R1123" s="66">
        <f t="shared" si="224"/>
        <v>35.587282500000008</v>
      </c>
      <c r="S1123" s="64">
        <f t="shared" si="225"/>
        <v>153.75</v>
      </c>
      <c r="T1123" s="66">
        <f t="shared" si="226"/>
        <v>2222.8962825000003</v>
      </c>
      <c r="U1123" s="68">
        <f t="shared" si="227"/>
        <v>54.216982500000007</v>
      </c>
      <c r="V1123" s="68">
        <f t="shared" si="228"/>
        <v>456.8846839887641</v>
      </c>
      <c r="W1123" s="68">
        <f t="shared" si="229"/>
        <v>304.58978932584273</v>
      </c>
    </row>
    <row r="1124" spans="1:23" x14ac:dyDescent="0.25">
      <c r="A1124" s="1" t="s">
        <v>892</v>
      </c>
      <c r="B1124" s="61" t="s">
        <v>397</v>
      </c>
      <c r="C1124" s="1" t="s">
        <v>591</v>
      </c>
      <c r="D1124" s="1" t="s">
        <v>593</v>
      </c>
      <c r="E1124" s="1" t="s">
        <v>382</v>
      </c>
      <c r="F1124" s="62" t="str">
        <f t="shared" si="230"/>
        <v>64567</v>
      </c>
      <c r="G1124" s="1">
        <v>10620069</v>
      </c>
      <c r="H1124" s="1" t="s">
        <v>388</v>
      </c>
      <c r="I1124" s="61">
        <v>36</v>
      </c>
      <c r="J1124" s="61">
        <v>3.1</v>
      </c>
      <c r="K1124" s="61">
        <v>8.1</v>
      </c>
      <c r="L1124" s="69">
        <f t="shared" si="219"/>
        <v>1.1160000000000001</v>
      </c>
      <c r="M1124" s="69">
        <f t="shared" si="220"/>
        <v>2.9159999999999995</v>
      </c>
      <c r="N1124" s="56">
        <f>INDEX(Rate_Chart!$A$1:$AK$127,MATCH(Data!J1124,Rate_Chart!$A$1:$A$127,0),MATCH(Data!K1124,Rate_Chart!$A$1:$AK$1,0))</f>
        <v>35.446125899999998</v>
      </c>
      <c r="O1124" s="57">
        <f t="shared" si="221"/>
        <v>1276.0605323999998</v>
      </c>
      <c r="P1124" s="58">
        <f t="shared" si="222"/>
        <v>417.01324588235298</v>
      </c>
      <c r="Q1124" s="58">
        <f t="shared" si="223"/>
        <v>278.0088305882353</v>
      </c>
      <c r="R1124" s="66">
        <f t="shared" si="224"/>
        <v>22.331059316999998</v>
      </c>
      <c r="S1124" s="64">
        <f t="shared" si="225"/>
        <v>135</v>
      </c>
      <c r="T1124" s="66">
        <f t="shared" si="226"/>
        <v>1433.3915917169998</v>
      </c>
      <c r="U1124" s="68">
        <f t="shared" si="227"/>
        <v>39.816433103249992</v>
      </c>
      <c r="V1124" s="68">
        <f t="shared" si="228"/>
        <v>468.4286247441176</v>
      </c>
      <c r="W1124" s="68">
        <f t="shared" si="229"/>
        <v>312.28574982941171</v>
      </c>
    </row>
    <row r="1125" spans="1:23" x14ac:dyDescent="0.25">
      <c r="A1125" s="1" t="s">
        <v>893</v>
      </c>
      <c r="B1125" s="61" t="s">
        <v>396</v>
      </c>
      <c r="C1125" s="1" t="s">
        <v>591</v>
      </c>
      <c r="D1125" s="1" t="s">
        <v>593</v>
      </c>
      <c r="E1125" s="1" t="s">
        <v>382</v>
      </c>
      <c r="F1125" s="62" t="str">
        <f t="shared" si="230"/>
        <v>64567</v>
      </c>
      <c r="G1125" s="1">
        <v>10620069</v>
      </c>
      <c r="H1125" s="1" t="s">
        <v>387</v>
      </c>
      <c r="I1125" s="61">
        <v>15</v>
      </c>
      <c r="J1125" s="61">
        <v>7.5</v>
      </c>
      <c r="K1125" s="61">
        <v>8.8000000000000007</v>
      </c>
      <c r="L1125" s="69">
        <f t="shared" si="219"/>
        <v>1.125</v>
      </c>
      <c r="M1125" s="69">
        <f t="shared" si="220"/>
        <v>1.32</v>
      </c>
      <c r="N1125" s="56">
        <f>INDEX(Rate_Chart!$A$1:$AK$127,MATCH(Data!J1125,Rate_Chart!$A$1:$A$127,0),MATCH(Data!K1125,Rate_Chart!$A$1:$AK$1,0))</f>
        <v>61.998750000000001</v>
      </c>
      <c r="O1125" s="57">
        <f t="shared" si="221"/>
        <v>929.98125000000005</v>
      </c>
      <c r="P1125" s="58">
        <f t="shared" si="222"/>
        <v>463.83104738154617</v>
      </c>
      <c r="Q1125" s="58">
        <f t="shared" si="223"/>
        <v>309.22069825436409</v>
      </c>
      <c r="R1125" s="66">
        <f t="shared" si="224"/>
        <v>16.274671875000003</v>
      </c>
      <c r="S1125" s="64">
        <f t="shared" si="225"/>
        <v>56.25</v>
      </c>
      <c r="T1125" s="66">
        <f t="shared" si="226"/>
        <v>1002.505921875</v>
      </c>
      <c r="U1125" s="68">
        <f t="shared" si="227"/>
        <v>66.833728125000007</v>
      </c>
      <c r="V1125" s="68">
        <f t="shared" si="228"/>
        <v>500.00295355361607</v>
      </c>
      <c r="W1125" s="68">
        <f t="shared" si="229"/>
        <v>333.3353023690774</v>
      </c>
    </row>
    <row r="1126" spans="1:23" x14ac:dyDescent="0.25">
      <c r="A1126" s="1" t="s">
        <v>893</v>
      </c>
      <c r="B1126" s="61" t="s">
        <v>396</v>
      </c>
      <c r="C1126" s="1" t="s">
        <v>591</v>
      </c>
      <c r="D1126" s="1" t="s">
        <v>593</v>
      </c>
      <c r="E1126" s="1" t="s">
        <v>382</v>
      </c>
      <c r="F1126" s="62" t="str">
        <f t="shared" si="230"/>
        <v>64567</v>
      </c>
      <c r="G1126" s="1">
        <v>10620069</v>
      </c>
      <c r="H1126" s="1" t="s">
        <v>388</v>
      </c>
      <c r="I1126" s="61">
        <v>34</v>
      </c>
      <c r="J1126" s="61">
        <v>3.1</v>
      </c>
      <c r="K1126" s="61">
        <v>8.1</v>
      </c>
      <c r="L1126" s="69">
        <f t="shared" si="219"/>
        <v>1.054</v>
      </c>
      <c r="M1126" s="69">
        <f t="shared" si="220"/>
        <v>2.7539999999999996</v>
      </c>
      <c r="N1126" s="56">
        <f>INDEX(Rate_Chart!$A$1:$AK$127,MATCH(Data!J1126,Rate_Chart!$A$1:$A$127,0),MATCH(Data!K1126,Rate_Chart!$A$1:$AK$1,0))</f>
        <v>35.446125899999998</v>
      </c>
      <c r="O1126" s="57">
        <f t="shared" si="221"/>
        <v>1205.1682805999999</v>
      </c>
      <c r="P1126" s="58">
        <f t="shared" si="222"/>
        <v>417.01324588235298</v>
      </c>
      <c r="Q1126" s="58">
        <f t="shared" si="223"/>
        <v>278.0088305882353</v>
      </c>
      <c r="R1126" s="66">
        <f t="shared" si="224"/>
        <v>21.0904449105</v>
      </c>
      <c r="S1126" s="64">
        <f t="shared" si="225"/>
        <v>127.5</v>
      </c>
      <c r="T1126" s="66">
        <f t="shared" si="226"/>
        <v>1353.7587255105</v>
      </c>
      <c r="U1126" s="68">
        <f t="shared" si="227"/>
        <v>39.816433103249999</v>
      </c>
      <c r="V1126" s="68">
        <f t="shared" si="228"/>
        <v>468.42862474411766</v>
      </c>
      <c r="W1126" s="68">
        <f t="shared" si="229"/>
        <v>312.28574982941177</v>
      </c>
    </row>
    <row r="1127" spans="1:23" x14ac:dyDescent="0.25">
      <c r="A1127" s="1" t="s">
        <v>893</v>
      </c>
      <c r="B1127" s="61" t="s">
        <v>397</v>
      </c>
      <c r="C1127" s="1" t="s">
        <v>591</v>
      </c>
      <c r="D1127" s="1" t="s">
        <v>593</v>
      </c>
      <c r="E1127" s="1" t="s">
        <v>382</v>
      </c>
      <c r="F1127" s="62" t="str">
        <f t="shared" si="230"/>
        <v>64567</v>
      </c>
      <c r="G1127" s="1">
        <v>10620069</v>
      </c>
      <c r="H1127" s="1" t="s">
        <v>387</v>
      </c>
      <c r="I1127" s="61">
        <v>41</v>
      </c>
      <c r="J1127" s="61">
        <v>5.8</v>
      </c>
      <c r="K1127" s="61">
        <v>8.8000000000000007</v>
      </c>
      <c r="L1127" s="69">
        <f t="shared" si="219"/>
        <v>2.3779999999999997</v>
      </c>
      <c r="M1127" s="69">
        <f t="shared" si="220"/>
        <v>3.6080000000000001</v>
      </c>
      <c r="N1127" s="56">
        <f>INDEX(Rate_Chart!$A$1:$AK$127,MATCH(Data!J1127,Rate_Chart!$A$1:$A$127,0),MATCH(Data!K1127,Rate_Chart!$A$1:$AK$1,0))</f>
        <v>47.945700000000002</v>
      </c>
      <c r="O1127" s="57">
        <f t="shared" si="221"/>
        <v>1965.7737000000002</v>
      </c>
      <c r="P1127" s="58">
        <f t="shared" si="222"/>
        <v>410.96314285714288</v>
      </c>
      <c r="Q1127" s="58">
        <f t="shared" si="223"/>
        <v>273.97542857142861</v>
      </c>
      <c r="R1127" s="66">
        <f t="shared" si="224"/>
        <v>34.40103975000001</v>
      </c>
      <c r="S1127" s="64">
        <f t="shared" si="225"/>
        <v>153.75</v>
      </c>
      <c r="T1127" s="66">
        <f t="shared" si="226"/>
        <v>2153.9247397500003</v>
      </c>
      <c r="U1127" s="68">
        <f t="shared" si="227"/>
        <v>52.53474975000001</v>
      </c>
      <c r="V1127" s="68">
        <f t="shared" si="228"/>
        <v>450.29785500000008</v>
      </c>
      <c r="W1127" s="68">
        <f t="shared" si="229"/>
        <v>300.19857000000007</v>
      </c>
    </row>
    <row r="1128" spans="1:23" x14ac:dyDescent="0.25">
      <c r="A1128" s="1" t="s">
        <v>893</v>
      </c>
      <c r="B1128" s="61" t="s">
        <v>397</v>
      </c>
      <c r="C1128" s="1" t="s">
        <v>591</v>
      </c>
      <c r="D1128" s="1" t="s">
        <v>593</v>
      </c>
      <c r="E1128" s="1" t="s">
        <v>382</v>
      </c>
      <c r="F1128" s="62" t="str">
        <f t="shared" si="230"/>
        <v>64567</v>
      </c>
      <c r="G1128" s="1">
        <v>10620069</v>
      </c>
      <c r="H1128" s="1" t="s">
        <v>388</v>
      </c>
      <c r="I1128" s="61">
        <v>26</v>
      </c>
      <c r="J1128" s="61">
        <v>3.1</v>
      </c>
      <c r="K1128" s="61">
        <v>8.1</v>
      </c>
      <c r="L1128" s="69">
        <f t="shared" si="219"/>
        <v>0.80600000000000005</v>
      </c>
      <c r="M1128" s="69">
        <f t="shared" si="220"/>
        <v>2.1059999999999999</v>
      </c>
      <c r="N1128" s="56">
        <f>INDEX(Rate_Chart!$A$1:$AK$127,MATCH(Data!J1128,Rate_Chart!$A$1:$A$127,0),MATCH(Data!K1128,Rate_Chart!$A$1:$AK$1,0))</f>
        <v>35.446125899999998</v>
      </c>
      <c r="O1128" s="57">
        <f t="shared" si="221"/>
        <v>921.5992733999999</v>
      </c>
      <c r="P1128" s="58">
        <f t="shared" si="222"/>
        <v>417.01324588235298</v>
      </c>
      <c r="Q1128" s="58">
        <f t="shared" si="223"/>
        <v>278.0088305882353</v>
      </c>
      <c r="R1128" s="66">
        <f t="shared" si="224"/>
        <v>16.127987284500001</v>
      </c>
      <c r="S1128" s="64">
        <f t="shared" si="225"/>
        <v>97.5</v>
      </c>
      <c r="T1128" s="66">
        <f t="shared" si="226"/>
        <v>1035.2272606844999</v>
      </c>
      <c r="U1128" s="68">
        <f t="shared" si="227"/>
        <v>39.816433103249999</v>
      </c>
      <c r="V1128" s="68">
        <f t="shared" si="228"/>
        <v>468.42862474411766</v>
      </c>
      <c r="W1128" s="68">
        <f t="shared" si="229"/>
        <v>312.28574982941177</v>
      </c>
    </row>
    <row r="1129" spans="1:23" x14ac:dyDescent="0.25">
      <c r="A1129" s="1" t="s">
        <v>894</v>
      </c>
      <c r="B1129" s="61" t="s">
        <v>396</v>
      </c>
      <c r="C1129" s="1" t="s">
        <v>591</v>
      </c>
      <c r="D1129" s="1" t="s">
        <v>593</v>
      </c>
      <c r="E1129" s="1" t="s">
        <v>382</v>
      </c>
      <c r="F1129" s="62" t="str">
        <f t="shared" si="230"/>
        <v>64567</v>
      </c>
      <c r="G1129" s="1">
        <v>10620069</v>
      </c>
      <c r="H1129" s="1" t="s">
        <v>387</v>
      </c>
      <c r="I1129" s="61">
        <v>22</v>
      </c>
      <c r="J1129" s="61">
        <v>7.6</v>
      </c>
      <c r="K1129" s="61">
        <v>8.8000000000000007</v>
      </c>
      <c r="L1129" s="69">
        <f t="shared" si="219"/>
        <v>1.6719999999999999</v>
      </c>
      <c r="M1129" s="69">
        <f t="shared" si="220"/>
        <v>1.9360000000000002</v>
      </c>
      <c r="N1129" s="56">
        <f>INDEX(Rate_Chart!$A$1:$AK$127,MATCH(Data!J1129,Rate_Chart!$A$1:$A$127,0),MATCH(Data!K1129,Rate_Chart!$A$1:$AK$1,0))</f>
        <v>62.825400000000002</v>
      </c>
      <c r="O1129" s="57">
        <f t="shared" si="221"/>
        <v>1382.1588000000002</v>
      </c>
      <c r="P1129" s="58">
        <f t="shared" si="222"/>
        <v>466.5252475247525</v>
      </c>
      <c r="Q1129" s="58">
        <f t="shared" si="223"/>
        <v>311.01683168316833</v>
      </c>
      <c r="R1129" s="66">
        <f t="shared" si="224"/>
        <v>24.187779000000006</v>
      </c>
      <c r="S1129" s="64">
        <f t="shared" si="225"/>
        <v>82.5</v>
      </c>
      <c r="T1129" s="66">
        <f t="shared" si="226"/>
        <v>1488.8465790000002</v>
      </c>
      <c r="U1129" s="68">
        <f t="shared" si="227"/>
        <v>67.674844500000006</v>
      </c>
      <c r="V1129" s="68">
        <f t="shared" si="228"/>
        <v>502.53597400990105</v>
      </c>
      <c r="W1129" s="68">
        <f t="shared" si="229"/>
        <v>335.02398267326737</v>
      </c>
    </row>
    <row r="1130" spans="1:23" x14ac:dyDescent="0.25">
      <c r="A1130" s="1" t="s">
        <v>894</v>
      </c>
      <c r="B1130" s="61" t="s">
        <v>396</v>
      </c>
      <c r="C1130" s="1" t="s">
        <v>591</v>
      </c>
      <c r="D1130" s="1" t="s">
        <v>593</v>
      </c>
      <c r="E1130" s="1" t="s">
        <v>382</v>
      </c>
      <c r="F1130" s="62" t="str">
        <f t="shared" si="230"/>
        <v>64567</v>
      </c>
      <c r="G1130" s="1">
        <v>10620069</v>
      </c>
      <c r="H1130" s="1" t="s">
        <v>388</v>
      </c>
      <c r="I1130" s="61">
        <v>32</v>
      </c>
      <c r="J1130" s="61">
        <v>3.1</v>
      </c>
      <c r="K1130" s="61">
        <v>8.1</v>
      </c>
      <c r="L1130" s="69">
        <f t="shared" si="219"/>
        <v>0.99199999999999999</v>
      </c>
      <c r="M1130" s="69">
        <f t="shared" si="220"/>
        <v>2.5920000000000001</v>
      </c>
      <c r="N1130" s="56">
        <f>INDEX(Rate_Chart!$A$1:$AK$127,MATCH(Data!J1130,Rate_Chart!$A$1:$A$127,0),MATCH(Data!K1130,Rate_Chart!$A$1:$AK$1,0))</f>
        <v>35.446125899999998</v>
      </c>
      <c r="O1130" s="57">
        <f t="shared" si="221"/>
        <v>1134.2760287999999</v>
      </c>
      <c r="P1130" s="58">
        <f t="shared" si="222"/>
        <v>417.01324588235298</v>
      </c>
      <c r="Q1130" s="58">
        <f t="shared" si="223"/>
        <v>278.0088305882353</v>
      </c>
      <c r="R1130" s="66">
        <f t="shared" si="224"/>
        <v>19.849830504</v>
      </c>
      <c r="S1130" s="64">
        <f t="shared" si="225"/>
        <v>120</v>
      </c>
      <c r="T1130" s="66">
        <f t="shared" si="226"/>
        <v>1274.125859304</v>
      </c>
      <c r="U1130" s="68">
        <f t="shared" si="227"/>
        <v>39.816433103249999</v>
      </c>
      <c r="V1130" s="68">
        <f t="shared" si="228"/>
        <v>468.42862474411766</v>
      </c>
      <c r="W1130" s="68">
        <f t="shared" si="229"/>
        <v>312.28574982941177</v>
      </c>
    </row>
    <row r="1131" spans="1:23" x14ac:dyDescent="0.25">
      <c r="A1131" s="1" t="s">
        <v>894</v>
      </c>
      <c r="B1131" s="61" t="s">
        <v>397</v>
      </c>
      <c r="C1131" s="1" t="s">
        <v>591</v>
      </c>
      <c r="D1131" s="1" t="s">
        <v>593</v>
      </c>
      <c r="E1131" s="1" t="s">
        <v>382</v>
      </c>
      <c r="F1131" s="62" t="str">
        <f t="shared" si="230"/>
        <v>64567</v>
      </c>
      <c r="G1131" s="1">
        <v>10620069</v>
      </c>
      <c r="H1131" s="1" t="s">
        <v>387</v>
      </c>
      <c r="I1131" s="61">
        <v>34</v>
      </c>
      <c r="J1131" s="61">
        <v>6.2</v>
      </c>
      <c r="K1131" s="61">
        <v>8.6</v>
      </c>
      <c r="L1131" s="69">
        <f t="shared" si="219"/>
        <v>2.1080000000000001</v>
      </c>
      <c r="M1131" s="69">
        <f t="shared" si="220"/>
        <v>2.9239999999999999</v>
      </c>
      <c r="N1131" s="56">
        <f>INDEX(Rate_Chart!$A$1:$AK$127,MATCH(Data!J1131,Rate_Chart!$A$1:$A$127,0),MATCH(Data!K1131,Rate_Chart!$A$1:$AK$1,0))</f>
        <v>50.7346</v>
      </c>
      <c r="O1131" s="57">
        <f t="shared" si="221"/>
        <v>1724.9764</v>
      </c>
      <c r="P1131" s="58">
        <f t="shared" si="222"/>
        <v>425.15027932960902</v>
      </c>
      <c r="Q1131" s="58">
        <f t="shared" si="223"/>
        <v>283.4335195530727</v>
      </c>
      <c r="R1131" s="66">
        <f t="shared" si="224"/>
        <v>30.187087000000002</v>
      </c>
      <c r="S1131" s="64">
        <f t="shared" si="225"/>
        <v>127.5</v>
      </c>
      <c r="T1131" s="66">
        <f t="shared" si="226"/>
        <v>1882.663487</v>
      </c>
      <c r="U1131" s="68">
        <f t="shared" si="227"/>
        <v>55.372455500000001</v>
      </c>
      <c r="V1131" s="68">
        <f t="shared" si="228"/>
        <v>464.01499022346377</v>
      </c>
      <c r="W1131" s="68">
        <f t="shared" si="229"/>
        <v>309.34332681564251</v>
      </c>
    </row>
    <row r="1132" spans="1:23" x14ac:dyDescent="0.25">
      <c r="A1132" s="1" t="s">
        <v>894</v>
      </c>
      <c r="B1132" s="61" t="s">
        <v>397</v>
      </c>
      <c r="C1132" s="1" t="s">
        <v>591</v>
      </c>
      <c r="D1132" s="1" t="s">
        <v>593</v>
      </c>
      <c r="E1132" s="1" t="s">
        <v>382</v>
      </c>
      <c r="F1132" s="62" t="str">
        <f t="shared" si="230"/>
        <v>64567</v>
      </c>
      <c r="G1132" s="1">
        <v>10620069</v>
      </c>
      <c r="H1132" s="1" t="s">
        <v>388</v>
      </c>
      <c r="I1132" s="61">
        <v>31</v>
      </c>
      <c r="J1132" s="61">
        <v>3.1</v>
      </c>
      <c r="K1132" s="61">
        <v>8.1</v>
      </c>
      <c r="L1132" s="69">
        <f t="shared" si="219"/>
        <v>0.96100000000000008</v>
      </c>
      <c r="M1132" s="69">
        <f t="shared" si="220"/>
        <v>2.5110000000000001</v>
      </c>
      <c r="N1132" s="56">
        <f>INDEX(Rate_Chart!$A$1:$AK$127,MATCH(Data!J1132,Rate_Chart!$A$1:$A$127,0),MATCH(Data!K1132,Rate_Chart!$A$1:$AK$1,0))</f>
        <v>35.446125899999998</v>
      </c>
      <c r="O1132" s="57">
        <f t="shared" si="221"/>
        <v>1098.8299029</v>
      </c>
      <c r="P1132" s="58">
        <f t="shared" si="222"/>
        <v>417.01324588235298</v>
      </c>
      <c r="Q1132" s="58">
        <f t="shared" si="223"/>
        <v>278.0088305882353</v>
      </c>
      <c r="R1132" s="66">
        <f t="shared" si="224"/>
        <v>19.229523300750003</v>
      </c>
      <c r="S1132" s="64">
        <f t="shared" si="225"/>
        <v>116.25</v>
      </c>
      <c r="T1132" s="66">
        <f t="shared" si="226"/>
        <v>1234.3094262007501</v>
      </c>
      <c r="U1132" s="68">
        <f t="shared" si="227"/>
        <v>39.816433103249999</v>
      </c>
      <c r="V1132" s="68">
        <f t="shared" si="228"/>
        <v>468.42862474411766</v>
      </c>
      <c r="W1132" s="68">
        <f t="shared" si="229"/>
        <v>312.28574982941177</v>
      </c>
    </row>
    <row r="1133" spans="1:23" x14ac:dyDescent="0.25">
      <c r="A1133" s="1" t="s">
        <v>888</v>
      </c>
      <c r="B1133" s="61" t="s">
        <v>396</v>
      </c>
      <c r="C1133" s="1" t="s">
        <v>591</v>
      </c>
      <c r="D1133" s="1" t="s">
        <v>595</v>
      </c>
      <c r="E1133" s="1" t="s">
        <v>383</v>
      </c>
      <c r="F1133" s="62" t="str">
        <f t="shared" si="230"/>
        <v>64569</v>
      </c>
      <c r="G1133" s="1">
        <v>10620019</v>
      </c>
      <c r="H1133" s="1" t="s">
        <v>387</v>
      </c>
      <c r="I1133" s="61">
        <v>65</v>
      </c>
      <c r="J1133" s="61">
        <v>6</v>
      </c>
      <c r="K1133" s="61">
        <v>8.6</v>
      </c>
      <c r="L1133" s="69">
        <f t="shared" si="219"/>
        <v>3.9</v>
      </c>
      <c r="M1133" s="69">
        <f t="shared" si="220"/>
        <v>5.59</v>
      </c>
      <c r="N1133" s="56">
        <f>INDEX(Rate_Chart!$A$1:$AK$127,MATCH(Data!J1133,Rate_Chart!$A$1:$A$127,0),MATCH(Data!K1133,Rate_Chart!$A$1:$AK$1,0))</f>
        <v>49.097999999999999</v>
      </c>
      <c r="O1133" s="57">
        <f t="shared" si="221"/>
        <v>3191.37</v>
      </c>
      <c r="P1133" s="58">
        <f t="shared" si="222"/>
        <v>418.44886363636368</v>
      </c>
      <c r="Q1133" s="58">
        <f t="shared" si="223"/>
        <v>278.96590909090912</v>
      </c>
      <c r="R1133" s="66">
        <f t="shared" si="224"/>
        <v>55.848975000000003</v>
      </c>
      <c r="S1133" s="64">
        <f t="shared" si="225"/>
        <v>243.75</v>
      </c>
      <c r="T1133" s="66">
        <f t="shared" si="226"/>
        <v>3490.9689749999998</v>
      </c>
      <c r="U1133" s="68">
        <f t="shared" si="227"/>
        <v>53.707214999999998</v>
      </c>
      <c r="V1133" s="68">
        <f t="shared" si="228"/>
        <v>457.7319460227273</v>
      </c>
      <c r="W1133" s="68">
        <f t="shared" si="229"/>
        <v>305.15463068181822</v>
      </c>
    </row>
    <row r="1134" spans="1:23" x14ac:dyDescent="0.25">
      <c r="A1134" s="1" t="s">
        <v>888</v>
      </c>
      <c r="B1134" s="61" t="s">
        <v>396</v>
      </c>
      <c r="C1134" s="1" t="s">
        <v>591</v>
      </c>
      <c r="D1134" s="1" t="s">
        <v>595</v>
      </c>
      <c r="E1134" s="1" t="s">
        <v>383</v>
      </c>
      <c r="F1134" s="62" t="str">
        <f t="shared" si="230"/>
        <v>64569</v>
      </c>
      <c r="G1134" s="1">
        <v>10620019</v>
      </c>
      <c r="H1134" s="1" t="s">
        <v>388</v>
      </c>
      <c r="I1134" s="61">
        <v>110</v>
      </c>
      <c r="J1134" s="61">
        <v>3.3</v>
      </c>
      <c r="K1134" s="61">
        <v>8.1</v>
      </c>
      <c r="L1134" s="69">
        <f t="shared" si="219"/>
        <v>3.63</v>
      </c>
      <c r="M1134" s="69">
        <f t="shared" si="220"/>
        <v>8.91</v>
      </c>
      <c r="N1134" s="56">
        <f>INDEX(Rate_Chart!$A$1:$AK$127,MATCH(Data!J1134,Rate_Chart!$A$1:$A$127,0),MATCH(Data!K1134,Rate_Chart!$A$1:$AK$1,0))</f>
        <v>36.280125900000002</v>
      </c>
      <c r="O1134" s="57">
        <f t="shared" si="221"/>
        <v>3990.8138490000001</v>
      </c>
      <c r="P1134" s="58">
        <f t="shared" si="222"/>
        <v>417.0129413793104</v>
      </c>
      <c r="Q1134" s="58">
        <f t="shared" si="223"/>
        <v>278.00862758620696</v>
      </c>
      <c r="R1134" s="66">
        <f t="shared" si="224"/>
        <v>69.839242357500012</v>
      </c>
      <c r="S1134" s="64">
        <f t="shared" si="225"/>
        <v>412.5</v>
      </c>
      <c r="T1134" s="66">
        <f t="shared" si="226"/>
        <v>4473.1530913574998</v>
      </c>
      <c r="U1134" s="68">
        <f t="shared" si="227"/>
        <v>40.665028103249995</v>
      </c>
      <c r="V1134" s="68">
        <f t="shared" si="228"/>
        <v>467.41411612931034</v>
      </c>
      <c r="W1134" s="68">
        <f t="shared" si="229"/>
        <v>311.60941075287354</v>
      </c>
    </row>
    <row r="1135" spans="1:23" x14ac:dyDescent="0.25">
      <c r="A1135" s="1" t="s">
        <v>888</v>
      </c>
      <c r="B1135" s="61" t="s">
        <v>397</v>
      </c>
      <c r="C1135" s="1" t="s">
        <v>591</v>
      </c>
      <c r="D1135" s="1" t="s">
        <v>595</v>
      </c>
      <c r="E1135" s="1" t="s">
        <v>383</v>
      </c>
      <c r="F1135" s="62" t="str">
        <f t="shared" si="230"/>
        <v>64569</v>
      </c>
      <c r="G1135" s="1">
        <v>10620019</v>
      </c>
      <c r="H1135" s="1" t="s">
        <v>388</v>
      </c>
      <c r="I1135" s="61">
        <v>52</v>
      </c>
      <c r="J1135" s="61">
        <v>4.0999999999999996</v>
      </c>
      <c r="K1135" s="61">
        <v>8.1</v>
      </c>
      <c r="L1135" s="69">
        <f t="shared" si="219"/>
        <v>2.1319999999999997</v>
      </c>
      <c r="M1135" s="69">
        <f t="shared" si="220"/>
        <v>4.2119999999999997</v>
      </c>
      <c r="N1135" s="56">
        <f>INDEX(Rate_Chart!$A$1:$AK$127,MATCH(Data!J1135,Rate_Chart!$A$1:$A$127,0),MATCH(Data!K1135,Rate_Chart!$A$1:$AK$1,0))</f>
        <v>39.6161259</v>
      </c>
      <c r="O1135" s="57">
        <f t="shared" si="221"/>
        <v>2060.0385467999999</v>
      </c>
      <c r="P1135" s="58">
        <f t="shared" si="222"/>
        <v>417.01185157894736</v>
      </c>
      <c r="Q1135" s="58">
        <f t="shared" si="223"/>
        <v>278.00790105263155</v>
      </c>
      <c r="R1135" s="66">
        <f t="shared" si="224"/>
        <v>36.050674569000002</v>
      </c>
      <c r="S1135" s="64">
        <f t="shared" si="225"/>
        <v>195</v>
      </c>
      <c r="T1135" s="66">
        <f t="shared" si="226"/>
        <v>2291.0892213689999</v>
      </c>
      <c r="U1135" s="68">
        <f t="shared" si="227"/>
        <v>44.05940810325</v>
      </c>
      <c r="V1135" s="68">
        <f t="shared" si="228"/>
        <v>463.78324319210526</v>
      </c>
      <c r="W1135" s="68">
        <f t="shared" si="229"/>
        <v>309.18882879473682</v>
      </c>
    </row>
    <row r="1136" spans="1:23" x14ac:dyDescent="0.25">
      <c r="A1136" s="1" t="s">
        <v>889</v>
      </c>
      <c r="B1136" s="61" t="s">
        <v>396</v>
      </c>
      <c r="C1136" s="1" t="s">
        <v>591</v>
      </c>
      <c r="D1136" s="1" t="s">
        <v>595</v>
      </c>
      <c r="E1136" s="1" t="s">
        <v>383</v>
      </c>
      <c r="F1136" s="62" t="str">
        <f t="shared" si="230"/>
        <v>64569</v>
      </c>
      <c r="G1136" s="1">
        <v>10620019</v>
      </c>
      <c r="H1136" s="1" t="s">
        <v>387</v>
      </c>
      <c r="I1136" s="61">
        <v>54</v>
      </c>
      <c r="J1136" s="61">
        <v>8</v>
      </c>
      <c r="K1136" s="61">
        <v>8.8000000000000007</v>
      </c>
      <c r="L1136" s="69">
        <f t="shared" ref="L1136:L1199" si="231">J1136*I1136/100</f>
        <v>4.32</v>
      </c>
      <c r="M1136" s="69">
        <f t="shared" ref="M1136:M1199" si="232">K1136*I1136/100</f>
        <v>4.7520000000000007</v>
      </c>
      <c r="N1136" s="56">
        <f>INDEX(Rate_Chart!$A$1:$AK$127,MATCH(Data!J1136,Rate_Chart!$A$1:$A$127,0),MATCH(Data!K1136,Rate_Chart!$A$1:$AK$1,0))</f>
        <v>66.131999999999991</v>
      </c>
      <c r="O1136" s="57">
        <f t="shared" ref="O1136:O1199" si="233">N1136*I1136</f>
        <v>3571.1279999999997</v>
      </c>
      <c r="P1136" s="58">
        <f t="shared" ref="P1136:P1199" si="234">N1136/(J1136%+K1136%*2/3)</f>
        <v>476.91346153846149</v>
      </c>
      <c r="Q1136" s="58">
        <f t="shared" ref="Q1136:Q1199" si="235">P1136*2/3</f>
        <v>317.94230769230768</v>
      </c>
      <c r="R1136" s="66">
        <f t="shared" ref="R1136:R1199" si="236">O1136*1.75%</f>
        <v>62.49474</v>
      </c>
      <c r="S1136" s="64">
        <f t="shared" ref="S1136:S1199" si="237">I1136*3.75</f>
        <v>202.5</v>
      </c>
      <c r="T1136" s="66">
        <f t="shared" ref="T1136:T1199" si="238">R1136+S1136+O1136</f>
        <v>3836.1227399999998</v>
      </c>
      <c r="U1136" s="68">
        <f t="shared" ref="U1136:U1199" si="239">T1136/I1136</f>
        <v>71.03931</v>
      </c>
      <c r="V1136" s="68">
        <f t="shared" ref="V1136:V1199" si="240">U1136/(J1136%+K1136%*2/3)</f>
        <v>512.30271634615383</v>
      </c>
      <c r="W1136" s="68">
        <f t="shared" ref="W1136:W1199" si="241">V1136*2/3</f>
        <v>341.53514423076922</v>
      </c>
    </row>
    <row r="1137" spans="1:23" x14ac:dyDescent="0.25">
      <c r="A1137" s="1" t="s">
        <v>889</v>
      </c>
      <c r="B1137" s="61" t="s">
        <v>396</v>
      </c>
      <c r="C1137" s="1" t="s">
        <v>591</v>
      </c>
      <c r="D1137" s="1" t="s">
        <v>595</v>
      </c>
      <c r="E1137" s="1" t="s">
        <v>383</v>
      </c>
      <c r="F1137" s="62" t="str">
        <f t="shared" si="230"/>
        <v>64569</v>
      </c>
      <c r="G1137" s="1">
        <v>10620019</v>
      </c>
      <c r="H1137" s="1" t="s">
        <v>388</v>
      </c>
      <c r="I1137" s="61">
        <v>30</v>
      </c>
      <c r="J1137" s="61">
        <v>4</v>
      </c>
      <c r="K1137" s="61">
        <v>8.1</v>
      </c>
      <c r="L1137" s="69">
        <f t="shared" si="231"/>
        <v>1.2</v>
      </c>
      <c r="M1137" s="69">
        <f t="shared" si="232"/>
        <v>2.4300000000000002</v>
      </c>
      <c r="N1137" s="56">
        <f>INDEX(Rate_Chart!$A$1:$AK$127,MATCH(Data!J1137,Rate_Chart!$A$1:$A$127,0),MATCH(Data!K1137,Rate_Chart!$A$1:$AK$1,0))</f>
        <v>39.199125899999999</v>
      </c>
      <c r="O1137" s="57">
        <f t="shared" si="233"/>
        <v>1175.9737769999999</v>
      </c>
      <c r="P1137" s="58">
        <f t="shared" si="234"/>
        <v>417.01197765957443</v>
      </c>
      <c r="Q1137" s="58">
        <f t="shared" si="235"/>
        <v>278.00798510638293</v>
      </c>
      <c r="R1137" s="66">
        <f t="shared" si="236"/>
        <v>20.579541097500002</v>
      </c>
      <c r="S1137" s="64">
        <f t="shared" si="237"/>
        <v>112.5</v>
      </c>
      <c r="T1137" s="66">
        <f t="shared" si="238"/>
        <v>1309.0533180974999</v>
      </c>
      <c r="U1137" s="68">
        <f t="shared" si="239"/>
        <v>43.635110603249998</v>
      </c>
      <c r="V1137" s="68">
        <f t="shared" si="240"/>
        <v>464.20330428989359</v>
      </c>
      <c r="W1137" s="68">
        <f t="shared" si="241"/>
        <v>309.46886952659571</v>
      </c>
    </row>
    <row r="1138" spans="1:23" x14ac:dyDescent="0.25">
      <c r="A1138" s="1" t="s">
        <v>889</v>
      </c>
      <c r="B1138" s="61" t="s">
        <v>397</v>
      </c>
      <c r="C1138" s="1" t="s">
        <v>591</v>
      </c>
      <c r="D1138" s="1" t="s">
        <v>595</v>
      </c>
      <c r="E1138" s="1" t="s">
        <v>383</v>
      </c>
      <c r="F1138" s="62" t="str">
        <f t="shared" si="230"/>
        <v>64569</v>
      </c>
      <c r="G1138" s="1">
        <v>10620019</v>
      </c>
      <c r="H1138" s="1" t="s">
        <v>387</v>
      </c>
      <c r="I1138" s="61">
        <v>14</v>
      </c>
      <c r="J1138" s="61">
        <v>6.6</v>
      </c>
      <c r="K1138" s="61">
        <v>8.8000000000000007</v>
      </c>
      <c r="L1138" s="69">
        <f t="shared" si="231"/>
        <v>0.92399999999999993</v>
      </c>
      <c r="M1138" s="69">
        <f t="shared" si="232"/>
        <v>1.2320000000000002</v>
      </c>
      <c r="N1138" s="56">
        <f>INDEX(Rate_Chart!$A$1:$AK$127,MATCH(Data!J1138,Rate_Chart!$A$1:$A$127,0),MATCH(Data!K1138,Rate_Chart!$A$1:$AK$1,0))</f>
        <v>54.558900000000001</v>
      </c>
      <c r="O1138" s="57">
        <f t="shared" si="233"/>
        <v>763.82460000000003</v>
      </c>
      <c r="P1138" s="58">
        <f t="shared" si="234"/>
        <v>437.63823529411764</v>
      </c>
      <c r="Q1138" s="58">
        <f t="shared" si="235"/>
        <v>291.75882352941176</v>
      </c>
      <c r="R1138" s="66">
        <f t="shared" si="236"/>
        <v>13.366930500000002</v>
      </c>
      <c r="S1138" s="64">
        <f t="shared" si="237"/>
        <v>52.5</v>
      </c>
      <c r="T1138" s="66">
        <f t="shared" si="238"/>
        <v>829.6915305</v>
      </c>
      <c r="U1138" s="68">
        <f t="shared" si="239"/>
        <v>59.263680749999999</v>
      </c>
      <c r="V1138" s="68">
        <f t="shared" si="240"/>
        <v>475.37711831550797</v>
      </c>
      <c r="W1138" s="68">
        <f t="shared" si="241"/>
        <v>316.91807887700531</v>
      </c>
    </row>
    <row r="1139" spans="1:23" x14ac:dyDescent="0.25">
      <c r="A1139" s="1" t="s">
        <v>889</v>
      </c>
      <c r="B1139" s="61" t="s">
        <v>397</v>
      </c>
      <c r="C1139" s="1" t="s">
        <v>591</v>
      </c>
      <c r="D1139" s="1" t="s">
        <v>595</v>
      </c>
      <c r="E1139" s="1" t="s">
        <v>383</v>
      </c>
      <c r="F1139" s="62" t="str">
        <f t="shared" si="230"/>
        <v>64569</v>
      </c>
      <c r="G1139" s="1">
        <v>10620019</v>
      </c>
      <c r="H1139" s="1" t="s">
        <v>388</v>
      </c>
      <c r="I1139" s="61">
        <v>47</v>
      </c>
      <c r="J1139" s="61">
        <v>3.6</v>
      </c>
      <c r="K1139" s="61">
        <v>8.1</v>
      </c>
      <c r="L1139" s="69">
        <f t="shared" si="231"/>
        <v>1.6920000000000002</v>
      </c>
      <c r="M1139" s="69">
        <f t="shared" si="232"/>
        <v>3.8069999999999999</v>
      </c>
      <c r="N1139" s="56">
        <f>INDEX(Rate_Chart!$A$1:$AK$127,MATCH(Data!J1139,Rate_Chart!$A$1:$A$127,0),MATCH(Data!K1139,Rate_Chart!$A$1:$AK$1,0))</f>
        <v>37.531125900000006</v>
      </c>
      <c r="O1139" s="57">
        <f t="shared" si="233"/>
        <v>1763.9629173000003</v>
      </c>
      <c r="P1139" s="58">
        <f t="shared" si="234"/>
        <v>417.01251000000008</v>
      </c>
      <c r="Q1139" s="58">
        <f t="shared" si="235"/>
        <v>278.00834000000003</v>
      </c>
      <c r="R1139" s="66">
        <f t="shared" si="236"/>
        <v>30.869351052750009</v>
      </c>
      <c r="S1139" s="64">
        <f t="shared" si="237"/>
        <v>176.25</v>
      </c>
      <c r="T1139" s="66">
        <f t="shared" si="238"/>
        <v>1971.0822683527504</v>
      </c>
      <c r="U1139" s="68">
        <f t="shared" si="239"/>
        <v>41.937920603250006</v>
      </c>
      <c r="V1139" s="68">
        <f t="shared" si="240"/>
        <v>465.97689559166673</v>
      </c>
      <c r="W1139" s="68">
        <f t="shared" si="241"/>
        <v>310.6512637277778</v>
      </c>
    </row>
    <row r="1140" spans="1:23" x14ac:dyDescent="0.25">
      <c r="A1140" s="1" t="s">
        <v>890</v>
      </c>
      <c r="B1140" s="61" t="s">
        <v>396</v>
      </c>
      <c r="C1140" s="1" t="s">
        <v>591</v>
      </c>
      <c r="D1140" s="1" t="s">
        <v>595</v>
      </c>
      <c r="E1140" s="1" t="s">
        <v>383</v>
      </c>
      <c r="F1140" s="62" t="str">
        <f t="shared" si="230"/>
        <v>64569</v>
      </c>
      <c r="G1140" s="1">
        <v>10620019</v>
      </c>
      <c r="H1140" s="1" t="s">
        <v>387</v>
      </c>
      <c r="I1140" s="61">
        <v>60</v>
      </c>
      <c r="J1140" s="61">
        <v>6.4</v>
      </c>
      <c r="K1140" s="61">
        <v>8.8000000000000007</v>
      </c>
      <c r="L1140" s="69">
        <f t="shared" si="231"/>
        <v>3.84</v>
      </c>
      <c r="M1140" s="69">
        <f t="shared" si="232"/>
        <v>5.28</v>
      </c>
      <c r="N1140" s="56">
        <f>INDEX(Rate_Chart!$A$1:$AK$127,MATCH(Data!J1140,Rate_Chart!$A$1:$A$127,0),MATCH(Data!K1140,Rate_Chart!$A$1:$AK$1,0))</f>
        <v>52.9056</v>
      </c>
      <c r="O1140" s="57">
        <f t="shared" si="233"/>
        <v>3174.3359999999998</v>
      </c>
      <c r="P1140" s="58">
        <f t="shared" si="234"/>
        <v>431.29565217391303</v>
      </c>
      <c r="Q1140" s="58">
        <f t="shared" si="235"/>
        <v>287.53043478260867</v>
      </c>
      <c r="R1140" s="66">
        <f t="shared" si="236"/>
        <v>55.550879999999999</v>
      </c>
      <c r="S1140" s="64">
        <f t="shared" si="237"/>
        <v>225</v>
      </c>
      <c r="T1140" s="66">
        <f t="shared" si="238"/>
        <v>3454.88688</v>
      </c>
      <c r="U1140" s="68">
        <f t="shared" si="239"/>
        <v>57.581448000000002</v>
      </c>
      <c r="V1140" s="68">
        <f t="shared" si="240"/>
        <v>469.41397826086956</v>
      </c>
      <c r="W1140" s="68">
        <f t="shared" si="241"/>
        <v>312.94265217391302</v>
      </c>
    </row>
    <row r="1141" spans="1:23" x14ac:dyDescent="0.25">
      <c r="A1141" s="1" t="s">
        <v>890</v>
      </c>
      <c r="B1141" s="61" t="s">
        <v>396</v>
      </c>
      <c r="C1141" s="1" t="s">
        <v>591</v>
      </c>
      <c r="D1141" s="1" t="s">
        <v>595</v>
      </c>
      <c r="E1141" s="1" t="s">
        <v>383</v>
      </c>
      <c r="F1141" s="62" t="str">
        <f t="shared" si="230"/>
        <v>64569</v>
      </c>
      <c r="G1141" s="1">
        <v>10620019</v>
      </c>
      <c r="H1141" s="1" t="s">
        <v>388</v>
      </c>
      <c r="I1141" s="61">
        <v>79</v>
      </c>
      <c r="J1141" s="61">
        <v>3.3</v>
      </c>
      <c r="K1141" s="61">
        <v>8</v>
      </c>
      <c r="L1141" s="69">
        <f t="shared" si="231"/>
        <v>2.6069999999999998</v>
      </c>
      <c r="M1141" s="69">
        <f t="shared" si="232"/>
        <v>6.32</v>
      </c>
      <c r="N1141" s="56">
        <f>INDEX(Rate_Chart!$A$1:$AK$127,MATCH(Data!J1141,Rate_Chart!$A$1:$A$127,0),MATCH(Data!K1141,Rate_Chart!$A$1:$AK$1,0))</f>
        <v>36.002112000000004</v>
      </c>
      <c r="O1141" s="57">
        <f t="shared" si="233"/>
        <v>2844.1668480000003</v>
      </c>
      <c r="P1141" s="58">
        <f t="shared" si="234"/>
        <v>417.01288030888031</v>
      </c>
      <c r="Q1141" s="58">
        <f t="shared" si="235"/>
        <v>278.00858687258687</v>
      </c>
      <c r="R1141" s="66">
        <f t="shared" si="236"/>
        <v>49.772919840000007</v>
      </c>
      <c r="S1141" s="64">
        <f t="shared" si="237"/>
        <v>296.25</v>
      </c>
      <c r="T1141" s="66">
        <f t="shared" si="238"/>
        <v>3190.1897678400001</v>
      </c>
      <c r="U1141" s="68">
        <f t="shared" si="239"/>
        <v>40.382148960000002</v>
      </c>
      <c r="V1141" s="68">
        <f t="shared" si="240"/>
        <v>467.74689915057911</v>
      </c>
      <c r="W1141" s="68">
        <f t="shared" si="241"/>
        <v>311.83126610038607</v>
      </c>
    </row>
    <row r="1142" spans="1:23" x14ac:dyDescent="0.25">
      <c r="A1142" s="1" t="s">
        <v>890</v>
      </c>
      <c r="B1142" s="61" t="s">
        <v>397</v>
      </c>
      <c r="C1142" s="1" t="s">
        <v>591</v>
      </c>
      <c r="D1142" s="1" t="s">
        <v>595</v>
      </c>
      <c r="E1142" s="1" t="s">
        <v>383</v>
      </c>
      <c r="F1142" s="62" t="str">
        <f t="shared" si="230"/>
        <v>64569</v>
      </c>
      <c r="G1142" s="1">
        <v>10620019</v>
      </c>
      <c r="H1142" s="1" t="s">
        <v>388</v>
      </c>
      <c r="I1142" s="61">
        <v>45</v>
      </c>
      <c r="J1142" s="61">
        <v>3.8</v>
      </c>
      <c r="K1142" s="61">
        <v>8.1</v>
      </c>
      <c r="L1142" s="69">
        <f t="shared" si="231"/>
        <v>1.71</v>
      </c>
      <c r="M1142" s="69">
        <f t="shared" si="232"/>
        <v>3.645</v>
      </c>
      <c r="N1142" s="56">
        <f>INDEX(Rate_Chart!$A$1:$AK$127,MATCH(Data!J1142,Rate_Chart!$A$1:$A$127,0),MATCH(Data!K1142,Rate_Chart!$A$1:$AK$1,0))</f>
        <v>38.365125900000002</v>
      </c>
      <c r="O1142" s="57">
        <f t="shared" si="233"/>
        <v>1726.4306655</v>
      </c>
      <c r="P1142" s="58">
        <f t="shared" si="234"/>
        <v>417.01223804347831</v>
      </c>
      <c r="Q1142" s="58">
        <f t="shared" si="235"/>
        <v>278.00815869565218</v>
      </c>
      <c r="R1142" s="66">
        <f t="shared" si="236"/>
        <v>30.212536646250005</v>
      </c>
      <c r="S1142" s="64">
        <f t="shared" si="237"/>
        <v>168.75</v>
      </c>
      <c r="T1142" s="66">
        <f t="shared" si="238"/>
        <v>1925.3932021462501</v>
      </c>
      <c r="U1142" s="68">
        <f t="shared" si="239"/>
        <v>42.786515603250002</v>
      </c>
      <c r="V1142" s="68">
        <f t="shared" si="240"/>
        <v>465.07082177445653</v>
      </c>
      <c r="W1142" s="68">
        <f t="shared" si="241"/>
        <v>310.04721451630434</v>
      </c>
    </row>
    <row r="1143" spans="1:23" x14ac:dyDescent="0.25">
      <c r="A1143" s="1" t="s">
        <v>891</v>
      </c>
      <c r="B1143" s="61" t="s">
        <v>396</v>
      </c>
      <c r="C1143" s="1" t="s">
        <v>591</v>
      </c>
      <c r="D1143" s="1" t="s">
        <v>595</v>
      </c>
      <c r="E1143" s="1" t="s">
        <v>383</v>
      </c>
      <c r="F1143" s="62" t="str">
        <f t="shared" si="230"/>
        <v>64569</v>
      </c>
      <c r="G1143" s="1">
        <v>10620019</v>
      </c>
      <c r="H1143" s="1" t="s">
        <v>387</v>
      </c>
      <c r="I1143" s="61">
        <v>34</v>
      </c>
      <c r="J1143" s="61">
        <v>7.6</v>
      </c>
      <c r="K1143" s="61">
        <v>8.8000000000000007</v>
      </c>
      <c r="L1143" s="69">
        <f t="shared" si="231"/>
        <v>2.5839999999999996</v>
      </c>
      <c r="M1143" s="69">
        <f t="shared" si="232"/>
        <v>2.9920000000000004</v>
      </c>
      <c r="N1143" s="56">
        <f>INDEX(Rate_Chart!$A$1:$AK$127,MATCH(Data!J1143,Rate_Chart!$A$1:$A$127,0),MATCH(Data!K1143,Rate_Chart!$A$1:$AK$1,0))</f>
        <v>62.825400000000002</v>
      </c>
      <c r="O1143" s="57">
        <f t="shared" si="233"/>
        <v>2136.0636</v>
      </c>
      <c r="P1143" s="58">
        <f t="shared" si="234"/>
        <v>466.5252475247525</v>
      </c>
      <c r="Q1143" s="58">
        <f t="shared" si="235"/>
        <v>311.01683168316833</v>
      </c>
      <c r="R1143" s="66">
        <f t="shared" si="236"/>
        <v>37.381113000000006</v>
      </c>
      <c r="S1143" s="64">
        <f t="shared" si="237"/>
        <v>127.5</v>
      </c>
      <c r="T1143" s="66">
        <f t="shared" si="238"/>
        <v>2300.9447129999999</v>
      </c>
      <c r="U1143" s="68">
        <f t="shared" si="239"/>
        <v>67.674844499999992</v>
      </c>
      <c r="V1143" s="68">
        <f t="shared" si="240"/>
        <v>502.53597400990094</v>
      </c>
      <c r="W1143" s="68">
        <f t="shared" si="241"/>
        <v>335.02398267326731</v>
      </c>
    </row>
    <row r="1144" spans="1:23" x14ac:dyDescent="0.25">
      <c r="A1144" s="1" t="s">
        <v>891</v>
      </c>
      <c r="B1144" s="61" t="s">
        <v>396</v>
      </c>
      <c r="C1144" s="1" t="s">
        <v>591</v>
      </c>
      <c r="D1144" s="1" t="s">
        <v>595</v>
      </c>
      <c r="E1144" s="1" t="s">
        <v>383</v>
      </c>
      <c r="F1144" s="62" t="str">
        <f t="shared" si="230"/>
        <v>64569</v>
      </c>
      <c r="G1144" s="1">
        <v>10620019</v>
      </c>
      <c r="H1144" s="1" t="s">
        <v>388</v>
      </c>
      <c r="I1144" s="61">
        <v>87</v>
      </c>
      <c r="J1144" s="61">
        <v>3.8</v>
      </c>
      <c r="K1144" s="61">
        <v>8.1</v>
      </c>
      <c r="L1144" s="69">
        <f t="shared" si="231"/>
        <v>3.3059999999999996</v>
      </c>
      <c r="M1144" s="69">
        <f t="shared" si="232"/>
        <v>7.0469999999999997</v>
      </c>
      <c r="N1144" s="56">
        <f>INDEX(Rate_Chart!$A$1:$AK$127,MATCH(Data!J1144,Rate_Chart!$A$1:$A$127,0),MATCH(Data!K1144,Rate_Chart!$A$1:$AK$1,0))</f>
        <v>38.365125900000002</v>
      </c>
      <c r="O1144" s="57">
        <f t="shared" si="233"/>
        <v>3337.7659533000001</v>
      </c>
      <c r="P1144" s="58">
        <f t="shared" si="234"/>
        <v>417.01223804347831</v>
      </c>
      <c r="Q1144" s="58">
        <f t="shared" si="235"/>
        <v>278.00815869565218</v>
      </c>
      <c r="R1144" s="66">
        <f t="shared" si="236"/>
        <v>58.410904182750009</v>
      </c>
      <c r="S1144" s="64">
        <f t="shared" si="237"/>
        <v>326.25</v>
      </c>
      <c r="T1144" s="66">
        <f t="shared" si="238"/>
        <v>3722.4268574827502</v>
      </c>
      <c r="U1144" s="68">
        <f t="shared" si="239"/>
        <v>42.786515603250002</v>
      </c>
      <c r="V1144" s="68">
        <f t="shared" si="240"/>
        <v>465.07082177445653</v>
      </c>
      <c r="W1144" s="68">
        <f t="shared" si="241"/>
        <v>310.04721451630434</v>
      </c>
    </row>
    <row r="1145" spans="1:23" x14ac:dyDescent="0.25">
      <c r="A1145" s="1" t="s">
        <v>891</v>
      </c>
      <c r="B1145" s="61" t="s">
        <v>397</v>
      </c>
      <c r="C1145" s="1" t="s">
        <v>591</v>
      </c>
      <c r="D1145" s="1" t="s">
        <v>595</v>
      </c>
      <c r="E1145" s="1" t="s">
        <v>383</v>
      </c>
      <c r="F1145" s="62" t="str">
        <f t="shared" si="230"/>
        <v>64569</v>
      </c>
      <c r="G1145" s="1">
        <v>10620019</v>
      </c>
      <c r="H1145" s="1" t="s">
        <v>387</v>
      </c>
      <c r="I1145" s="61">
        <v>18</v>
      </c>
      <c r="J1145" s="61">
        <v>6.5</v>
      </c>
      <c r="K1145" s="61">
        <v>8.8000000000000007</v>
      </c>
      <c r="L1145" s="69">
        <f t="shared" si="231"/>
        <v>1.17</v>
      </c>
      <c r="M1145" s="69">
        <f t="shared" si="232"/>
        <v>1.5840000000000001</v>
      </c>
      <c r="N1145" s="56">
        <f>INDEX(Rate_Chart!$A$1:$AK$127,MATCH(Data!J1145,Rate_Chart!$A$1:$A$127,0),MATCH(Data!K1145,Rate_Chart!$A$1:$AK$1,0))</f>
        <v>53.732250000000001</v>
      </c>
      <c r="O1145" s="57">
        <f t="shared" si="233"/>
        <v>967.18050000000005</v>
      </c>
      <c r="P1145" s="58">
        <f t="shared" si="234"/>
        <v>434.49258760107813</v>
      </c>
      <c r="Q1145" s="58">
        <f t="shared" si="235"/>
        <v>289.66172506738542</v>
      </c>
      <c r="R1145" s="66">
        <f t="shared" si="236"/>
        <v>16.925658750000004</v>
      </c>
      <c r="S1145" s="64">
        <f t="shared" si="237"/>
        <v>67.5</v>
      </c>
      <c r="T1145" s="66">
        <f t="shared" si="238"/>
        <v>1051.6061587500001</v>
      </c>
      <c r="U1145" s="68">
        <f t="shared" si="239"/>
        <v>58.422564375000007</v>
      </c>
      <c r="V1145" s="68">
        <f t="shared" si="240"/>
        <v>472.41965801886795</v>
      </c>
      <c r="W1145" s="68">
        <f t="shared" si="241"/>
        <v>314.94643867924532</v>
      </c>
    </row>
    <row r="1146" spans="1:23" x14ac:dyDescent="0.25">
      <c r="A1146" s="1" t="s">
        <v>891</v>
      </c>
      <c r="B1146" s="61" t="s">
        <v>397</v>
      </c>
      <c r="C1146" s="1" t="s">
        <v>591</v>
      </c>
      <c r="D1146" s="1" t="s">
        <v>595</v>
      </c>
      <c r="E1146" s="1" t="s">
        <v>383</v>
      </c>
      <c r="F1146" s="62" t="str">
        <f t="shared" si="230"/>
        <v>64569</v>
      </c>
      <c r="G1146" s="1">
        <v>10620019</v>
      </c>
      <c r="H1146" s="1" t="s">
        <v>388</v>
      </c>
      <c r="I1146" s="61">
        <v>71</v>
      </c>
      <c r="J1146" s="61">
        <v>3.4</v>
      </c>
      <c r="K1146" s="61">
        <v>8.1</v>
      </c>
      <c r="L1146" s="69">
        <f t="shared" si="231"/>
        <v>2.4140000000000001</v>
      </c>
      <c r="M1146" s="69">
        <f t="shared" si="232"/>
        <v>5.7510000000000003</v>
      </c>
      <c r="N1146" s="56">
        <f>INDEX(Rate_Chart!$A$1:$AK$127,MATCH(Data!J1146,Rate_Chart!$A$1:$A$127,0),MATCH(Data!K1146,Rate_Chart!$A$1:$AK$1,0))</f>
        <v>36.697125900000003</v>
      </c>
      <c r="O1146" s="57">
        <f t="shared" si="233"/>
        <v>2605.4959389000001</v>
      </c>
      <c r="P1146" s="58">
        <f t="shared" si="234"/>
        <v>417.01279431818188</v>
      </c>
      <c r="Q1146" s="58">
        <f t="shared" si="235"/>
        <v>278.00852954545456</v>
      </c>
      <c r="R1146" s="66">
        <f t="shared" si="236"/>
        <v>45.596178930750007</v>
      </c>
      <c r="S1146" s="64">
        <f t="shared" si="237"/>
        <v>266.25</v>
      </c>
      <c r="T1146" s="66">
        <f t="shared" si="238"/>
        <v>2917.3421178307499</v>
      </c>
      <c r="U1146" s="68">
        <f t="shared" si="239"/>
        <v>41.089325603249996</v>
      </c>
      <c r="V1146" s="68">
        <f t="shared" si="240"/>
        <v>466.92415458238634</v>
      </c>
      <c r="W1146" s="68">
        <f t="shared" si="241"/>
        <v>311.28276972159091</v>
      </c>
    </row>
    <row r="1147" spans="1:23" x14ac:dyDescent="0.25">
      <c r="A1147" s="1" t="s">
        <v>892</v>
      </c>
      <c r="B1147" s="61" t="s">
        <v>396</v>
      </c>
      <c r="C1147" s="1" t="s">
        <v>591</v>
      </c>
      <c r="D1147" s="1" t="s">
        <v>595</v>
      </c>
      <c r="E1147" s="1" t="s">
        <v>383</v>
      </c>
      <c r="F1147" s="62" t="str">
        <f t="shared" si="230"/>
        <v>64569</v>
      </c>
      <c r="G1147" s="1">
        <v>10620019</v>
      </c>
      <c r="H1147" s="1" t="s">
        <v>387</v>
      </c>
      <c r="I1147" s="61">
        <v>113</v>
      </c>
      <c r="J1147" s="61">
        <v>6.6</v>
      </c>
      <c r="K1147" s="61">
        <v>8.8000000000000007</v>
      </c>
      <c r="L1147" s="69">
        <f t="shared" si="231"/>
        <v>7.4579999999999993</v>
      </c>
      <c r="M1147" s="69">
        <f t="shared" si="232"/>
        <v>9.9440000000000008</v>
      </c>
      <c r="N1147" s="56">
        <f>INDEX(Rate_Chart!$A$1:$AK$127,MATCH(Data!J1147,Rate_Chart!$A$1:$A$127,0),MATCH(Data!K1147,Rate_Chart!$A$1:$AK$1,0))</f>
        <v>54.558900000000001</v>
      </c>
      <c r="O1147" s="57">
        <f t="shared" si="233"/>
        <v>6165.1557000000003</v>
      </c>
      <c r="P1147" s="58">
        <f t="shared" si="234"/>
        <v>437.63823529411764</v>
      </c>
      <c r="Q1147" s="58">
        <f t="shared" si="235"/>
        <v>291.75882352941176</v>
      </c>
      <c r="R1147" s="66">
        <f t="shared" si="236"/>
        <v>107.89022475000002</v>
      </c>
      <c r="S1147" s="64">
        <f t="shared" si="237"/>
        <v>423.75</v>
      </c>
      <c r="T1147" s="66">
        <f t="shared" si="238"/>
        <v>6696.7959247500003</v>
      </c>
      <c r="U1147" s="68">
        <f t="shared" si="239"/>
        <v>59.263680749999999</v>
      </c>
      <c r="V1147" s="68">
        <f t="shared" si="240"/>
        <v>475.37711831550797</v>
      </c>
      <c r="W1147" s="68">
        <f t="shared" si="241"/>
        <v>316.91807887700531</v>
      </c>
    </row>
    <row r="1148" spans="1:23" x14ac:dyDescent="0.25">
      <c r="A1148" s="1" t="s">
        <v>892</v>
      </c>
      <c r="B1148" s="61" t="s">
        <v>397</v>
      </c>
      <c r="C1148" s="1" t="s">
        <v>591</v>
      </c>
      <c r="D1148" s="1" t="s">
        <v>595</v>
      </c>
      <c r="E1148" s="1" t="s">
        <v>383</v>
      </c>
      <c r="F1148" s="62" t="str">
        <f t="shared" si="230"/>
        <v>64569</v>
      </c>
      <c r="G1148" s="1">
        <v>10620019</v>
      </c>
      <c r="H1148" s="1" t="s">
        <v>388</v>
      </c>
      <c r="I1148" s="61">
        <v>58</v>
      </c>
      <c r="J1148" s="61">
        <v>3.3</v>
      </c>
      <c r="K1148" s="61">
        <v>8.1</v>
      </c>
      <c r="L1148" s="69">
        <f t="shared" si="231"/>
        <v>1.9139999999999997</v>
      </c>
      <c r="M1148" s="69">
        <f t="shared" si="232"/>
        <v>4.6979999999999995</v>
      </c>
      <c r="N1148" s="56">
        <f>INDEX(Rate_Chart!$A$1:$AK$127,MATCH(Data!J1148,Rate_Chart!$A$1:$A$127,0),MATCH(Data!K1148,Rate_Chart!$A$1:$AK$1,0))</f>
        <v>36.280125900000002</v>
      </c>
      <c r="O1148" s="57">
        <f t="shared" si="233"/>
        <v>2104.2473021999999</v>
      </c>
      <c r="P1148" s="58">
        <f t="shared" si="234"/>
        <v>417.0129413793104</v>
      </c>
      <c r="Q1148" s="58">
        <f t="shared" si="235"/>
        <v>278.00862758620696</v>
      </c>
      <c r="R1148" s="66">
        <f t="shared" si="236"/>
        <v>36.8243277885</v>
      </c>
      <c r="S1148" s="64">
        <f t="shared" si="237"/>
        <v>217.5</v>
      </c>
      <c r="T1148" s="66">
        <f t="shared" si="238"/>
        <v>2358.5716299884998</v>
      </c>
      <c r="U1148" s="68">
        <f t="shared" si="239"/>
        <v>40.665028103249995</v>
      </c>
      <c r="V1148" s="68">
        <f t="shared" si="240"/>
        <v>467.41411612931034</v>
      </c>
      <c r="W1148" s="68">
        <f t="shared" si="241"/>
        <v>311.60941075287354</v>
      </c>
    </row>
    <row r="1149" spans="1:23" x14ac:dyDescent="0.25">
      <c r="A1149" s="1" t="s">
        <v>893</v>
      </c>
      <c r="B1149" s="61" t="s">
        <v>396</v>
      </c>
      <c r="C1149" s="1" t="s">
        <v>591</v>
      </c>
      <c r="D1149" s="1" t="s">
        <v>595</v>
      </c>
      <c r="E1149" s="1" t="s">
        <v>383</v>
      </c>
      <c r="F1149" s="62" t="str">
        <f t="shared" si="230"/>
        <v>64569</v>
      </c>
      <c r="G1149" s="1">
        <v>10620019</v>
      </c>
      <c r="H1149" s="1" t="s">
        <v>387</v>
      </c>
      <c r="I1149" s="61">
        <v>57</v>
      </c>
      <c r="J1149" s="61">
        <v>7.2</v>
      </c>
      <c r="K1149" s="61">
        <v>8.8000000000000007</v>
      </c>
      <c r="L1149" s="69">
        <f t="shared" si="231"/>
        <v>4.1040000000000001</v>
      </c>
      <c r="M1149" s="69">
        <f t="shared" si="232"/>
        <v>5.016</v>
      </c>
      <c r="N1149" s="56">
        <f>INDEX(Rate_Chart!$A$1:$AK$127,MATCH(Data!J1149,Rate_Chart!$A$1:$A$127,0),MATCH(Data!K1149,Rate_Chart!$A$1:$AK$1,0))</f>
        <v>59.518800000000006</v>
      </c>
      <c r="O1149" s="57">
        <f t="shared" si="233"/>
        <v>3392.5716000000002</v>
      </c>
      <c r="P1149" s="58">
        <f t="shared" si="234"/>
        <v>455.50102040816324</v>
      </c>
      <c r="Q1149" s="58">
        <f t="shared" si="235"/>
        <v>303.66734693877549</v>
      </c>
      <c r="R1149" s="66">
        <f t="shared" si="236"/>
        <v>59.370003000000011</v>
      </c>
      <c r="S1149" s="64">
        <f t="shared" si="237"/>
        <v>213.75</v>
      </c>
      <c r="T1149" s="66">
        <f t="shared" si="238"/>
        <v>3665.6916030000002</v>
      </c>
      <c r="U1149" s="68">
        <f t="shared" si="239"/>
        <v>64.310378999999998</v>
      </c>
      <c r="V1149" s="68">
        <f t="shared" si="240"/>
        <v>492.17126785714277</v>
      </c>
      <c r="W1149" s="68">
        <f t="shared" si="241"/>
        <v>328.11417857142851</v>
      </c>
    </row>
    <row r="1150" spans="1:23" x14ac:dyDescent="0.25">
      <c r="A1150" s="1" t="s">
        <v>893</v>
      </c>
      <c r="B1150" s="61" t="s">
        <v>396</v>
      </c>
      <c r="C1150" s="1" t="s">
        <v>591</v>
      </c>
      <c r="D1150" s="1" t="s">
        <v>595</v>
      </c>
      <c r="E1150" s="1" t="s">
        <v>383</v>
      </c>
      <c r="F1150" s="62" t="str">
        <f t="shared" si="230"/>
        <v>64569</v>
      </c>
      <c r="G1150" s="1">
        <v>10620019</v>
      </c>
      <c r="H1150" s="1" t="s">
        <v>388</v>
      </c>
      <c r="I1150" s="61">
        <v>111</v>
      </c>
      <c r="J1150" s="61">
        <v>3.6</v>
      </c>
      <c r="K1150" s="61">
        <v>8.1</v>
      </c>
      <c r="L1150" s="69">
        <f t="shared" si="231"/>
        <v>3.9960000000000004</v>
      </c>
      <c r="M1150" s="69">
        <f t="shared" si="232"/>
        <v>8.9909999999999997</v>
      </c>
      <c r="N1150" s="56">
        <f>INDEX(Rate_Chart!$A$1:$AK$127,MATCH(Data!J1150,Rate_Chart!$A$1:$A$127,0),MATCH(Data!K1150,Rate_Chart!$A$1:$AK$1,0))</f>
        <v>37.531125900000006</v>
      </c>
      <c r="O1150" s="57">
        <f t="shared" si="233"/>
        <v>4165.9549749000007</v>
      </c>
      <c r="P1150" s="58">
        <f t="shared" si="234"/>
        <v>417.01251000000008</v>
      </c>
      <c r="Q1150" s="58">
        <f t="shared" si="235"/>
        <v>278.00834000000003</v>
      </c>
      <c r="R1150" s="66">
        <f t="shared" si="236"/>
        <v>72.904212060750012</v>
      </c>
      <c r="S1150" s="64">
        <f t="shared" si="237"/>
        <v>416.25</v>
      </c>
      <c r="T1150" s="66">
        <f t="shared" si="238"/>
        <v>4655.1091869607508</v>
      </c>
      <c r="U1150" s="68">
        <f t="shared" si="239"/>
        <v>41.937920603250006</v>
      </c>
      <c r="V1150" s="68">
        <f t="shared" si="240"/>
        <v>465.97689559166673</v>
      </c>
      <c r="W1150" s="68">
        <f t="shared" si="241"/>
        <v>310.6512637277778</v>
      </c>
    </row>
    <row r="1151" spans="1:23" x14ac:dyDescent="0.25">
      <c r="A1151" s="1" t="s">
        <v>893</v>
      </c>
      <c r="B1151" s="61" t="s">
        <v>397</v>
      </c>
      <c r="C1151" s="1" t="s">
        <v>591</v>
      </c>
      <c r="D1151" s="1" t="s">
        <v>595</v>
      </c>
      <c r="E1151" s="1" t="s">
        <v>383</v>
      </c>
      <c r="F1151" s="62" t="str">
        <f t="shared" si="230"/>
        <v>64569</v>
      </c>
      <c r="G1151" s="1">
        <v>10620019</v>
      </c>
      <c r="H1151" s="1" t="s">
        <v>387</v>
      </c>
      <c r="I1151" s="61">
        <v>11</v>
      </c>
      <c r="J1151" s="61">
        <v>6.9</v>
      </c>
      <c r="K1151" s="61">
        <v>8.8000000000000007</v>
      </c>
      <c r="L1151" s="69">
        <f t="shared" si="231"/>
        <v>0.75900000000000001</v>
      </c>
      <c r="M1151" s="69">
        <f t="shared" si="232"/>
        <v>0.96800000000000008</v>
      </c>
      <c r="N1151" s="56">
        <f>INDEX(Rate_Chart!$A$1:$AK$127,MATCH(Data!J1151,Rate_Chart!$A$1:$A$127,0),MATCH(Data!K1151,Rate_Chart!$A$1:$AK$1,0))</f>
        <v>57.038850000000004</v>
      </c>
      <c r="O1151" s="57">
        <f t="shared" si="233"/>
        <v>627.42735000000005</v>
      </c>
      <c r="P1151" s="58">
        <f t="shared" si="234"/>
        <v>446.77950391644907</v>
      </c>
      <c r="Q1151" s="58">
        <f t="shared" si="235"/>
        <v>297.85300261096603</v>
      </c>
      <c r="R1151" s="66">
        <f t="shared" si="236"/>
        <v>10.979978625000001</v>
      </c>
      <c r="S1151" s="64">
        <f t="shared" si="237"/>
        <v>41.25</v>
      </c>
      <c r="T1151" s="66">
        <f t="shared" si="238"/>
        <v>679.65732862499999</v>
      </c>
      <c r="U1151" s="68">
        <f t="shared" si="239"/>
        <v>61.787029875000002</v>
      </c>
      <c r="V1151" s="68">
        <f t="shared" si="240"/>
        <v>483.97151338120102</v>
      </c>
      <c r="W1151" s="68">
        <f t="shared" si="241"/>
        <v>322.64767558746735</v>
      </c>
    </row>
    <row r="1152" spans="1:23" x14ac:dyDescent="0.25">
      <c r="A1152" s="1" t="s">
        <v>893</v>
      </c>
      <c r="B1152" s="61" t="s">
        <v>397</v>
      </c>
      <c r="C1152" s="1" t="s">
        <v>591</v>
      </c>
      <c r="D1152" s="1" t="s">
        <v>595</v>
      </c>
      <c r="E1152" s="1" t="s">
        <v>383</v>
      </c>
      <c r="F1152" s="62" t="str">
        <f t="shared" si="230"/>
        <v>64569</v>
      </c>
      <c r="G1152" s="1">
        <v>10620019</v>
      </c>
      <c r="H1152" s="1" t="s">
        <v>388</v>
      </c>
      <c r="I1152" s="61">
        <v>60</v>
      </c>
      <c r="J1152" s="61">
        <v>3.2</v>
      </c>
      <c r="K1152" s="61">
        <v>8.1</v>
      </c>
      <c r="L1152" s="69">
        <f t="shared" si="231"/>
        <v>1.92</v>
      </c>
      <c r="M1152" s="69">
        <f t="shared" si="232"/>
        <v>4.8600000000000003</v>
      </c>
      <c r="N1152" s="56">
        <f>INDEX(Rate_Chart!$A$1:$AK$127,MATCH(Data!J1152,Rate_Chart!$A$1:$A$127,0),MATCH(Data!K1152,Rate_Chart!$A$1:$AK$1,0))</f>
        <v>35.8631259</v>
      </c>
      <c r="O1152" s="57">
        <f t="shared" si="233"/>
        <v>2151.787554</v>
      </c>
      <c r="P1152" s="58">
        <f t="shared" si="234"/>
        <v>417.01309186046512</v>
      </c>
      <c r="Q1152" s="58">
        <f t="shared" si="235"/>
        <v>278.00872790697673</v>
      </c>
      <c r="R1152" s="66">
        <f t="shared" si="236"/>
        <v>37.656282195000003</v>
      </c>
      <c r="S1152" s="64">
        <f t="shared" si="237"/>
        <v>225</v>
      </c>
      <c r="T1152" s="66">
        <f t="shared" si="238"/>
        <v>2414.4438361950001</v>
      </c>
      <c r="U1152" s="68">
        <f t="shared" si="239"/>
        <v>40.24073060325</v>
      </c>
      <c r="V1152" s="68">
        <f t="shared" si="240"/>
        <v>467.91547213081401</v>
      </c>
      <c r="W1152" s="68">
        <f t="shared" si="241"/>
        <v>311.94364808720934</v>
      </c>
    </row>
    <row r="1153" spans="1:23" x14ac:dyDescent="0.25">
      <c r="A1153" s="1" t="s">
        <v>894</v>
      </c>
      <c r="B1153" s="61" t="s">
        <v>396</v>
      </c>
      <c r="C1153" s="1" t="s">
        <v>591</v>
      </c>
      <c r="D1153" s="1" t="s">
        <v>595</v>
      </c>
      <c r="E1153" s="1" t="s">
        <v>383</v>
      </c>
      <c r="F1153" s="62" t="str">
        <f t="shared" si="230"/>
        <v>64569</v>
      </c>
      <c r="G1153" s="1">
        <v>10620019</v>
      </c>
      <c r="H1153" s="1" t="s">
        <v>387</v>
      </c>
      <c r="I1153" s="61">
        <v>255</v>
      </c>
      <c r="J1153" s="61">
        <v>6.7</v>
      </c>
      <c r="K1153" s="61">
        <v>9</v>
      </c>
      <c r="L1153" s="69">
        <f t="shared" si="231"/>
        <v>17.085000000000001</v>
      </c>
      <c r="M1153" s="69">
        <f t="shared" si="232"/>
        <v>22.95</v>
      </c>
      <c r="N1153" s="56">
        <f>INDEX(Rate_Chart!$A$1:$AK$127,MATCH(Data!J1153,Rate_Chart!$A$1:$A$127,0),MATCH(Data!K1153,Rate_Chart!$A$1:$AK$1,0))</f>
        <v>55.945</v>
      </c>
      <c r="O1153" s="57">
        <f t="shared" si="233"/>
        <v>14265.975</v>
      </c>
      <c r="P1153" s="58">
        <f t="shared" si="234"/>
        <v>440.51181102362204</v>
      </c>
      <c r="Q1153" s="58">
        <f t="shared" si="235"/>
        <v>293.67454068241472</v>
      </c>
      <c r="R1153" s="66">
        <f t="shared" si="236"/>
        <v>249.65456250000003</v>
      </c>
      <c r="S1153" s="64">
        <f t="shared" si="237"/>
        <v>956.25</v>
      </c>
      <c r="T1153" s="66">
        <f t="shared" si="238"/>
        <v>15471.8795625</v>
      </c>
      <c r="U1153" s="68">
        <f t="shared" si="239"/>
        <v>60.674037500000004</v>
      </c>
      <c r="V1153" s="68">
        <f t="shared" si="240"/>
        <v>477.74832677165358</v>
      </c>
      <c r="W1153" s="68">
        <f t="shared" si="241"/>
        <v>318.4988845144357</v>
      </c>
    </row>
    <row r="1154" spans="1:23" x14ac:dyDescent="0.25">
      <c r="A1154" s="1" t="s">
        <v>894</v>
      </c>
      <c r="B1154" s="61" t="s">
        <v>396</v>
      </c>
      <c r="C1154" s="1" t="s">
        <v>591</v>
      </c>
      <c r="D1154" s="1" t="s">
        <v>595</v>
      </c>
      <c r="E1154" s="1" t="s">
        <v>383</v>
      </c>
      <c r="F1154" s="62" t="str">
        <f t="shared" si="230"/>
        <v>64569</v>
      </c>
      <c r="G1154" s="1">
        <v>10620019</v>
      </c>
      <c r="H1154" s="1" t="s">
        <v>388</v>
      </c>
      <c r="I1154" s="61">
        <v>14</v>
      </c>
      <c r="J1154" s="61">
        <v>3.6</v>
      </c>
      <c r="K1154" s="61">
        <v>8.1999999999999993</v>
      </c>
      <c r="L1154" s="69">
        <f t="shared" si="231"/>
        <v>0.504</v>
      </c>
      <c r="M1154" s="69">
        <f t="shared" si="232"/>
        <v>1.1479999999999999</v>
      </c>
      <c r="N1154" s="56">
        <f>INDEX(Rate_Chart!$A$1:$AK$127,MATCH(Data!J1154,Rate_Chart!$A$1:$A$127,0),MATCH(Data!K1154,Rate_Chart!$A$1:$AK$1,0))</f>
        <v>37.809139800000004</v>
      </c>
      <c r="O1154" s="57">
        <f t="shared" si="233"/>
        <v>529.32795720000001</v>
      </c>
      <c r="P1154" s="58">
        <f t="shared" si="234"/>
        <v>417.01257132352941</v>
      </c>
      <c r="Q1154" s="58">
        <f t="shared" si="235"/>
        <v>278.00838088235292</v>
      </c>
      <c r="R1154" s="66">
        <f t="shared" si="236"/>
        <v>9.2632392510000017</v>
      </c>
      <c r="S1154" s="64">
        <f t="shared" si="237"/>
        <v>52.5</v>
      </c>
      <c r="T1154" s="66">
        <f t="shared" si="238"/>
        <v>591.09119645099997</v>
      </c>
      <c r="U1154" s="68">
        <f t="shared" si="239"/>
        <v>42.220799746499999</v>
      </c>
      <c r="V1154" s="68">
        <f t="shared" si="240"/>
        <v>465.6705854393382</v>
      </c>
      <c r="W1154" s="68">
        <f t="shared" si="241"/>
        <v>310.44705695955878</v>
      </c>
    </row>
    <row r="1155" spans="1:23" x14ac:dyDescent="0.25">
      <c r="A1155" s="1" t="s">
        <v>894</v>
      </c>
      <c r="B1155" s="61" t="s">
        <v>397</v>
      </c>
      <c r="C1155" s="1" t="s">
        <v>591</v>
      </c>
      <c r="D1155" s="1" t="s">
        <v>595</v>
      </c>
      <c r="E1155" s="1" t="s">
        <v>383</v>
      </c>
      <c r="F1155" s="62" t="str">
        <f t="shared" si="230"/>
        <v>64569</v>
      </c>
      <c r="G1155" s="1">
        <v>10620019</v>
      </c>
      <c r="H1155" s="1" t="s">
        <v>387</v>
      </c>
      <c r="I1155" s="61">
        <v>5</v>
      </c>
      <c r="J1155" s="61">
        <v>5.8</v>
      </c>
      <c r="K1155" s="61">
        <v>8.6</v>
      </c>
      <c r="L1155" s="69">
        <f t="shared" si="231"/>
        <v>0.28999999999999998</v>
      </c>
      <c r="M1155" s="69">
        <f t="shared" si="232"/>
        <v>0.43</v>
      </c>
      <c r="N1155" s="56">
        <f>INDEX(Rate_Chart!$A$1:$AK$127,MATCH(Data!J1155,Rate_Chart!$A$1:$A$127,0),MATCH(Data!K1155,Rate_Chart!$A$1:$AK$1,0))</f>
        <v>47.461399999999998</v>
      </c>
      <c r="O1155" s="57">
        <f t="shared" si="233"/>
        <v>237.30699999999999</v>
      </c>
      <c r="P1155" s="58">
        <f t="shared" si="234"/>
        <v>411.51502890173413</v>
      </c>
      <c r="Q1155" s="58">
        <f t="shared" si="235"/>
        <v>274.34335260115608</v>
      </c>
      <c r="R1155" s="66">
        <f t="shared" si="236"/>
        <v>4.1528725</v>
      </c>
      <c r="S1155" s="64">
        <f t="shared" si="237"/>
        <v>18.75</v>
      </c>
      <c r="T1155" s="66">
        <f t="shared" si="238"/>
        <v>260.20987249999996</v>
      </c>
      <c r="U1155" s="68">
        <f t="shared" si="239"/>
        <v>52.041974499999995</v>
      </c>
      <c r="V1155" s="68">
        <f t="shared" si="240"/>
        <v>451.23099277456652</v>
      </c>
      <c r="W1155" s="68">
        <f t="shared" si="241"/>
        <v>300.82066184971103</v>
      </c>
    </row>
    <row r="1156" spans="1:23" x14ac:dyDescent="0.25">
      <c r="A1156" s="1" t="s">
        <v>894</v>
      </c>
      <c r="B1156" s="61" t="s">
        <v>397</v>
      </c>
      <c r="C1156" s="1" t="s">
        <v>591</v>
      </c>
      <c r="D1156" s="1" t="s">
        <v>595</v>
      </c>
      <c r="E1156" s="1" t="s">
        <v>383</v>
      </c>
      <c r="F1156" s="62" t="str">
        <f t="shared" si="230"/>
        <v>64569</v>
      </c>
      <c r="G1156" s="1">
        <v>10620019</v>
      </c>
      <c r="H1156" s="1" t="s">
        <v>388</v>
      </c>
      <c r="I1156" s="61">
        <v>57</v>
      </c>
      <c r="J1156" s="61">
        <v>3.6</v>
      </c>
      <c r="K1156" s="61">
        <v>8.1</v>
      </c>
      <c r="L1156" s="69">
        <f t="shared" si="231"/>
        <v>2.052</v>
      </c>
      <c r="M1156" s="69">
        <f t="shared" si="232"/>
        <v>4.617</v>
      </c>
      <c r="N1156" s="56">
        <f>INDEX(Rate_Chart!$A$1:$AK$127,MATCH(Data!J1156,Rate_Chart!$A$1:$A$127,0),MATCH(Data!K1156,Rate_Chart!$A$1:$AK$1,0))</f>
        <v>37.531125900000006</v>
      </c>
      <c r="O1156" s="57">
        <f t="shared" si="233"/>
        <v>2139.2741763000004</v>
      </c>
      <c r="P1156" s="58">
        <f t="shared" si="234"/>
        <v>417.01251000000008</v>
      </c>
      <c r="Q1156" s="58">
        <f t="shared" si="235"/>
        <v>278.00834000000003</v>
      </c>
      <c r="R1156" s="66">
        <f t="shared" si="236"/>
        <v>37.437298085250013</v>
      </c>
      <c r="S1156" s="64">
        <f t="shared" si="237"/>
        <v>213.75</v>
      </c>
      <c r="T1156" s="66">
        <f t="shared" si="238"/>
        <v>2390.4614743852503</v>
      </c>
      <c r="U1156" s="68">
        <f t="shared" si="239"/>
        <v>41.937920603250006</v>
      </c>
      <c r="V1156" s="68">
        <f t="shared" si="240"/>
        <v>465.97689559166673</v>
      </c>
      <c r="W1156" s="68">
        <f t="shared" si="241"/>
        <v>310.6512637277778</v>
      </c>
    </row>
    <row r="1157" spans="1:23" x14ac:dyDescent="0.25">
      <c r="A1157" s="1" t="s">
        <v>888</v>
      </c>
      <c r="B1157" s="61" t="s">
        <v>396</v>
      </c>
      <c r="C1157" s="1" t="s">
        <v>591</v>
      </c>
      <c r="D1157" s="1" t="s">
        <v>595</v>
      </c>
      <c r="E1157" s="1" t="s">
        <v>384</v>
      </c>
      <c r="F1157" s="62" t="str">
        <f t="shared" ref="F1157:F1220" si="242">MID(E1157,2,5)</f>
        <v>64571</v>
      </c>
      <c r="G1157" s="1">
        <v>10620009</v>
      </c>
      <c r="H1157" s="1" t="s">
        <v>387</v>
      </c>
      <c r="I1157" s="61">
        <v>34</v>
      </c>
      <c r="J1157" s="61">
        <v>7.5</v>
      </c>
      <c r="K1157" s="61">
        <v>8.8000000000000007</v>
      </c>
      <c r="L1157" s="69">
        <f t="shared" si="231"/>
        <v>2.5499999999999998</v>
      </c>
      <c r="M1157" s="69">
        <f t="shared" si="232"/>
        <v>2.9920000000000004</v>
      </c>
      <c r="N1157" s="56">
        <f>INDEX(Rate_Chart!$A$1:$AK$127,MATCH(Data!J1157,Rate_Chart!$A$1:$A$127,0),MATCH(Data!K1157,Rate_Chart!$A$1:$AK$1,0))</f>
        <v>61.998750000000001</v>
      </c>
      <c r="O1157" s="57">
        <f t="shared" si="233"/>
        <v>2107.9575</v>
      </c>
      <c r="P1157" s="58">
        <f t="shared" si="234"/>
        <v>463.83104738154617</v>
      </c>
      <c r="Q1157" s="58">
        <f t="shared" si="235"/>
        <v>309.22069825436409</v>
      </c>
      <c r="R1157" s="66">
        <f t="shared" si="236"/>
        <v>36.889256250000003</v>
      </c>
      <c r="S1157" s="64">
        <f t="shared" si="237"/>
        <v>127.5</v>
      </c>
      <c r="T1157" s="66">
        <f t="shared" si="238"/>
        <v>2272.34675625</v>
      </c>
      <c r="U1157" s="68">
        <f t="shared" si="239"/>
        <v>66.833728124999993</v>
      </c>
      <c r="V1157" s="68">
        <f t="shared" si="240"/>
        <v>500.00295355361595</v>
      </c>
      <c r="W1157" s="68">
        <f t="shared" si="241"/>
        <v>333.33530236907728</v>
      </c>
    </row>
    <row r="1158" spans="1:23" x14ac:dyDescent="0.25">
      <c r="A1158" s="1" t="s">
        <v>888</v>
      </c>
      <c r="B1158" s="61" t="s">
        <v>396</v>
      </c>
      <c r="C1158" s="1" t="s">
        <v>591</v>
      </c>
      <c r="D1158" s="1" t="s">
        <v>595</v>
      </c>
      <c r="E1158" s="1" t="s">
        <v>384</v>
      </c>
      <c r="F1158" s="62" t="str">
        <f t="shared" si="242"/>
        <v>64571</v>
      </c>
      <c r="G1158" s="1">
        <v>10620009</v>
      </c>
      <c r="H1158" s="1" t="s">
        <v>388</v>
      </c>
      <c r="I1158" s="61">
        <v>6</v>
      </c>
      <c r="J1158" s="61">
        <v>4.3</v>
      </c>
      <c r="K1158" s="61">
        <v>8.1999999999999993</v>
      </c>
      <c r="L1158" s="69">
        <f t="shared" si="231"/>
        <v>0.25799999999999995</v>
      </c>
      <c r="M1158" s="69">
        <f t="shared" si="232"/>
        <v>0.49199999999999994</v>
      </c>
      <c r="N1158" s="56">
        <f>INDEX(Rate_Chart!$A$1:$AK$127,MATCH(Data!J1158,Rate_Chart!$A$1:$A$127,0),MATCH(Data!K1158,Rate_Chart!$A$1:$AK$1,0))</f>
        <v>40.728139799999994</v>
      </c>
      <c r="O1158" s="57">
        <f t="shared" si="233"/>
        <v>244.36883879999996</v>
      </c>
      <c r="P1158" s="58">
        <f t="shared" si="234"/>
        <v>417.01167030716726</v>
      </c>
      <c r="Q1158" s="58">
        <f t="shared" si="235"/>
        <v>278.00778020477816</v>
      </c>
      <c r="R1158" s="66">
        <f t="shared" si="236"/>
        <v>4.2764546789999995</v>
      </c>
      <c r="S1158" s="64">
        <f t="shared" si="237"/>
        <v>22.5</v>
      </c>
      <c r="T1158" s="66">
        <f t="shared" si="238"/>
        <v>271.14529347899997</v>
      </c>
      <c r="U1158" s="68">
        <f t="shared" si="239"/>
        <v>45.190882246499996</v>
      </c>
      <c r="V1158" s="68">
        <f t="shared" si="240"/>
        <v>462.70527897440275</v>
      </c>
      <c r="W1158" s="68">
        <f t="shared" si="241"/>
        <v>308.47018598293516</v>
      </c>
    </row>
    <row r="1159" spans="1:23" x14ac:dyDescent="0.25">
      <c r="A1159" s="1" t="s">
        <v>888</v>
      </c>
      <c r="B1159" s="61" t="s">
        <v>397</v>
      </c>
      <c r="C1159" s="1" t="s">
        <v>591</v>
      </c>
      <c r="D1159" s="1" t="s">
        <v>595</v>
      </c>
      <c r="E1159" s="1" t="s">
        <v>384</v>
      </c>
      <c r="F1159" s="62" t="str">
        <f t="shared" si="242"/>
        <v>64571</v>
      </c>
      <c r="G1159" s="1">
        <v>10620009</v>
      </c>
      <c r="H1159" s="1" t="s">
        <v>387</v>
      </c>
      <c r="I1159" s="61">
        <v>29</v>
      </c>
      <c r="J1159" s="61">
        <v>6.6</v>
      </c>
      <c r="K1159" s="61">
        <v>8.8000000000000007</v>
      </c>
      <c r="L1159" s="69">
        <f t="shared" si="231"/>
        <v>1.9139999999999997</v>
      </c>
      <c r="M1159" s="69">
        <f t="shared" si="232"/>
        <v>2.552</v>
      </c>
      <c r="N1159" s="56">
        <f>INDEX(Rate_Chart!$A$1:$AK$127,MATCH(Data!J1159,Rate_Chart!$A$1:$A$127,0),MATCH(Data!K1159,Rate_Chart!$A$1:$AK$1,0))</f>
        <v>54.558900000000001</v>
      </c>
      <c r="O1159" s="57">
        <f t="shared" si="233"/>
        <v>1582.2081000000001</v>
      </c>
      <c r="P1159" s="58">
        <f t="shared" si="234"/>
        <v>437.63823529411764</v>
      </c>
      <c r="Q1159" s="58">
        <f t="shared" si="235"/>
        <v>291.75882352941176</v>
      </c>
      <c r="R1159" s="66">
        <f t="shared" si="236"/>
        <v>27.688641750000002</v>
      </c>
      <c r="S1159" s="64">
        <f t="shared" si="237"/>
        <v>108.75</v>
      </c>
      <c r="T1159" s="66">
        <f t="shared" si="238"/>
        <v>1718.64674175</v>
      </c>
      <c r="U1159" s="68">
        <f t="shared" si="239"/>
        <v>59.263680749999999</v>
      </c>
      <c r="V1159" s="68">
        <f t="shared" si="240"/>
        <v>475.37711831550797</v>
      </c>
      <c r="W1159" s="68">
        <f t="shared" si="241"/>
        <v>316.91807887700531</v>
      </c>
    </row>
    <row r="1160" spans="1:23" x14ac:dyDescent="0.25">
      <c r="A1160" s="1" t="s">
        <v>888</v>
      </c>
      <c r="B1160" s="61" t="s">
        <v>397</v>
      </c>
      <c r="C1160" s="1" t="s">
        <v>591</v>
      </c>
      <c r="D1160" s="1" t="s">
        <v>595</v>
      </c>
      <c r="E1160" s="1" t="s">
        <v>384</v>
      </c>
      <c r="F1160" s="62" t="str">
        <f t="shared" si="242"/>
        <v>64571</v>
      </c>
      <c r="G1160" s="1">
        <v>10620009</v>
      </c>
      <c r="H1160" s="1" t="s">
        <v>388</v>
      </c>
      <c r="I1160" s="61">
        <v>24</v>
      </c>
      <c r="J1160" s="61">
        <v>3</v>
      </c>
      <c r="K1160" s="61">
        <v>8</v>
      </c>
      <c r="L1160" s="69">
        <f t="shared" si="231"/>
        <v>0.72</v>
      </c>
      <c r="M1160" s="69">
        <f t="shared" si="232"/>
        <v>1.92</v>
      </c>
      <c r="N1160" s="56">
        <f>INDEX(Rate_Chart!$A$1:$AK$127,MATCH(Data!J1160,Rate_Chart!$A$1:$A$127,0),MATCH(Data!K1160,Rate_Chart!$A$1:$AK$1,0))</f>
        <v>34.751112000000006</v>
      </c>
      <c r="O1160" s="57">
        <f t="shared" si="233"/>
        <v>834.02668800000015</v>
      </c>
      <c r="P1160" s="58">
        <f t="shared" si="234"/>
        <v>417.01334400000002</v>
      </c>
      <c r="Q1160" s="58">
        <f t="shared" si="235"/>
        <v>278.00889599999999</v>
      </c>
      <c r="R1160" s="66">
        <f t="shared" si="236"/>
        <v>14.595467040000004</v>
      </c>
      <c r="S1160" s="64">
        <f t="shared" si="237"/>
        <v>90</v>
      </c>
      <c r="T1160" s="66">
        <f t="shared" si="238"/>
        <v>938.62215504000017</v>
      </c>
      <c r="U1160" s="68">
        <f t="shared" si="239"/>
        <v>39.109256460000005</v>
      </c>
      <c r="V1160" s="68">
        <f t="shared" si="240"/>
        <v>469.31107752000003</v>
      </c>
      <c r="W1160" s="68">
        <f t="shared" si="241"/>
        <v>312.87405168000004</v>
      </c>
    </row>
    <row r="1161" spans="1:23" x14ac:dyDescent="0.25">
      <c r="A1161" s="1" t="s">
        <v>889</v>
      </c>
      <c r="B1161" s="61" t="s">
        <v>396</v>
      </c>
      <c r="C1161" s="1" t="s">
        <v>591</v>
      </c>
      <c r="D1161" s="1" t="s">
        <v>595</v>
      </c>
      <c r="E1161" s="1" t="s">
        <v>384</v>
      </c>
      <c r="F1161" s="62" t="str">
        <f t="shared" si="242"/>
        <v>64571</v>
      </c>
      <c r="G1161" s="1">
        <v>10620009</v>
      </c>
      <c r="H1161" s="1" t="s">
        <v>387</v>
      </c>
      <c r="I1161" s="61">
        <v>34</v>
      </c>
      <c r="J1161" s="61">
        <v>7.8</v>
      </c>
      <c r="K1161" s="61">
        <v>8.8000000000000007</v>
      </c>
      <c r="L1161" s="69">
        <f t="shared" si="231"/>
        <v>2.6519999999999997</v>
      </c>
      <c r="M1161" s="69">
        <f t="shared" si="232"/>
        <v>2.9920000000000004</v>
      </c>
      <c r="N1161" s="56">
        <f>INDEX(Rate_Chart!$A$1:$AK$127,MATCH(Data!J1161,Rate_Chart!$A$1:$A$127,0),MATCH(Data!K1161,Rate_Chart!$A$1:$AK$1,0))</f>
        <v>64.478699999999989</v>
      </c>
      <c r="O1161" s="57">
        <f t="shared" si="233"/>
        <v>2192.2757999999994</v>
      </c>
      <c r="P1161" s="58">
        <f t="shared" si="234"/>
        <v>471.7953658536585</v>
      </c>
      <c r="Q1161" s="58">
        <f t="shared" si="235"/>
        <v>314.530243902439</v>
      </c>
      <c r="R1161" s="66">
        <f t="shared" si="236"/>
        <v>38.364826499999992</v>
      </c>
      <c r="S1161" s="64">
        <f t="shared" si="237"/>
        <v>127.5</v>
      </c>
      <c r="T1161" s="66">
        <f t="shared" si="238"/>
        <v>2358.1406264999996</v>
      </c>
      <c r="U1161" s="68">
        <f t="shared" si="239"/>
        <v>69.357077249999989</v>
      </c>
      <c r="V1161" s="68">
        <f t="shared" si="240"/>
        <v>507.49080914634141</v>
      </c>
      <c r="W1161" s="68">
        <f t="shared" si="241"/>
        <v>338.32720609756092</v>
      </c>
    </row>
    <row r="1162" spans="1:23" x14ac:dyDescent="0.25">
      <c r="A1162" s="1" t="s">
        <v>889</v>
      </c>
      <c r="B1162" s="61" t="s">
        <v>397</v>
      </c>
      <c r="C1162" s="1" t="s">
        <v>591</v>
      </c>
      <c r="D1162" s="1" t="s">
        <v>595</v>
      </c>
      <c r="E1162" s="1" t="s">
        <v>384</v>
      </c>
      <c r="F1162" s="62" t="str">
        <f t="shared" si="242"/>
        <v>64571</v>
      </c>
      <c r="G1162" s="1">
        <v>10620009</v>
      </c>
      <c r="H1162" s="1" t="s">
        <v>387</v>
      </c>
      <c r="I1162" s="61">
        <v>28</v>
      </c>
      <c r="J1162" s="61">
        <v>6.6</v>
      </c>
      <c r="K1162" s="61">
        <v>8.8000000000000007</v>
      </c>
      <c r="L1162" s="69">
        <f t="shared" si="231"/>
        <v>1.8479999999999999</v>
      </c>
      <c r="M1162" s="69">
        <f t="shared" si="232"/>
        <v>2.4640000000000004</v>
      </c>
      <c r="N1162" s="56">
        <f>INDEX(Rate_Chart!$A$1:$AK$127,MATCH(Data!J1162,Rate_Chart!$A$1:$A$127,0),MATCH(Data!K1162,Rate_Chart!$A$1:$AK$1,0))</f>
        <v>54.558900000000001</v>
      </c>
      <c r="O1162" s="57">
        <f t="shared" si="233"/>
        <v>1527.6492000000001</v>
      </c>
      <c r="P1162" s="58">
        <f t="shared" si="234"/>
        <v>437.63823529411764</v>
      </c>
      <c r="Q1162" s="58">
        <f t="shared" si="235"/>
        <v>291.75882352941176</v>
      </c>
      <c r="R1162" s="66">
        <f t="shared" si="236"/>
        <v>26.733861000000005</v>
      </c>
      <c r="S1162" s="64">
        <f t="shared" si="237"/>
        <v>105</v>
      </c>
      <c r="T1162" s="66">
        <f t="shared" si="238"/>
        <v>1659.383061</v>
      </c>
      <c r="U1162" s="68">
        <f t="shared" si="239"/>
        <v>59.263680749999999</v>
      </c>
      <c r="V1162" s="68">
        <f t="shared" si="240"/>
        <v>475.37711831550797</v>
      </c>
      <c r="W1162" s="68">
        <f t="shared" si="241"/>
        <v>316.91807887700531</v>
      </c>
    </row>
    <row r="1163" spans="1:23" x14ac:dyDescent="0.25">
      <c r="A1163" s="1" t="s">
        <v>889</v>
      </c>
      <c r="B1163" s="61" t="s">
        <v>397</v>
      </c>
      <c r="C1163" s="1" t="s">
        <v>591</v>
      </c>
      <c r="D1163" s="1" t="s">
        <v>595</v>
      </c>
      <c r="E1163" s="1" t="s">
        <v>384</v>
      </c>
      <c r="F1163" s="62" t="str">
        <f t="shared" si="242"/>
        <v>64571</v>
      </c>
      <c r="G1163" s="1">
        <v>10620009</v>
      </c>
      <c r="H1163" s="1" t="s">
        <v>388</v>
      </c>
      <c r="I1163" s="61">
        <v>40</v>
      </c>
      <c r="J1163" s="61">
        <v>3</v>
      </c>
      <c r="K1163" s="61">
        <v>8</v>
      </c>
      <c r="L1163" s="69">
        <f t="shared" si="231"/>
        <v>1.2</v>
      </c>
      <c r="M1163" s="69">
        <f t="shared" si="232"/>
        <v>3.2</v>
      </c>
      <c r="N1163" s="56">
        <f>INDEX(Rate_Chart!$A$1:$AK$127,MATCH(Data!J1163,Rate_Chart!$A$1:$A$127,0),MATCH(Data!K1163,Rate_Chart!$A$1:$AK$1,0))</f>
        <v>34.751112000000006</v>
      </c>
      <c r="O1163" s="57">
        <f t="shared" si="233"/>
        <v>1390.0444800000002</v>
      </c>
      <c r="P1163" s="58">
        <f t="shared" si="234"/>
        <v>417.01334400000002</v>
      </c>
      <c r="Q1163" s="58">
        <f t="shared" si="235"/>
        <v>278.00889599999999</v>
      </c>
      <c r="R1163" s="66">
        <f t="shared" si="236"/>
        <v>24.325778400000008</v>
      </c>
      <c r="S1163" s="64">
        <f t="shared" si="237"/>
        <v>150</v>
      </c>
      <c r="T1163" s="66">
        <f t="shared" si="238"/>
        <v>1564.3702584000002</v>
      </c>
      <c r="U1163" s="68">
        <f t="shared" si="239"/>
        <v>39.109256460000005</v>
      </c>
      <c r="V1163" s="68">
        <f t="shared" si="240"/>
        <v>469.31107752000003</v>
      </c>
      <c r="W1163" s="68">
        <f t="shared" si="241"/>
        <v>312.87405168000004</v>
      </c>
    </row>
    <row r="1164" spans="1:23" x14ac:dyDescent="0.25">
      <c r="A1164" s="1" t="s">
        <v>890</v>
      </c>
      <c r="B1164" s="61" t="s">
        <v>396</v>
      </c>
      <c r="C1164" s="1" t="s">
        <v>591</v>
      </c>
      <c r="D1164" s="1" t="s">
        <v>595</v>
      </c>
      <c r="E1164" s="1" t="s">
        <v>384</v>
      </c>
      <c r="F1164" s="62" t="str">
        <f t="shared" si="242"/>
        <v>64571</v>
      </c>
      <c r="G1164" s="1">
        <v>10620009</v>
      </c>
      <c r="H1164" s="1" t="s">
        <v>387</v>
      </c>
      <c r="I1164" s="61">
        <v>31</v>
      </c>
      <c r="J1164" s="61">
        <v>7.9</v>
      </c>
      <c r="K1164" s="61">
        <v>9</v>
      </c>
      <c r="L1164" s="69">
        <f t="shared" si="231"/>
        <v>2.4489999999999998</v>
      </c>
      <c r="M1164" s="69">
        <f t="shared" si="232"/>
        <v>2.79</v>
      </c>
      <c r="N1164" s="56">
        <f>INDEX(Rate_Chart!$A$1:$AK$127,MATCH(Data!J1164,Rate_Chart!$A$1:$A$127,0),MATCH(Data!K1164,Rate_Chart!$A$1:$AK$1,0))</f>
        <v>65.965000000000003</v>
      </c>
      <c r="O1164" s="57">
        <f t="shared" si="233"/>
        <v>2044.9150000000002</v>
      </c>
      <c r="P1164" s="58">
        <f t="shared" si="234"/>
        <v>474.56834532374097</v>
      </c>
      <c r="Q1164" s="58">
        <f t="shared" si="235"/>
        <v>316.37889688249396</v>
      </c>
      <c r="R1164" s="66">
        <f t="shared" si="236"/>
        <v>35.786012500000005</v>
      </c>
      <c r="S1164" s="64">
        <f t="shared" si="237"/>
        <v>116.25</v>
      </c>
      <c r="T1164" s="66">
        <f t="shared" si="238"/>
        <v>2196.9510125000002</v>
      </c>
      <c r="U1164" s="68">
        <f t="shared" si="239"/>
        <v>70.869387500000002</v>
      </c>
      <c r="V1164" s="68">
        <f t="shared" si="240"/>
        <v>509.85170863309349</v>
      </c>
      <c r="W1164" s="68">
        <f t="shared" si="241"/>
        <v>339.901139088729</v>
      </c>
    </row>
    <row r="1165" spans="1:23" x14ac:dyDescent="0.25">
      <c r="A1165" s="1" t="s">
        <v>890</v>
      </c>
      <c r="B1165" s="61" t="s">
        <v>396</v>
      </c>
      <c r="C1165" s="1" t="s">
        <v>591</v>
      </c>
      <c r="D1165" s="1" t="s">
        <v>595</v>
      </c>
      <c r="E1165" s="1" t="s">
        <v>384</v>
      </c>
      <c r="F1165" s="62" t="str">
        <f t="shared" si="242"/>
        <v>64571</v>
      </c>
      <c r="G1165" s="1">
        <v>10620009</v>
      </c>
      <c r="H1165" s="1" t="s">
        <v>388</v>
      </c>
      <c r="I1165" s="61">
        <v>14</v>
      </c>
      <c r="J1165" s="61">
        <v>4</v>
      </c>
      <c r="K1165" s="61">
        <v>8.3000000000000007</v>
      </c>
      <c r="L1165" s="69">
        <f t="shared" si="231"/>
        <v>0.56000000000000005</v>
      </c>
      <c r="M1165" s="69">
        <f t="shared" si="232"/>
        <v>1.1620000000000001</v>
      </c>
      <c r="N1165" s="56">
        <f>INDEX(Rate_Chart!$A$1:$AK$127,MATCH(Data!J1165,Rate_Chart!$A$1:$A$127,0),MATCH(Data!K1165,Rate_Chart!$A$1:$AK$1,0))</f>
        <v>39.755153700000008</v>
      </c>
      <c r="O1165" s="57">
        <f t="shared" si="233"/>
        <v>556.57215180000014</v>
      </c>
      <c r="P1165" s="58">
        <f t="shared" si="234"/>
        <v>417.01210174825178</v>
      </c>
      <c r="Q1165" s="58">
        <f t="shared" si="235"/>
        <v>278.00806783216785</v>
      </c>
      <c r="R1165" s="66">
        <f t="shared" si="236"/>
        <v>9.7400126565000029</v>
      </c>
      <c r="S1165" s="64">
        <f t="shared" si="237"/>
        <v>52.5</v>
      </c>
      <c r="T1165" s="66">
        <f t="shared" si="238"/>
        <v>618.81216445650011</v>
      </c>
      <c r="U1165" s="68">
        <f t="shared" si="239"/>
        <v>44.200868889750005</v>
      </c>
      <c r="V1165" s="68">
        <f t="shared" si="240"/>
        <v>463.6454778645105</v>
      </c>
      <c r="W1165" s="68">
        <f t="shared" si="241"/>
        <v>309.096985243007</v>
      </c>
    </row>
    <row r="1166" spans="1:23" x14ac:dyDescent="0.25">
      <c r="A1166" s="1" t="s">
        <v>890</v>
      </c>
      <c r="B1166" s="61" t="s">
        <v>397</v>
      </c>
      <c r="C1166" s="1" t="s">
        <v>591</v>
      </c>
      <c r="D1166" s="1" t="s">
        <v>595</v>
      </c>
      <c r="E1166" s="1" t="s">
        <v>384</v>
      </c>
      <c r="F1166" s="62" t="str">
        <f t="shared" si="242"/>
        <v>64571</v>
      </c>
      <c r="G1166" s="1">
        <v>10620009</v>
      </c>
      <c r="H1166" s="1" t="s">
        <v>387</v>
      </c>
      <c r="I1166" s="61">
        <v>32</v>
      </c>
      <c r="J1166" s="61">
        <v>6</v>
      </c>
      <c r="K1166" s="61">
        <v>8.8000000000000007</v>
      </c>
      <c r="L1166" s="69">
        <f t="shared" si="231"/>
        <v>1.92</v>
      </c>
      <c r="M1166" s="69">
        <f t="shared" si="232"/>
        <v>2.8160000000000003</v>
      </c>
      <c r="N1166" s="56">
        <f>INDEX(Rate_Chart!$A$1:$AK$127,MATCH(Data!J1166,Rate_Chart!$A$1:$A$127,0),MATCH(Data!K1166,Rate_Chart!$A$1:$AK$1,0))</f>
        <v>49.599000000000004</v>
      </c>
      <c r="O1166" s="57">
        <f t="shared" si="233"/>
        <v>1587.1680000000001</v>
      </c>
      <c r="P1166" s="58">
        <f t="shared" si="234"/>
        <v>417.96910112359552</v>
      </c>
      <c r="Q1166" s="58">
        <f t="shared" si="235"/>
        <v>278.64606741573033</v>
      </c>
      <c r="R1166" s="66">
        <f t="shared" si="236"/>
        <v>27.775440000000003</v>
      </c>
      <c r="S1166" s="64">
        <f t="shared" si="237"/>
        <v>120</v>
      </c>
      <c r="T1166" s="66">
        <f t="shared" si="238"/>
        <v>1734.94344</v>
      </c>
      <c r="U1166" s="68">
        <f t="shared" si="239"/>
        <v>54.2169825</v>
      </c>
      <c r="V1166" s="68">
        <f t="shared" si="240"/>
        <v>456.88468398876404</v>
      </c>
      <c r="W1166" s="68">
        <f t="shared" si="241"/>
        <v>304.58978932584267</v>
      </c>
    </row>
    <row r="1167" spans="1:23" x14ac:dyDescent="0.25">
      <c r="A1167" s="1" t="s">
        <v>890</v>
      </c>
      <c r="B1167" s="61" t="s">
        <v>397</v>
      </c>
      <c r="C1167" s="1" t="s">
        <v>591</v>
      </c>
      <c r="D1167" s="1" t="s">
        <v>595</v>
      </c>
      <c r="E1167" s="1" t="s">
        <v>384</v>
      </c>
      <c r="F1167" s="62" t="str">
        <f t="shared" si="242"/>
        <v>64571</v>
      </c>
      <c r="G1167" s="1">
        <v>10620009</v>
      </c>
      <c r="H1167" s="1" t="s">
        <v>388</v>
      </c>
      <c r="I1167" s="61">
        <v>41</v>
      </c>
      <c r="J1167" s="61">
        <v>3</v>
      </c>
      <c r="K1167" s="61">
        <v>8</v>
      </c>
      <c r="L1167" s="69">
        <f t="shared" si="231"/>
        <v>1.23</v>
      </c>
      <c r="M1167" s="69">
        <f t="shared" si="232"/>
        <v>3.28</v>
      </c>
      <c r="N1167" s="56">
        <f>INDEX(Rate_Chart!$A$1:$AK$127,MATCH(Data!J1167,Rate_Chart!$A$1:$A$127,0),MATCH(Data!K1167,Rate_Chart!$A$1:$AK$1,0))</f>
        <v>34.751112000000006</v>
      </c>
      <c r="O1167" s="57">
        <f t="shared" si="233"/>
        <v>1424.7955920000002</v>
      </c>
      <c r="P1167" s="58">
        <f t="shared" si="234"/>
        <v>417.01334400000002</v>
      </c>
      <c r="Q1167" s="58">
        <f t="shared" si="235"/>
        <v>278.00889599999999</v>
      </c>
      <c r="R1167" s="66">
        <f t="shared" si="236"/>
        <v>24.933922860000006</v>
      </c>
      <c r="S1167" s="64">
        <f t="shared" si="237"/>
        <v>153.75</v>
      </c>
      <c r="T1167" s="66">
        <f t="shared" si="238"/>
        <v>1603.4795148600001</v>
      </c>
      <c r="U1167" s="68">
        <f t="shared" si="239"/>
        <v>39.109256460000005</v>
      </c>
      <c r="V1167" s="68">
        <f t="shared" si="240"/>
        <v>469.31107752000003</v>
      </c>
      <c r="W1167" s="68">
        <f t="shared" si="241"/>
        <v>312.87405168000004</v>
      </c>
    </row>
    <row r="1168" spans="1:23" x14ac:dyDescent="0.25">
      <c r="A1168" s="1" t="s">
        <v>891</v>
      </c>
      <c r="B1168" s="61" t="s">
        <v>396</v>
      </c>
      <c r="C1168" s="1" t="s">
        <v>591</v>
      </c>
      <c r="D1168" s="1" t="s">
        <v>595</v>
      </c>
      <c r="E1168" s="1" t="s">
        <v>384</v>
      </c>
      <c r="F1168" s="62" t="str">
        <f t="shared" si="242"/>
        <v>64571</v>
      </c>
      <c r="G1168" s="1">
        <v>10620009</v>
      </c>
      <c r="H1168" s="1" t="s">
        <v>387</v>
      </c>
      <c r="I1168" s="61">
        <v>40</v>
      </c>
      <c r="J1168" s="61">
        <v>7.4</v>
      </c>
      <c r="K1168" s="61">
        <v>8.8000000000000007</v>
      </c>
      <c r="L1168" s="69">
        <f t="shared" si="231"/>
        <v>2.96</v>
      </c>
      <c r="M1168" s="69">
        <f t="shared" si="232"/>
        <v>3.52</v>
      </c>
      <c r="N1168" s="56">
        <f>INDEX(Rate_Chart!$A$1:$AK$127,MATCH(Data!J1168,Rate_Chart!$A$1:$A$127,0),MATCH(Data!K1168,Rate_Chart!$A$1:$AK$1,0))</f>
        <v>61.172100000000007</v>
      </c>
      <c r="O1168" s="57">
        <f t="shared" si="233"/>
        <v>2446.8840000000005</v>
      </c>
      <c r="P1168" s="58">
        <f t="shared" si="234"/>
        <v>461.09623115577887</v>
      </c>
      <c r="Q1168" s="58">
        <f t="shared" si="235"/>
        <v>307.39748743718593</v>
      </c>
      <c r="R1168" s="66">
        <f t="shared" si="236"/>
        <v>42.820470000000014</v>
      </c>
      <c r="S1168" s="64">
        <f t="shared" si="237"/>
        <v>150</v>
      </c>
      <c r="T1168" s="66">
        <f t="shared" si="238"/>
        <v>2639.7044700000006</v>
      </c>
      <c r="U1168" s="68">
        <f t="shared" si="239"/>
        <v>65.992611750000009</v>
      </c>
      <c r="V1168" s="68">
        <f t="shared" si="240"/>
        <v>497.43174685929648</v>
      </c>
      <c r="W1168" s="68">
        <f t="shared" si="241"/>
        <v>331.6211645728643</v>
      </c>
    </row>
    <row r="1169" spans="1:23" x14ac:dyDescent="0.25">
      <c r="A1169" s="1" t="s">
        <v>891</v>
      </c>
      <c r="B1169" s="61" t="s">
        <v>396</v>
      </c>
      <c r="C1169" s="1" t="s">
        <v>591</v>
      </c>
      <c r="D1169" s="1" t="s">
        <v>595</v>
      </c>
      <c r="E1169" s="1" t="s">
        <v>384</v>
      </c>
      <c r="F1169" s="62" t="str">
        <f t="shared" si="242"/>
        <v>64571</v>
      </c>
      <c r="G1169" s="1">
        <v>10620009</v>
      </c>
      <c r="H1169" s="1" t="s">
        <v>388</v>
      </c>
      <c r="I1169" s="61">
        <v>33</v>
      </c>
      <c r="J1169" s="61">
        <v>3.8</v>
      </c>
      <c r="K1169" s="61">
        <v>8.1</v>
      </c>
      <c r="L1169" s="69">
        <f t="shared" si="231"/>
        <v>1.254</v>
      </c>
      <c r="M1169" s="69">
        <f t="shared" si="232"/>
        <v>2.673</v>
      </c>
      <c r="N1169" s="56">
        <f>INDEX(Rate_Chart!$A$1:$AK$127,MATCH(Data!J1169,Rate_Chart!$A$1:$A$127,0),MATCH(Data!K1169,Rate_Chart!$A$1:$AK$1,0))</f>
        <v>38.365125900000002</v>
      </c>
      <c r="O1169" s="57">
        <f t="shared" si="233"/>
        <v>1266.0491547000001</v>
      </c>
      <c r="P1169" s="58">
        <f t="shared" si="234"/>
        <v>417.01223804347831</v>
      </c>
      <c r="Q1169" s="58">
        <f t="shared" si="235"/>
        <v>278.00815869565218</v>
      </c>
      <c r="R1169" s="66">
        <f t="shared" si="236"/>
        <v>22.155860207250004</v>
      </c>
      <c r="S1169" s="64">
        <f t="shared" si="237"/>
        <v>123.75</v>
      </c>
      <c r="T1169" s="66">
        <f t="shared" si="238"/>
        <v>1411.9550149072502</v>
      </c>
      <c r="U1169" s="68">
        <f t="shared" si="239"/>
        <v>42.786515603250002</v>
      </c>
      <c r="V1169" s="68">
        <f t="shared" si="240"/>
        <v>465.07082177445653</v>
      </c>
      <c r="W1169" s="68">
        <f t="shared" si="241"/>
        <v>310.04721451630434</v>
      </c>
    </row>
    <row r="1170" spans="1:23" x14ac:dyDescent="0.25">
      <c r="A1170" s="1" t="s">
        <v>891</v>
      </c>
      <c r="B1170" s="61" t="s">
        <v>397</v>
      </c>
      <c r="C1170" s="1" t="s">
        <v>591</v>
      </c>
      <c r="D1170" s="1" t="s">
        <v>595</v>
      </c>
      <c r="E1170" s="1" t="s">
        <v>384</v>
      </c>
      <c r="F1170" s="62" t="str">
        <f t="shared" si="242"/>
        <v>64571</v>
      </c>
      <c r="G1170" s="1">
        <v>10620009</v>
      </c>
      <c r="H1170" s="1" t="s">
        <v>387</v>
      </c>
      <c r="I1170" s="61">
        <v>22</v>
      </c>
      <c r="J1170" s="61">
        <v>6.6</v>
      </c>
      <c r="K1170" s="61">
        <v>8.8000000000000007</v>
      </c>
      <c r="L1170" s="69">
        <f t="shared" si="231"/>
        <v>1.452</v>
      </c>
      <c r="M1170" s="69">
        <f t="shared" si="232"/>
        <v>1.9360000000000002</v>
      </c>
      <c r="N1170" s="56">
        <f>INDEX(Rate_Chart!$A$1:$AK$127,MATCH(Data!J1170,Rate_Chart!$A$1:$A$127,0),MATCH(Data!K1170,Rate_Chart!$A$1:$AK$1,0))</f>
        <v>54.558900000000001</v>
      </c>
      <c r="O1170" s="57">
        <f t="shared" si="233"/>
        <v>1200.2958000000001</v>
      </c>
      <c r="P1170" s="58">
        <f t="shared" si="234"/>
        <v>437.63823529411764</v>
      </c>
      <c r="Q1170" s="58">
        <f t="shared" si="235"/>
        <v>291.75882352941176</v>
      </c>
      <c r="R1170" s="66">
        <f t="shared" si="236"/>
        <v>21.005176500000005</v>
      </c>
      <c r="S1170" s="64">
        <f t="shared" si="237"/>
        <v>82.5</v>
      </c>
      <c r="T1170" s="66">
        <f t="shared" si="238"/>
        <v>1303.8009765000002</v>
      </c>
      <c r="U1170" s="68">
        <f t="shared" si="239"/>
        <v>59.263680750000006</v>
      </c>
      <c r="V1170" s="68">
        <f t="shared" si="240"/>
        <v>475.37711831550803</v>
      </c>
      <c r="W1170" s="68">
        <f t="shared" si="241"/>
        <v>316.91807887700537</v>
      </c>
    </row>
    <row r="1171" spans="1:23" x14ac:dyDescent="0.25">
      <c r="A1171" s="1" t="s">
        <v>891</v>
      </c>
      <c r="B1171" s="61" t="s">
        <v>397</v>
      </c>
      <c r="C1171" s="1" t="s">
        <v>591</v>
      </c>
      <c r="D1171" s="1" t="s">
        <v>595</v>
      </c>
      <c r="E1171" s="1" t="s">
        <v>384</v>
      </c>
      <c r="F1171" s="62" t="str">
        <f t="shared" si="242"/>
        <v>64571</v>
      </c>
      <c r="G1171" s="1">
        <v>10620009</v>
      </c>
      <c r="H1171" s="1" t="s">
        <v>388</v>
      </c>
      <c r="I1171" s="61">
        <v>51</v>
      </c>
      <c r="J1171" s="61">
        <v>3</v>
      </c>
      <c r="K1171" s="61">
        <v>8</v>
      </c>
      <c r="L1171" s="69">
        <f t="shared" si="231"/>
        <v>1.53</v>
      </c>
      <c r="M1171" s="69">
        <f t="shared" si="232"/>
        <v>4.08</v>
      </c>
      <c r="N1171" s="56">
        <f>INDEX(Rate_Chart!$A$1:$AK$127,MATCH(Data!J1171,Rate_Chart!$A$1:$A$127,0),MATCH(Data!K1171,Rate_Chart!$A$1:$AK$1,0))</f>
        <v>34.751112000000006</v>
      </c>
      <c r="O1171" s="57">
        <f t="shared" si="233"/>
        <v>1772.3067120000003</v>
      </c>
      <c r="P1171" s="58">
        <f t="shared" si="234"/>
        <v>417.01334400000002</v>
      </c>
      <c r="Q1171" s="58">
        <f t="shared" si="235"/>
        <v>278.00889599999999</v>
      </c>
      <c r="R1171" s="66">
        <f t="shared" si="236"/>
        <v>31.015367460000007</v>
      </c>
      <c r="S1171" s="64">
        <f t="shared" si="237"/>
        <v>191.25</v>
      </c>
      <c r="T1171" s="66">
        <f t="shared" si="238"/>
        <v>1994.5720794600002</v>
      </c>
      <c r="U1171" s="68">
        <f t="shared" si="239"/>
        <v>39.109256460000005</v>
      </c>
      <c r="V1171" s="68">
        <f t="shared" si="240"/>
        <v>469.31107752000003</v>
      </c>
      <c r="W1171" s="68">
        <f t="shared" si="241"/>
        <v>312.87405168000004</v>
      </c>
    </row>
    <row r="1172" spans="1:23" x14ac:dyDescent="0.25">
      <c r="A1172" s="1" t="s">
        <v>892</v>
      </c>
      <c r="B1172" s="61" t="s">
        <v>396</v>
      </c>
      <c r="C1172" s="1" t="s">
        <v>591</v>
      </c>
      <c r="D1172" s="1" t="s">
        <v>595</v>
      </c>
      <c r="E1172" s="1" t="s">
        <v>384</v>
      </c>
      <c r="F1172" s="62" t="str">
        <f t="shared" si="242"/>
        <v>64571</v>
      </c>
      <c r="G1172" s="1">
        <v>10620009</v>
      </c>
      <c r="H1172" s="1" t="s">
        <v>387</v>
      </c>
      <c r="I1172" s="61">
        <v>40</v>
      </c>
      <c r="J1172" s="61">
        <v>7.7</v>
      </c>
      <c r="K1172" s="61">
        <v>8.8000000000000007</v>
      </c>
      <c r="L1172" s="69">
        <f t="shared" si="231"/>
        <v>3.08</v>
      </c>
      <c r="M1172" s="69">
        <f t="shared" si="232"/>
        <v>3.52</v>
      </c>
      <c r="N1172" s="56">
        <f>INDEX(Rate_Chart!$A$1:$AK$127,MATCH(Data!J1172,Rate_Chart!$A$1:$A$127,0),MATCH(Data!K1172,Rate_Chart!$A$1:$AK$1,0))</f>
        <v>63.652050000000003</v>
      </c>
      <c r="O1172" s="57">
        <f t="shared" si="233"/>
        <v>2546.0820000000003</v>
      </c>
      <c r="P1172" s="58">
        <f t="shared" si="234"/>
        <v>469.17972972972979</v>
      </c>
      <c r="Q1172" s="58">
        <f t="shared" si="235"/>
        <v>312.78648648648652</v>
      </c>
      <c r="R1172" s="66">
        <f t="shared" si="236"/>
        <v>44.556435000000008</v>
      </c>
      <c r="S1172" s="64">
        <f t="shared" si="237"/>
        <v>150</v>
      </c>
      <c r="T1172" s="66">
        <f t="shared" si="238"/>
        <v>2740.6384350000003</v>
      </c>
      <c r="U1172" s="68">
        <f t="shared" si="239"/>
        <v>68.515960875000005</v>
      </c>
      <c r="V1172" s="68">
        <f t="shared" si="240"/>
        <v>505.03165264127773</v>
      </c>
      <c r="W1172" s="68">
        <f t="shared" si="241"/>
        <v>336.68776842751851</v>
      </c>
    </row>
    <row r="1173" spans="1:23" x14ac:dyDescent="0.25">
      <c r="A1173" s="1" t="s">
        <v>892</v>
      </c>
      <c r="B1173" s="61" t="s">
        <v>396</v>
      </c>
      <c r="C1173" s="1" t="s">
        <v>591</v>
      </c>
      <c r="D1173" s="1" t="s">
        <v>595</v>
      </c>
      <c r="E1173" s="1" t="s">
        <v>384</v>
      </c>
      <c r="F1173" s="62" t="str">
        <f t="shared" si="242"/>
        <v>64571</v>
      </c>
      <c r="G1173" s="1">
        <v>10620009</v>
      </c>
      <c r="H1173" s="1" t="s">
        <v>388</v>
      </c>
      <c r="I1173" s="61">
        <v>30</v>
      </c>
      <c r="J1173" s="61">
        <v>3.6</v>
      </c>
      <c r="K1173" s="61">
        <v>8.1</v>
      </c>
      <c r="L1173" s="69">
        <f t="shared" si="231"/>
        <v>1.08</v>
      </c>
      <c r="M1173" s="69">
        <f t="shared" si="232"/>
        <v>2.4300000000000002</v>
      </c>
      <c r="N1173" s="56">
        <f>INDEX(Rate_Chart!$A$1:$AK$127,MATCH(Data!J1173,Rate_Chart!$A$1:$A$127,0),MATCH(Data!K1173,Rate_Chart!$A$1:$AK$1,0))</f>
        <v>37.531125900000006</v>
      </c>
      <c r="O1173" s="57">
        <f t="shared" si="233"/>
        <v>1125.9337770000002</v>
      </c>
      <c r="P1173" s="58">
        <f t="shared" si="234"/>
        <v>417.01251000000008</v>
      </c>
      <c r="Q1173" s="58">
        <f t="shared" si="235"/>
        <v>278.00834000000003</v>
      </c>
      <c r="R1173" s="66">
        <f t="shared" si="236"/>
        <v>19.703841097500007</v>
      </c>
      <c r="S1173" s="64">
        <f t="shared" si="237"/>
        <v>112.5</v>
      </c>
      <c r="T1173" s="66">
        <f t="shared" si="238"/>
        <v>1258.1376180975003</v>
      </c>
      <c r="U1173" s="68">
        <f t="shared" si="239"/>
        <v>41.937920603250014</v>
      </c>
      <c r="V1173" s="68">
        <f t="shared" si="240"/>
        <v>465.97689559166685</v>
      </c>
      <c r="W1173" s="68">
        <f t="shared" si="241"/>
        <v>310.65126372777792</v>
      </c>
    </row>
    <row r="1174" spans="1:23" x14ac:dyDescent="0.25">
      <c r="A1174" s="1" t="s">
        <v>892</v>
      </c>
      <c r="B1174" s="61" t="s">
        <v>397</v>
      </c>
      <c r="C1174" s="1" t="s">
        <v>591</v>
      </c>
      <c r="D1174" s="1" t="s">
        <v>595</v>
      </c>
      <c r="E1174" s="1" t="s">
        <v>384</v>
      </c>
      <c r="F1174" s="62" t="str">
        <f t="shared" si="242"/>
        <v>64571</v>
      </c>
      <c r="G1174" s="1">
        <v>10620009</v>
      </c>
      <c r="H1174" s="1" t="s">
        <v>387</v>
      </c>
      <c r="I1174" s="61">
        <v>28</v>
      </c>
      <c r="J1174" s="61">
        <v>6.4</v>
      </c>
      <c r="K1174" s="61">
        <v>8.8000000000000007</v>
      </c>
      <c r="L1174" s="69">
        <f t="shared" si="231"/>
        <v>1.7920000000000003</v>
      </c>
      <c r="M1174" s="69">
        <f t="shared" si="232"/>
        <v>2.4640000000000004</v>
      </c>
      <c r="N1174" s="56">
        <f>INDEX(Rate_Chart!$A$1:$AK$127,MATCH(Data!J1174,Rate_Chart!$A$1:$A$127,0),MATCH(Data!K1174,Rate_Chart!$A$1:$AK$1,0))</f>
        <v>52.9056</v>
      </c>
      <c r="O1174" s="57">
        <f t="shared" si="233"/>
        <v>1481.3568</v>
      </c>
      <c r="P1174" s="58">
        <f t="shared" si="234"/>
        <v>431.29565217391303</v>
      </c>
      <c r="Q1174" s="58">
        <f t="shared" si="235"/>
        <v>287.53043478260867</v>
      </c>
      <c r="R1174" s="66">
        <f t="shared" si="236"/>
        <v>25.923744000000003</v>
      </c>
      <c r="S1174" s="64">
        <f t="shared" si="237"/>
        <v>105</v>
      </c>
      <c r="T1174" s="66">
        <f t="shared" si="238"/>
        <v>1612.280544</v>
      </c>
      <c r="U1174" s="68">
        <f t="shared" si="239"/>
        <v>57.581448000000002</v>
      </c>
      <c r="V1174" s="68">
        <f t="shared" si="240"/>
        <v>469.41397826086956</v>
      </c>
      <c r="W1174" s="68">
        <f t="shared" si="241"/>
        <v>312.94265217391302</v>
      </c>
    </row>
    <row r="1175" spans="1:23" x14ac:dyDescent="0.25">
      <c r="A1175" s="1" t="s">
        <v>892</v>
      </c>
      <c r="B1175" s="61" t="s">
        <v>397</v>
      </c>
      <c r="C1175" s="1" t="s">
        <v>591</v>
      </c>
      <c r="D1175" s="1" t="s">
        <v>595</v>
      </c>
      <c r="E1175" s="1" t="s">
        <v>384</v>
      </c>
      <c r="F1175" s="62" t="str">
        <f t="shared" si="242"/>
        <v>64571</v>
      </c>
      <c r="G1175" s="1">
        <v>10620009</v>
      </c>
      <c r="H1175" s="1" t="s">
        <v>388</v>
      </c>
      <c r="I1175" s="61">
        <v>38</v>
      </c>
      <c r="J1175" s="61">
        <v>3.1</v>
      </c>
      <c r="K1175" s="61">
        <v>8.1</v>
      </c>
      <c r="L1175" s="69">
        <f t="shared" si="231"/>
        <v>1.1779999999999999</v>
      </c>
      <c r="M1175" s="69">
        <f t="shared" si="232"/>
        <v>3.0780000000000003</v>
      </c>
      <c r="N1175" s="56">
        <f>INDEX(Rate_Chart!$A$1:$AK$127,MATCH(Data!J1175,Rate_Chart!$A$1:$A$127,0),MATCH(Data!K1175,Rate_Chart!$A$1:$AK$1,0))</f>
        <v>35.446125899999998</v>
      </c>
      <c r="O1175" s="57">
        <f t="shared" si="233"/>
        <v>1346.9527842</v>
      </c>
      <c r="P1175" s="58">
        <f t="shared" si="234"/>
        <v>417.01324588235298</v>
      </c>
      <c r="Q1175" s="58">
        <f t="shared" si="235"/>
        <v>278.0088305882353</v>
      </c>
      <c r="R1175" s="66">
        <f t="shared" si="236"/>
        <v>23.571673723500002</v>
      </c>
      <c r="S1175" s="64">
        <f t="shared" si="237"/>
        <v>142.5</v>
      </c>
      <c r="T1175" s="66">
        <f t="shared" si="238"/>
        <v>1513.0244579235</v>
      </c>
      <c r="U1175" s="68">
        <f t="shared" si="239"/>
        <v>39.816433103249999</v>
      </c>
      <c r="V1175" s="68">
        <f t="shared" si="240"/>
        <v>468.42862474411766</v>
      </c>
      <c r="W1175" s="68">
        <f t="shared" si="241"/>
        <v>312.28574982941177</v>
      </c>
    </row>
    <row r="1176" spans="1:23" x14ac:dyDescent="0.25">
      <c r="A1176" s="1" t="s">
        <v>893</v>
      </c>
      <c r="B1176" s="61" t="s">
        <v>396</v>
      </c>
      <c r="C1176" s="1" t="s">
        <v>591</v>
      </c>
      <c r="D1176" s="1" t="s">
        <v>595</v>
      </c>
      <c r="E1176" s="1" t="s">
        <v>384</v>
      </c>
      <c r="F1176" s="62" t="str">
        <f t="shared" si="242"/>
        <v>64571</v>
      </c>
      <c r="G1176" s="1">
        <v>10620009</v>
      </c>
      <c r="H1176" s="1" t="s">
        <v>387</v>
      </c>
      <c r="I1176" s="61">
        <v>31</v>
      </c>
      <c r="J1176" s="61">
        <v>7.9</v>
      </c>
      <c r="K1176" s="61">
        <v>8.8000000000000007</v>
      </c>
      <c r="L1176" s="69">
        <f t="shared" si="231"/>
        <v>2.4489999999999998</v>
      </c>
      <c r="M1176" s="69">
        <f t="shared" si="232"/>
        <v>2.7280000000000002</v>
      </c>
      <c r="N1176" s="56">
        <f>INDEX(Rate_Chart!$A$1:$AK$127,MATCH(Data!J1176,Rate_Chart!$A$1:$A$127,0),MATCH(Data!K1176,Rate_Chart!$A$1:$AK$1,0))</f>
        <v>65.305350000000004</v>
      </c>
      <c r="O1176" s="57">
        <f t="shared" si="233"/>
        <v>2024.46585</v>
      </c>
      <c r="P1176" s="58">
        <f t="shared" si="234"/>
        <v>474.37300242130755</v>
      </c>
      <c r="Q1176" s="58">
        <f t="shared" si="235"/>
        <v>316.2486682808717</v>
      </c>
      <c r="R1176" s="66">
        <f t="shared" si="236"/>
        <v>35.428152375000003</v>
      </c>
      <c r="S1176" s="64">
        <f t="shared" si="237"/>
        <v>116.25</v>
      </c>
      <c r="T1176" s="66">
        <f t="shared" si="238"/>
        <v>2176.1440023750001</v>
      </c>
      <c r="U1176" s="68">
        <f t="shared" si="239"/>
        <v>70.198193625000002</v>
      </c>
      <c r="V1176" s="68">
        <f t="shared" si="240"/>
        <v>509.9142394067797</v>
      </c>
      <c r="W1176" s="68">
        <f t="shared" si="241"/>
        <v>339.94282627118645</v>
      </c>
    </row>
    <row r="1177" spans="1:23" x14ac:dyDescent="0.25">
      <c r="A1177" s="1" t="s">
        <v>893</v>
      </c>
      <c r="B1177" s="61" t="s">
        <v>396</v>
      </c>
      <c r="C1177" s="1" t="s">
        <v>591</v>
      </c>
      <c r="D1177" s="1" t="s">
        <v>595</v>
      </c>
      <c r="E1177" s="1" t="s">
        <v>384</v>
      </c>
      <c r="F1177" s="62" t="str">
        <f t="shared" si="242"/>
        <v>64571</v>
      </c>
      <c r="G1177" s="1">
        <v>10620009</v>
      </c>
      <c r="H1177" s="1" t="s">
        <v>388</v>
      </c>
      <c r="I1177" s="61">
        <v>19</v>
      </c>
      <c r="J1177" s="61">
        <v>3.8</v>
      </c>
      <c r="K1177" s="61">
        <v>8.1</v>
      </c>
      <c r="L1177" s="69">
        <f t="shared" si="231"/>
        <v>0.72199999999999998</v>
      </c>
      <c r="M1177" s="69">
        <f t="shared" si="232"/>
        <v>1.5390000000000001</v>
      </c>
      <c r="N1177" s="56">
        <f>INDEX(Rate_Chart!$A$1:$AK$127,MATCH(Data!J1177,Rate_Chart!$A$1:$A$127,0),MATCH(Data!K1177,Rate_Chart!$A$1:$AK$1,0))</f>
        <v>38.365125900000002</v>
      </c>
      <c r="O1177" s="57">
        <f t="shared" si="233"/>
        <v>728.93739210000001</v>
      </c>
      <c r="P1177" s="58">
        <f t="shared" si="234"/>
        <v>417.01223804347831</v>
      </c>
      <c r="Q1177" s="58">
        <f t="shared" si="235"/>
        <v>278.00815869565218</v>
      </c>
      <c r="R1177" s="66">
        <f t="shared" si="236"/>
        <v>12.756404361750002</v>
      </c>
      <c r="S1177" s="64">
        <f t="shared" si="237"/>
        <v>71.25</v>
      </c>
      <c r="T1177" s="66">
        <f t="shared" si="238"/>
        <v>812.94379646175003</v>
      </c>
      <c r="U1177" s="68">
        <f t="shared" si="239"/>
        <v>42.786515603250002</v>
      </c>
      <c r="V1177" s="68">
        <f t="shared" si="240"/>
        <v>465.07082177445653</v>
      </c>
      <c r="W1177" s="68">
        <f t="shared" si="241"/>
        <v>310.04721451630434</v>
      </c>
    </row>
    <row r="1178" spans="1:23" x14ac:dyDescent="0.25">
      <c r="A1178" s="1" t="s">
        <v>893</v>
      </c>
      <c r="B1178" s="61" t="s">
        <v>397</v>
      </c>
      <c r="C1178" s="1" t="s">
        <v>591</v>
      </c>
      <c r="D1178" s="1" t="s">
        <v>595</v>
      </c>
      <c r="E1178" s="1" t="s">
        <v>384</v>
      </c>
      <c r="F1178" s="62" t="str">
        <f t="shared" si="242"/>
        <v>64571</v>
      </c>
      <c r="G1178" s="1">
        <v>10620009</v>
      </c>
      <c r="H1178" s="1" t="s">
        <v>387</v>
      </c>
      <c r="I1178" s="61">
        <v>27</v>
      </c>
      <c r="J1178" s="61">
        <v>6</v>
      </c>
      <c r="K1178" s="61">
        <v>8.8000000000000007</v>
      </c>
      <c r="L1178" s="69">
        <f t="shared" si="231"/>
        <v>1.62</v>
      </c>
      <c r="M1178" s="69">
        <f t="shared" si="232"/>
        <v>2.3760000000000003</v>
      </c>
      <c r="N1178" s="56">
        <f>INDEX(Rate_Chart!$A$1:$AK$127,MATCH(Data!J1178,Rate_Chart!$A$1:$A$127,0),MATCH(Data!K1178,Rate_Chart!$A$1:$AK$1,0))</f>
        <v>49.599000000000004</v>
      </c>
      <c r="O1178" s="57">
        <f t="shared" si="233"/>
        <v>1339.173</v>
      </c>
      <c r="P1178" s="58">
        <f t="shared" si="234"/>
        <v>417.96910112359552</v>
      </c>
      <c r="Q1178" s="58">
        <f t="shared" si="235"/>
        <v>278.64606741573033</v>
      </c>
      <c r="R1178" s="66">
        <f t="shared" si="236"/>
        <v>23.435527500000003</v>
      </c>
      <c r="S1178" s="64">
        <f t="shared" si="237"/>
        <v>101.25</v>
      </c>
      <c r="T1178" s="66">
        <f t="shared" si="238"/>
        <v>1463.8585275</v>
      </c>
      <c r="U1178" s="68">
        <f t="shared" si="239"/>
        <v>54.2169825</v>
      </c>
      <c r="V1178" s="68">
        <f t="shared" si="240"/>
        <v>456.88468398876404</v>
      </c>
      <c r="W1178" s="68">
        <f t="shared" si="241"/>
        <v>304.58978932584267</v>
      </c>
    </row>
    <row r="1179" spans="1:23" x14ac:dyDescent="0.25">
      <c r="A1179" s="1" t="s">
        <v>893</v>
      </c>
      <c r="B1179" s="61" t="s">
        <v>397</v>
      </c>
      <c r="C1179" s="1" t="s">
        <v>591</v>
      </c>
      <c r="D1179" s="1" t="s">
        <v>595</v>
      </c>
      <c r="E1179" s="1" t="s">
        <v>384</v>
      </c>
      <c r="F1179" s="62" t="str">
        <f t="shared" si="242"/>
        <v>64571</v>
      </c>
      <c r="G1179" s="1">
        <v>10620009</v>
      </c>
      <c r="H1179" s="1" t="s">
        <v>388</v>
      </c>
      <c r="I1179" s="61">
        <v>41</v>
      </c>
      <c r="J1179" s="61">
        <v>3</v>
      </c>
      <c r="K1179" s="61">
        <v>8</v>
      </c>
      <c r="L1179" s="69">
        <f t="shared" si="231"/>
        <v>1.23</v>
      </c>
      <c r="M1179" s="69">
        <f t="shared" si="232"/>
        <v>3.28</v>
      </c>
      <c r="N1179" s="56">
        <f>INDEX(Rate_Chart!$A$1:$AK$127,MATCH(Data!J1179,Rate_Chart!$A$1:$A$127,0),MATCH(Data!K1179,Rate_Chart!$A$1:$AK$1,0))</f>
        <v>34.751112000000006</v>
      </c>
      <c r="O1179" s="57">
        <f t="shared" si="233"/>
        <v>1424.7955920000002</v>
      </c>
      <c r="P1179" s="58">
        <f t="shared" si="234"/>
        <v>417.01334400000002</v>
      </c>
      <c r="Q1179" s="58">
        <f t="shared" si="235"/>
        <v>278.00889599999999</v>
      </c>
      <c r="R1179" s="66">
        <f t="shared" si="236"/>
        <v>24.933922860000006</v>
      </c>
      <c r="S1179" s="64">
        <f t="shared" si="237"/>
        <v>153.75</v>
      </c>
      <c r="T1179" s="66">
        <f t="shared" si="238"/>
        <v>1603.4795148600001</v>
      </c>
      <c r="U1179" s="68">
        <f t="shared" si="239"/>
        <v>39.109256460000005</v>
      </c>
      <c r="V1179" s="68">
        <f t="shared" si="240"/>
        <v>469.31107752000003</v>
      </c>
      <c r="W1179" s="68">
        <f t="shared" si="241"/>
        <v>312.87405168000004</v>
      </c>
    </row>
    <row r="1180" spans="1:23" x14ac:dyDescent="0.25">
      <c r="A1180" s="1" t="s">
        <v>894</v>
      </c>
      <c r="B1180" s="61" t="s">
        <v>396</v>
      </c>
      <c r="C1180" s="1" t="s">
        <v>591</v>
      </c>
      <c r="D1180" s="1" t="s">
        <v>595</v>
      </c>
      <c r="E1180" s="1" t="s">
        <v>384</v>
      </c>
      <c r="F1180" s="62" t="str">
        <f t="shared" si="242"/>
        <v>64571</v>
      </c>
      <c r="G1180" s="1">
        <v>10620009</v>
      </c>
      <c r="H1180" s="1" t="s">
        <v>387</v>
      </c>
      <c r="I1180" s="61">
        <v>40</v>
      </c>
      <c r="J1180" s="61">
        <v>7.7</v>
      </c>
      <c r="K1180" s="61">
        <v>8.8000000000000007</v>
      </c>
      <c r="L1180" s="69">
        <f t="shared" si="231"/>
        <v>3.08</v>
      </c>
      <c r="M1180" s="69">
        <f t="shared" si="232"/>
        <v>3.52</v>
      </c>
      <c r="N1180" s="56">
        <f>INDEX(Rate_Chart!$A$1:$AK$127,MATCH(Data!J1180,Rate_Chart!$A$1:$A$127,0),MATCH(Data!K1180,Rate_Chart!$A$1:$AK$1,0))</f>
        <v>63.652050000000003</v>
      </c>
      <c r="O1180" s="57">
        <f t="shared" si="233"/>
        <v>2546.0820000000003</v>
      </c>
      <c r="P1180" s="58">
        <f t="shared" si="234"/>
        <v>469.17972972972979</v>
      </c>
      <c r="Q1180" s="58">
        <f t="shared" si="235"/>
        <v>312.78648648648652</v>
      </c>
      <c r="R1180" s="66">
        <f t="shared" si="236"/>
        <v>44.556435000000008</v>
      </c>
      <c r="S1180" s="64">
        <f t="shared" si="237"/>
        <v>150</v>
      </c>
      <c r="T1180" s="66">
        <f t="shared" si="238"/>
        <v>2740.6384350000003</v>
      </c>
      <c r="U1180" s="68">
        <f t="shared" si="239"/>
        <v>68.515960875000005</v>
      </c>
      <c r="V1180" s="68">
        <f t="shared" si="240"/>
        <v>505.03165264127773</v>
      </c>
      <c r="W1180" s="68">
        <f t="shared" si="241"/>
        <v>336.68776842751851</v>
      </c>
    </row>
    <row r="1181" spans="1:23" x14ac:dyDescent="0.25">
      <c r="A1181" s="1" t="s">
        <v>894</v>
      </c>
      <c r="B1181" s="61" t="s">
        <v>396</v>
      </c>
      <c r="C1181" s="1" t="s">
        <v>591</v>
      </c>
      <c r="D1181" s="1" t="s">
        <v>595</v>
      </c>
      <c r="E1181" s="1" t="s">
        <v>384</v>
      </c>
      <c r="F1181" s="62" t="str">
        <f t="shared" si="242"/>
        <v>64571</v>
      </c>
      <c r="G1181" s="1">
        <v>10620009</v>
      </c>
      <c r="H1181" s="1" t="s">
        <v>388</v>
      </c>
      <c r="I1181" s="61">
        <v>7</v>
      </c>
      <c r="J1181" s="61">
        <v>3.3</v>
      </c>
      <c r="K1181" s="61">
        <v>8.1</v>
      </c>
      <c r="L1181" s="69">
        <f t="shared" si="231"/>
        <v>0.23099999999999998</v>
      </c>
      <c r="M1181" s="69">
        <f t="shared" si="232"/>
        <v>0.56699999999999995</v>
      </c>
      <c r="N1181" s="56">
        <f>INDEX(Rate_Chart!$A$1:$AK$127,MATCH(Data!J1181,Rate_Chart!$A$1:$A$127,0),MATCH(Data!K1181,Rate_Chart!$A$1:$AK$1,0))</f>
        <v>36.280125900000002</v>
      </c>
      <c r="O1181" s="57">
        <f t="shared" si="233"/>
        <v>253.96088130000001</v>
      </c>
      <c r="P1181" s="58">
        <f t="shared" si="234"/>
        <v>417.0129413793104</v>
      </c>
      <c r="Q1181" s="58">
        <f t="shared" si="235"/>
        <v>278.00862758620696</v>
      </c>
      <c r="R1181" s="66">
        <f t="shared" si="236"/>
        <v>4.4443154227500008</v>
      </c>
      <c r="S1181" s="64">
        <f t="shared" si="237"/>
        <v>26.25</v>
      </c>
      <c r="T1181" s="66">
        <f t="shared" si="238"/>
        <v>284.65519672275002</v>
      </c>
      <c r="U1181" s="68">
        <f t="shared" si="239"/>
        <v>40.665028103250002</v>
      </c>
      <c r="V1181" s="68">
        <f t="shared" si="240"/>
        <v>467.4141161293104</v>
      </c>
      <c r="W1181" s="68">
        <f t="shared" si="241"/>
        <v>311.6094107528736</v>
      </c>
    </row>
    <row r="1182" spans="1:23" x14ac:dyDescent="0.25">
      <c r="A1182" s="1" t="s">
        <v>894</v>
      </c>
      <c r="B1182" s="61" t="s">
        <v>397</v>
      </c>
      <c r="C1182" s="1" t="s">
        <v>591</v>
      </c>
      <c r="D1182" s="1" t="s">
        <v>595</v>
      </c>
      <c r="E1182" s="1" t="s">
        <v>384</v>
      </c>
      <c r="F1182" s="62" t="str">
        <f t="shared" si="242"/>
        <v>64571</v>
      </c>
      <c r="G1182" s="1">
        <v>10620009</v>
      </c>
      <c r="H1182" s="1" t="s">
        <v>387</v>
      </c>
      <c r="I1182" s="61">
        <v>37</v>
      </c>
      <c r="J1182" s="61">
        <v>6</v>
      </c>
      <c r="K1182" s="61">
        <v>8.8000000000000007</v>
      </c>
      <c r="L1182" s="69">
        <f t="shared" si="231"/>
        <v>2.2200000000000002</v>
      </c>
      <c r="M1182" s="69">
        <f t="shared" si="232"/>
        <v>3.2560000000000002</v>
      </c>
      <c r="N1182" s="56">
        <f>INDEX(Rate_Chart!$A$1:$AK$127,MATCH(Data!J1182,Rate_Chart!$A$1:$A$127,0),MATCH(Data!K1182,Rate_Chart!$A$1:$AK$1,0))</f>
        <v>49.599000000000004</v>
      </c>
      <c r="O1182" s="57">
        <f t="shared" si="233"/>
        <v>1835.1630000000002</v>
      </c>
      <c r="P1182" s="58">
        <f t="shared" si="234"/>
        <v>417.96910112359552</v>
      </c>
      <c r="Q1182" s="58">
        <f t="shared" si="235"/>
        <v>278.64606741573033</v>
      </c>
      <c r="R1182" s="66">
        <f t="shared" si="236"/>
        <v>32.115352500000007</v>
      </c>
      <c r="S1182" s="64">
        <f t="shared" si="237"/>
        <v>138.75</v>
      </c>
      <c r="T1182" s="66">
        <f t="shared" si="238"/>
        <v>2006.0283525000002</v>
      </c>
      <c r="U1182" s="68">
        <f t="shared" si="239"/>
        <v>54.216982500000007</v>
      </c>
      <c r="V1182" s="68">
        <f t="shared" si="240"/>
        <v>456.8846839887641</v>
      </c>
      <c r="W1182" s="68">
        <f t="shared" si="241"/>
        <v>304.58978932584273</v>
      </c>
    </row>
    <row r="1183" spans="1:23" x14ac:dyDescent="0.25">
      <c r="A1183" s="1" t="s">
        <v>894</v>
      </c>
      <c r="B1183" s="61" t="s">
        <v>397</v>
      </c>
      <c r="C1183" s="1" t="s">
        <v>591</v>
      </c>
      <c r="D1183" s="1" t="s">
        <v>595</v>
      </c>
      <c r="E1183" s="1" t="s">
        <v>384</v>
      </c>
      <c r="F1183" s="62" t="str">
        <f t="shared" si="242"/>
        <v>64571</v>
      </c>
      <c r="G1183" s="1">
        <v>10620009</v>
      </c>
      <c r="H1183" s="1" t="s">
        <v>388</v>
      </c>
      <c r="I1183" s="61">
        <v>41</v>
      </c>
      <c r="J1183" s="61">
        <v>3</v>
      </c>
      <c r="K1183" s="61">
        <v>8</v>
      </c>
      <c r="L1183" s="69">
        <f t="shared" si="231"/>
        <v>1.23</v>
      </c>
      <c r="M1183" s="69">
        <f t="shared" si="232"/>
        <v>3.28</v>
      </c>
      <c r="N1183" s="56">
        <f>INDEX(Rate_Chart!$A$1:$AK$127,MATCH(Data!J1183,Rate_Chart!$A$1:$A$127,0),MATCH(Data!K1183,Rate_Chart!$A$1:$AK$1,0))</f>
        <v>34.751112000000006</v>
      </c>
      <c r="O1183" s="57">
        <f t="shared" si="233"/>
        <v>1424.7955920000002</v>
      </c>
      <c r="P1183" s="58">
        <f t="shared" si="234"/>
        <v>417.01334400000002</v>
      </c>
      <c r="Q1183" s="58">
        <f t="shared" si="235"/>
        <v>278.00889599999999</v>
      </c>
      <c r="R1183" s="66">
        <f t="shared" si="236"/>
        <v>24.933922860000006</v>
      </c>
      <c r="S1183" s="64">
        <f t="shared" si="237"/>
        <v>153.75</v>
      </c>
      <c r="T1183" s="66">
        <f t="shared" si="238"/>
        <v>1603.4795148600001</v>
      </c>
      <c r="U1183" s="68">
        <f t="shared" si="239"/>
        <v>39.109256460000005</v>
      </c>
      <c r="V1183" s="68">
        <f t="shared" si="240"/>
        <v>469.31107752000003</v>
      </c>
      <c r="W1183" s="68">
        <f t="shared" si="241"/>
        <v>312.87405168000004</v>
      </c>
    </row>
    <row r="1184" spans="1:23" x14ac:dyDescent="0.25">
      <c r="A1184" s="1" t="s">
        <v>888</v>
      </c>
      <c r="B1184" s="61" t="s">
        <v>396</v>
      </c>
      <c r="C1184" s="1" t="s">
        <v>591</v>
      </c>
      <c r="D1184" s="1" t="s">
        <v>592</v>
      </c>
      <c r="E1184" s="1" t="s">
        <v>385</v>
      </c>
      <c r="F1184" s="62" t="str">
        <f t="shared" si="242"/>
        <v>64573</v>
      </c>
      <c r="G1184" s="1">
        <v>10620053</v>
      </c>
      <c r="H1184" s="1" t="s">
        <v>388</v>
      </c>
      <c r="I1184" s="61">
        <v>41</v>
      </c>
      <c r="J1184" s="61">
        <v>3.3</v>
      </c>
      <c r="K1184" s="61">
        <v>8.1</v>
      </c>
      <c r="L1184" s="69">
        <f t="shared" si="231"/>
        <v>1.3529999999999998</v>
      </c>
      <c r="M1184" s="69">
        <f t="shared" si="232"/>
        <v>3.3209999999999997</v>
      </c>
      <c r="N1184" s="56">
        <f>INDEX(Rate_Chart!$A$1:$AK$127,MATCH(Data!J1184,Rate_Chart!$A$1:$A$127,0),MATCH(Data!K1184,Rate_Chart!$A$1:$AK$1,0))</f>
        <v>36.280125900000002</v>
      </c>
      <c r="O1184" s="57">
        <f t="shared" si="233"/>
        <v>1487.4851619000001</v>
      </c>
      <c r="P1184" s="58">
        <f t="shared" si="234"/>
        <v>417.0129413793104</v>
      </c>
      <c r="Q1184" s="58">
        <f t="shared" si="235"/>
        <v>278.00862758620696</v>
      </c>
      <c r="R1184" s="66">
        <f t="shared" si="236"/>
        <v>26.030990333250003</v>
      </c>
      <c r="S1184" s="64">
        <f t="shared" si="237"/>
        <v>153.75</v>
      </c>
      <c r="T1184" s="66">
        <f t="shared" si="238"/>
        <v>1667.2661522332501</v>
      </c>
      <c r="U1184" s="68">
        <f t="shared" si="239"/>
        <v>40.665028103250002</v>
      </c>
      <c r="V1184" s="68">
        <f t="shared" si="240"/>
        <v>467.4141161293104</v>
      </c>
      <c r="W1184" s="68">
        <f t="shared" si="241"/>
        <v>311.6094107528736</v>
      </c>
    </row>
    <row r="1185" spans="1:23" x14ac:dyDescent="0.25">
      <c r="A1185" s="1" t="s">
        <v>888</v>
      </c>
      <c r="B1185" s="61" t="s">
        <v>397</v>
      </c>
      <c r="C1185" s="1" t="s">
        <v>591</v>
      </c>
      <c r="D1185" s="1" t="s">
        <v>592</v>
      </c>
      <c r="E1185" s="1" t="s">
        <v>385</v>
      </c>
      <c r="F1185" s="62" t="str">
        <f t="shared" si="242"/>
        <v>64573</v>
      </c>
      <c r="G1185" s="1">
        <v>10620053</v>
      </c>
      <c r="H1185" s="1" t="s">
        <v>388</v>
      </c>
      <c r="I1185" s="61">
        <v>28</v>
      </c>
      <c r="J1185" s="61">
        <v>4.0999999999999996</v>
      </c>
      <c r="K1185" s="61">
        <v>8.1</v>
      </c>
      <c r="L1185" s="69">
        <f t="shared" si="231"/>
        <v>1.1479999999999999</v>
      </c>
      <c r="M1185" s="69">
        <f t="shared" si="232"/>
        <v>2.2679999999999998</v>
      </c>
      <c r="N1185" s="56">
        <f>INDEX(Rate_Chart!$A$1:$AK$127,MATCH(Data!J1185,Rate_Chart!$A$1:$A$127,0),MATCH(Data!K1185,Rate_Chart!$A$1:$AK$1,0))</f>
        <v>39.6161259</v>
      </c>
      <c r="O1185" s="57">
        <f t="shared" si="233"/>
        <v>1109.2515252000001</v>
      </c>
      <c r="P1185" s="58">
        <f t="shared" si="234"/>
        <v>417.01185157894736</v>
      </c>
      <c r="Q1185" s="58">
        <f t="shared" si="235"/>
        <v>278.00790105263155</v>
      </c>
      <c r="R1185" s="66">
        <f t="shared" si="236"/>
        <v>19.411901691000004</v>
      </c>
      <c r="S1185" s="64">
        <f t="shared" si="237"/>
        <v>105</v>
      </c>
      <c r="T1185" s="66">
        <f t="shared" si="238"/>
        <v>1233.663426891</v>
      </c>
      <c r="U1185" s="68">
        <f t="shared" si="239"/>
        <v>44.05940810325</v>
      </c>
      <c r="V1185" s="68">
        <f t="shared" si="240"/>
        <v>463.78324319210526</v>
      </c>
      <c r="W1185" s="68">
        <f t="shared" si="241"/>
        <v>309.18882879473682</v>
      </c>
    </row>
    <row r="1186" spans="1:23" x14ac:dyDescent="0.25">
      <c r="A1186" s="1" t="s">
        <v>889</v>
      </c>
      <c r="B1186" s="61" t="s">
        <v>396</v>
      </c>
      <c r="C1186" s="1" t="s">
        <v>591</v>
      </c>
      <c r="D1186" s="1" t="s">
        <v>592</v>
      </c>
      <c r="E1186" s="1" t="s">
        <v>385</v>
      </c>
      <c r="F1186" s="62" t="str">
        <f t="shared" si="242"/>
        <v>64573</v>
      </c>
      <c r="G1186" s="1">
        <v>10620053</v>
      </c>
      <c r="H1186" s="1" t="s">
        <v>388</v>
      </c>
      <c r="I1186" s="61">
        <v>26</v>
      </c>
      <c r="J1186" s="61">
        <v>3.4</v>
      </c>
      <c r="K1186" s="61">
        <v>8.1</v>
      </c>
      <c r="L1186" s="69">
        <f t="shared" si="231"/>
        <v>0.8839999999999999</v>
      </c>
      <c r="M1186" s="69">
        <f t="shared" si="232"/>
        <v>2.1059999999999999</v>
      </c>
      <c r="N1186" s="56">
        <f>INDEX(Rate_Chart!$A$1:$AK$127,MATCH(Data!J1186,Rate_Chart!$A$1:$A$127,0),MATCH(Data!K1186,Rate_Chart!$A$1:$AK$1,0))</f>
        <v>36.697125900000003</v>
      </c>
      <c r="O1186" s="57">
        <f t="shared" si="233"/>
        <v>954.12527340000008</v>
      </c>
      <c r="P1186" s="58">
        <f t="shared" si="234"/>
        <v>417.01279431818188</v>
      </c>
      <c r="Q1186" s="58">
        <f t="shared" si="235"/>
        <v>278.00852954545456</v>
      </c>
      <c r="R1186" s="66">
        <f t="shared" si="236"/>
        <v>16.697192284500002</v>
      </c>
      <c r="S1186" s="64">
        <f t="shared" si="237"/>
        <v>97.5</v>
      </c>
      <c r="T1186" s="66">
        <f t="shared" si="238"/>
        <v>1068.3224656845</v>
      </c>
      <c r="U1186" s="68">
        <f t="shared" si="239"/>
        <v>41.089325603250003</v>
      </c>
      <c r="V1186" s="68">
        <f t="shared" si="240"/>
        <v>466.92415458238645</v>
      </c>
      <c r="W1186" s="68">
        <f t="shared" si="241"/>
        <v>311.28276972159097</v>
      </c>
    </row>
    <row r="1187" spans="1:23" x14ac:dyDescent="0.25">
      <c r="A1187" s="1" t="s">
        <v>889</v>
      </c>
      <c r="B1187" s="61" t="s">
        <v>397</v>
      </c>
      <c r="C1187" s="1" t="s">
        <v>591</v>
      </c>
      <c r="D1187" s="1" t="s">
        <v>592</v>
      </c>
      <c r="E1187" s="1" t="s">
        <v>385</v>
      </c>
      <c r="F1187" s="62" t="str">
        <f t="shared" si="242"/>
        <v>64573</v>
      </c>
      <c r="G1187" s="1">
        <v>10620053</v>
      </c>
      <c r="H1187" s="1" t="s">
        <v>387</v>
      </c>
      <c r="I1187" s="61">
        <v>9</v>
      </c>
      <c r="J1187" s="61">
        <v>6.3</v>
      </c>
      <c r="K1187" s="61">
        <v>8.8000000000000007</v>
      </c>
      <c r="L1187" s="69">
        <f t="shared" si="231"/>
        <v>0.56699999999999995</v>
      </c>
      <c r="M1187" s="69">
        <f t="shared" si="232"/>
        <v>0.79200000000000004</v>
      </c>
      <c r="N1187" s="56">
        <f>INDEX(Rate_Chart!$A$1:$AK$127,MATCH(Data!J1187,Rate_Chart!$A$1:$A$127,0),MATCH(Data!K1187,Rate_Chart!$A$1:$AK$1,0))</f>
        <v>52.078949999999999</v>
      </c>
      <c r="O1187" s="57">
        <f t="shared" si="233"/>
        <v>468.71055000000001</v>
      </c>
      <c r="P1187" s="58">
        <f t="shared" si="234"/>
        <v>428.04616438356163</v>
      </c>
      <c r="Q1187" s="58">
        <f t="shared" si="235"/>
        <v>285.36410958904111</v>
      </c>
      <c r="R1187" s="66">
        <f t="shared" si="236"/>
        <v>8.2024346250000004</v>
      </c>
      <c r="S1187" s="64">
        <f t="shared" si="237"/>
        <v>33.75</v>
      </c>
      <c r="T1187" s="66">
        <f t="shared" si="238"/>
        <v>510.66298462500004</v>
      </c>
      <c r="U1187" s="68">
        <f t="shared" si="239"/>
        <v>56.740331625000003</v>
      </c>
      <c r="V1187" s="68">
        <f t="shared" si="240"/>
        <v>466.35889006849317</v>
      </c>
      <c r="W1187" s="68">
        <f t="shared" si="241"/>
        <v>310.90592671232878</v>
      </c>
    </row>
    <row r="1188" spans="1:23" x14ac:dyDescent="0.25">
      <c r="A1188" s="1" t="s">
        <v>889</v>
      </c>
      <c r="B1188" s="61" t="s">
        <v>397</v>
      </c>
      <c r="C1188" s="1" t="s">
        <v>591</v>
      </c>
      <c r="D1188" s="1" t="s">
        <v>592</v>
      </c>
      <c r="E1188" s="1" t="s">
        <v>385</v>
      </c>
      <c r="F1188" s="62" t="str">
        <f t="shared" si="242"/>
        <v>64573</v>
      </c>
      <c r="G1188" s="1">
        <v>10620053</v>
      </c>
      <c r="H1188" s="1" t="s">
        <v>388</v>
      </c>
      <c r="I1188" s="61">
        <v>50</v>
      </c>
      <c r="J1188" s="61">
        <v>3</v>
      </c>
      <c r="K1188" s="61">
        <v>8</v>
      </c>
      <c r="L1188" s="69">
        <f t="shared" si="231"/>
        <v>1.5</v>
      </c>
      <c r="M1188" s="69">
        <f t="shared" si="232"/>
        <v>4</v>
      </c>
      <c r="N1188" s="56">
        <f>INDEX(Rate_Chart!$A$1:$AK$127,MATCH(Data!J1188,Rate_Chart!$A$1:$A$127,0),MATCH(Data!K1188,Rate_Chart!$A$1:$AK$1,0))</f>
        <v>34.751112000000006</v>
      </c>
      <c r="O1188" s="57">
        <f t="shared" si="233"/>
        <v>1737.5556000000004</v>
      </c>
      <c r="P1188" s="58">
        <f t="shared" si="234"/>
        <v>417.01334400000002</v>
      </c>
      <c r="Q1188" s="58">
        <f t="shared" si="235"/>
        <v>278.00889599999999</v>
      </c>
      <c r="R1188" s="66">
        <f t="shared" si="236"/>
        <v>30.407223000000009</v>
      </c>
      <c r="S1188" s="64">
        <f t="shared" si="237"/>
        <v>187.5</v>
      </c>
      <c r="T1188" s="66">
        <f t="shared" si="238"/>
        <v>1955.4628230000003</v>
      </c>
      <c r="U1188" s="68">
        <f t="shared" si="239"/>
        <v>39.109256460000005</v>
      </c>
      <c r="V1188" s="68">
        <f t="shared" si="240"/>
        <v>469.31107752000003</v>
      </c>
      <c r="W1188" s="68">
        <f t="shared" si="241"/>
        <v>312.87405168000004</v>
      </c>
    </row>
    <row r="1189" spans="1:23" x14ac:dyDescent="0.25">
      <c r="A1189" s="1" t="s">
        <v>890</v>
      </c>
      <c r="B1189" s="61" t="s">
        <v>396</v>
      </c>
      <c r="C1189" s="1" t="s">
        <v>591</v>
      </c>
      <c r="D1189" s="1" t="s">
        <v>592</v>
      </c>
      <c r="E1189" s="1" t="s">
        <v>385</v>
      </c>
      <c r="F1189" s="62" t="str">
        <f t="shared" si="242"/>
        <v>64573</v>
      </c>
      <c r="G1189" s="1">
        <v>10620053</v>
      </c>
      <c r="H1189" s="1" t="s">
        <v>387</v>
      </c>
      <c r="I1189" s="61">
        <v>20</v>
      </c>
      <c r="J1189" s="61">
        <v>5.6</v>
      </c>
      <c r="K1189" s="61">
        <v>8.4</v>
      </c>
      <c r="L1189" s="69">
        <f t="shared" si="231"/>
        <v>1.1200000000000001</v>
      </c>
      <c r="M1189" s="69">
        <f t="shared" si="232"/>
        <v>1.68</v>
      </c>
      <c r="N1189" s="56">
        <f>INDEX(Rate_Chart!$A$1:$AK$127,MATCH(Data!J1189,Rate_Chart!$A$1:$A$127,0),MATCH(Data!K1189,Rate_Chart!$A$1:$AK$1,0))</f>
        <v>45.357199999999999</v>
      </c>
      <c r="O1189" s="57">
        <f t="shared" si="233"/>
        <v>907.14400000000001</v>
      </c>
      <c r="P1189" s="58">
        <f t="shared" si="234"/>
        <v>404.97500000000002</v>
      </c>
      <c r="Q1189" s="58">
        <f t="shared" si="235"/>
        <v>269.98333333333335</v>
      </c>
      <c r="R1189" s="66">
        <f t="shared" si="236"/>
        <v>15.875020000000001</v>
      </c>
      <c r="S1189" s="64">
        <f t="shared" si="237"/>
        <v>75</v>
      </c>
      <c r="T1189" s="66">
        <f t="shared" si="238"/>
        <v>998.01901999999995</v>
      </c>
      <c r="U1189" s="68">
        <f t="shared" si="239"/>
        <v>49.900950999999999</v>
      </c>
      <c r="V1189" s="68">
        <f t="shared" si="240"/>
        <v>445.54420535714291</v>
      </c>
      <c r="W1189" s="68">
        <f t="shared" si="241"/>
        <v>297.02947023809526</v>
      </c>
    </row>
    <row r="1190" spans="1:23" x14ac:dyDescent="0.25">
      <c r="A1190" s="1" t="s">
        <v>890</v>
      </c>
      <c r="B1190" s="61" t="s">
        <v>396</v>
      </c>
      <c r="C1190" s="1" t="s">
        <v>591</v>
      </c>
      <c r="D1190" s="1" t="s">
        <v>592</v>
      </c>
      <c r="E1190" s="1" t="s">
        <v>385</v>
      </c>
      <c r="F1190" s="62" t="str">
        <f t="shared" si="242"/>
        <v>64573</v>
      </c>
      <c r="G1190" s="1">
        <v>10620053</v>
      </c>
      <c r="H1190" s="1" t="s">
        <v>388</v>
      </c>
      <c r="I1190" s="61">
        <v>50</v>
      </c>
      <c r="J1190" s="61">
        <v>3</v>
      </c>
      <c r="K1190" s="61">
        <v>8</v>
      </c>
      <c r="L1190" s="69">
        <f t="shared" si="231"/>
        <v>1.5</v>
      </c>
      <c r="M1190" s="69">
        <f t="shared" si="232"/>
        <v>4</v>
      </c>
      <c r="N1190" s="56">
        <f>INDEX(Rate_Chart!$A$1:$AK$127,MATCH(Data!J1190,Rate_Chart!$A$1:$A$127,0),MATCH(Data!K1190,Rate_Chart!$A$1:$AK$1,0))</f>
        <v>34.751112000000006</v>
      </c>
      <c r="O1190" s="57">
        <f t="shared" si="233"/>
        <v>1737.5556000000004</v>
      </c>
      <c r="P1190" s="58">
        <f t="shared" si="234"/>
        <v>417.01334400000002</v>
      </c>
      <c r="Q1190" s="58">
        <f t="shared" si="235"/>
        <v>278.00889599999999</v>
      </c>
      <c r="R1190" s="66">
        <f t="shared" si="236"/>
        <v>30.407223000000009</v>
      </c>
      <c r="S1190" s="64">
        <f t="shared" si="237"/>
        <v>187.5</v>
      </c>
      <c r="T1190" s="66">
        <f t="shared" si="238"/>
        <v>1955.4628230000003</v>
      </c>
      <c r="U1190" s="68">
        <f t="shared" si="239"/>
        <v>39.109256460000005</v>
      </c>
      <c r="V1190" s="68">
        <f t="shared" si="240"/>
        <v>469.31107752000003</v>
      </c>
      <c r="W1190" s="68">
        <f t="shared" si="241"/>
        <v>312.87405168000004</v>
      </c>
    </row>
    <row r="1191" spans="1:23" x14ac:dyDescent="0.25">
      <c r="A1191" s="1" t="s">
        <v>890</v>
      </c>
      <c r="B1191" s="61" t="s">
        <v>397</v>
      </c>
      <c r="C1191" s="1" t="s">
        <v>591</v>
      </c>
      <c r="D1191" s="1" t="s">
        <v>592</v>
      </c>
      <c r="E1191" s="1" t="s">
        <v>385</v>
      </c>
      <c r="F1191" s="62" t="str">
        <f t="shared" si="242"/>
        <v>64573</v>
      </c>
      <c r="G1191" s="1">
        <v>10620053</v>
      </c>
      <c r="H1191" s="1" t="s">
        <v>387</v>
      </c>
      <c r="I1191" s="61">
        <v>12</v>
      </c>
      <c r="J1191" s="61">
        <v>6.3</v>
      </c>
      <c r="K1191" s="61">
        <v>8.8000000000000007</v>
      </c>
      <c r="L1191" s="69">
        <f t="shared" si="231"/>
        <v>0.75599999999999989</v>
      </c>
      <c r="M1191" s="69">
        <f t="shared" si="232"/>
        <v>1.056</v>
      </c>
      <c r="N1191" s="56">
        <f>INDEX(Rate_Chart!$A$1:$AK$127,MATCH(Data!J1191,Rate_Chart!$A$1:$A$127,0),MATCH(Data!K1191,Rate_Chart!$A$1:$AK$1,0))</f>
        <v>52.078949999999999</v>
      </c>
      <c r="O1191" s="57">
        <f t="shared" si="233"/>
        <v>624.94740000000002</v>
      </c>
      <c r="P1191" s="58">
        <f t="shared" si="234"/>
        <v>428.04616438356163</v>
      </c>
      <c r="Q1191" s="58">
        <f t="shared" si="235"/>
        <v>285.36410958904111</v>
      </c>
      <c r="R1191" s="66">
        <f t="shared" si="236"/>
        <v>10.936579500000001</v>
      </c>
      <c r="S1191" s="64">
        <f t="shared" si="237"/>
        <v>45</v>
      </c>
      <c r="T1191" s="66">
        <f t="shared" si="238"/>
        <v>680.88397950000001</v>
      </c>
      <c r="U1191" s="68">
        <f t="shared" si="239"/>
        <v>56.740331625000003</v>
      </c>
      <c r="V1191" s="68">
        <f t="shared" si="240"/>
        <v>466.35889006849317</v>
      </c>
      <c r="W1191" s="68">
        <f t="shared" si="241"/>
        <v>310.90592671232878</v>
      </c>
    </row>
    <row r="1192" spans="1:23" x14ac:dyDescent="0.25">
      <c r="A1192" s="1" t="s">
        <v>890</v>
      </c>
      <c r="B1192" s="61" t="s">
        <v>397</v>
      </c>
      <c r="C1192" s="1" t="s">
        <v>591</v>
      </c>
      <c r="D1192" s="1" t="s">
        <v>592</v>
      </c>
      <c r="E1192" s="1" t="s">
        <v>385</v>
      </c>
      <c r="F1192" s="62" t="str">
        <f t="shared" si="242"/>
        <v>64573</v>
      </c>
      <c r="G1192" s="1">
        <v>10620053</v>
      </c>
      <c r="H1192" s="1" t="s">
        <v>388</v>
      </c>
      <c r="I1192" s="61">
        <v>39</v>
      </c>
      <c r="J1192" s="61">
        <v>3</v>
      </c>
      <c r="K1192" s="61">
        <v>8.1</v>
      </c>
      <c r="L1192" s="69">
        <f t="shared" si="231"/>
        <v>1.17</v>
      </c>
      <c r="M1192" s="69">
        <f t="shared" si="232"/>
        <v>3.1589999999999998</v>
      </c>
      <c r="N1192" s="56">
        <f>INDEX(Rate_Chart!$A$1:$AK$127,MATCH(Data!J1192,Rate_Chart!$A$1:$A$127,0),MATCH(Data!K1192,Rate_Chart!$A$1:$AK$1,0))</f>
        <v>35.029125900000004</v>
      </c>
      <c r="O1192" s="57">
        <f t="shared" si="233"/>
        <v>1366.1359101</v>
      </c>
      <c r="P1192" s="58">
        <f t="shared" si="234"/>
        <v>417.01340357142868</v>
      </c>
      <c r="Q1192" s="58">
        <f t="shared" si="235"/>
        <v>278.00893571428577</v>
      </c>
      <c r="R1192" s="66">
        <f t="shared" si="236"/>
        <v>23.907378426750004</v>
      </c>
      <c r="S1192" s="64">
        <f t="shared" si="237"/>
        <v>146.25</v>
      </c>
      <c r="T1192" s="66">
        <f t="shared" si="238"/>
        <v>1536.2932885267501</v>
      </c>
      <c r="U1192" s="68">
        <f t="shared" si="239"/>
        <v>39.392135603250004</v>
      </c>
      <c r="V1192" s="68">
        <f t="shared" si="240"/>
        <v>468.9539952767858</v>
      </c>
      <c r="W1192" s="68">
        <f t="shared" si="241"/>
        <v>312.63599685119055</v>
      </c>
    </row>
    <row r="1193" spans="1:23" x14ac:dyDescent="0.25">
      <c r="A1193" s="1" t="s">
        <v>891</v>
      </c>
      <c r="B1193" s="61" t="s">
        <v>396</v>
      </c>
      <c r="C1193" s="1" t="s">
        <v>591</v>
      </c>
      <c r="D1193" s="1" t="s">
        <v>592</v>
      </c>
      <c r="E1193" s="1" t="s">
        <v>385</v>
      </c>
      <c r="F1193" s="62" t="str">
        <f t="shared" si="242"/>
        <v>64573</v>
      </c>
      <c r="G1193" s="1">
        <v>10620053</v>
      </c>
      <c r="H1193" s="1" t="s">
        <v>387</v>
      </c>
      <c r="I1193" s="61">
        <v>10</v>
      </c>
      <c r="J1193" s="61">
        <v>5.9</v>
      </c>
      <c r="K1193" s="61">
        <v>8.8000000000000007</v>
      </c>
      <c r="L1193" s="69">
        <f t="shared" si="231"/>
        <v>0.59</v>
      </c>
      <c r="M1193" s="69">
        <f t="shared" si="232"/>
        <v>0.88</v>
      </c>
      <c r="N1193" s="56">
        <f>INDEX(Rate_Chart!$A$1:$AK$127,MATCH(Data!J1193,Rate_Chart!$A$1:$A$127,0),MATCH(Data!K1193,Rate_Chart!$A$1:$AK$1,0))</f>
        <v>48.772350000000003</v>
      </c>
      <c r="O1193" s="57">
        <f t="shared" si="233"/>
        <v>487.72350000000006</v>
      </c>
      <c r="P1193" s="58">
        <f t="shared" si="234"/>
        <v>414.49589235127479</v>
      </c>
      <c r="Q1193" s="58">
        <f t="shared" si="235"/>
        <v>276.33059490084986</v>
      </c>
      <c r="R1193" s="66">
        <f t="shared" si="236"/>
        <v>8.5351612500000016</v>
      </c>
      <c r="S1193" s="64">
        <f t="shared" si="237"/>
        <v>37.5</v>
      </c>
      <c r="T1193" s="66">
        <f t="shared" si="238"/>
        <v>533.75866125000005</v>
      </c>
      <c r="U1193" s="68">
        <f t="shared" si="239"/>
        <v>53.375866125000002</v>
      </c>
      <c r="V1193" s="68">
        <f t="shared" si="240"/>
        <v>453.61925885269125</v>
      </c>
      <c r="W1193" s="68">
        <f t="shared" si="241"/>
        <v>302.41283923512748</v>
      </c>
    </row>
    <row r="1194" spans="1:23" x14ac:dyDescent="0.25">
      <c r="A1194" s="1" t="s">
        <v>891</v>
      </c>
      <c r="B1194" s="61" t="s">
        <v>396</v>
      </c>
      <c r="C1194" s="1" t="s">
        <v>591</v>
      </c>
      <c r="D1194" s="1" t="s">
        <v>592</v>
      </c>
      <c r="E1194" s="1" t="s">
        <v>385</v>
      </c>
      <c r="F1194" s="62" t="str">
        <f t="shared" si="242"/>
        <v>64573</v>
      </c>
      <c r="G1194" s="1">
        <v>10620053</v>
      </c>
      <c r="H1194" s="1" t="s">
        <v>388</v>
      </c>
      <c r="I1194" s="61">
        <v>40</v>
      </c>
      <c r="J1194" s="61">
        <v>3.4</v>
      </c>
      <c r="K1194" s="61">
        <v>8.1999999999999993</v>
      </c>
      <c r="L1194" s="69">
        <f t="shared" si="231"/>
        <v>1.36</v>
      </c>
      <c r="M1194" s="69">
        <f t="shared" si="232"/>
        <v>3.28</v>
      </c>
      <c r="N1194" s="56">
        <f>INDEX(Rate_Chart!$A$1:$AK$127,MATCH(Data!J1194,Rate_Chart!$A$1:$A$127,0),MATCH(Data!K1194,Rate_Chart!$A$1:$AK$1,0))</f>
        <v>36.975139800000001</v>
      </c>
      <c r="O1194" s="57">
        <f t="shared" si="233"/>
        <v>1479.005592</v>
      </c>
      <c r="P1194" s="58">
        <f t="shared" si="234"/>
        <v>417.01285488721805</v>
      </c>
      <c r="Q1194" s="58">
        <f t="shared" si="235"/>
        <v>278.00856992481204</v>
      </c>
      <c r="R1194" s="66">
        <f t="shared" si="236"/>
        <v>25.882597860000001</v>
      </c>
      <c r="S1194" s="64">
        <f t="shared" si="237"/>
        <v>150</v>
      </c>
      <c r="T1194" s="66">
        <f t="shared" si="238"/>
        <v>1654.88818986</v>
      </c>
      <c r="U1194" s="68">
        <f t="shared" si="239"/>
        <v>41.372204746500003</v>
      </c>
      <c r="V1194" s="68">
        <f t="shared" si="240"/>
        <v>466.60381293045111</v>
      </c>
      <c r="W1194" s="68">
        <f t="shared" si="241"/>
        <v>311.06920862030074</v>
      </c>
    </row>
    <row r="1195" spans="1:23" x14ac:dyDescent="0.25">
      <c r="A1195" s="1" t="s">
        <v>891</v>
      </c>
      <c r="B1195" s="61" t="s">
        <v>397</v>
      </c>
      <c r="C1195" s="1" t="s">
        <v>591</v>
      </c>
      <c r="D1195" s="1" t="s">
        <v>592</v>
      </c>
      <c r="E1195" s="1" t="s">
        <v>385</v>
      </c>
      <c r="F1195" s="62" t="str">
        <f t="shared" si="242"/>
        <v>64573</v>
      </c>
      <c r="G1195" s="1">
        <v>10620053</v>
      </c>
      <c r="H1195" s="1" t="s">
        <v>387</v>
      </c>
      <c r="I1195" s="61">
        <v>19</v>
      </c>
      <c r="J1195" s="61">
        <v>6</v>
      </c>
      <c r="K1195" s="61">
        <v>8.8000000000000007</v>
      </c>
      <c r="L1195" s="69">
        <f t="shared" si="231"/>
        <v>1.1399999999999999</v>
      </c>
      <c r="M1195" s="69">
        <f t="shared" si="232"/>
        <v>1.6720000000000002</v>
      </c>
      <c r="N1195" s="56">
        <f>INDEX(Rate_Chart!$A$1:$AK$127,MATCH(Data!J1195,Rate_Chart!$A$1:$A$127,0),MATCH(Data!K1195,Rate_Chart!$A$1:$AK$1,0))</f>
        <v>49.599000000000004</v>
      </c>
      <c r="O1195" s="57">
        <f t="shared" si="233"/>
        <v>942.38100000000009</v>
      </c>
      <c r="P1195" s="58">
        <f t="shared" si="234"/>
        <v>417.96910112359552</v>
      </c>
      <c r="Q1195" s="58">
        <f t="shared" si="235"/>
        <v>278.64606741573033</v>
      </c>
      <c r="R1195" s="66">
        <f t="shared" si="236"/>
        <v>16.491667500000002</v>
      </c>
      <c r="S1195" s="64">
        <f t="shared" si="237"/>
        <v>71.25</v>
      </c>
      <c r="T1195" s="66">
        <f t="shared" si="238"/>
        <v>1030.1226675</v>
      </c>
      <c r="U1195" s="68">
        <f t="shared" si="239"/>
        <v>54.2169825</v>
      </c>
      <c r="V1195" s="68">
        <f t="shared" si="240"/>
        <v>456.88468398876404</v>
      </c>
      <c r="W1195" s="68">
        <f t="shared" si="241"/>
        <v>304.58978932584267</v>
      </c>
    </row>
    <row r="1196" spans="1:23" x14ac:dyDescent="0.25">
      <c r="A1196" s="1" t="s">
        <v>891</v>
      </c>
      <c r="B1196" s="61" t="s">
        <v>397</v>
      </c>
      <c r="C1196" s="1" t="s">
        <v>591</v>
      </c>
      <c r="D1196" s="1" t="s">
        <v>592</v>
      </c>
      <c r="E1196" s="1" t="s">
        <v>385</v>
      </c>
      <c r="F1196" s="62" t="str">
        <f t="shared" si="242"/>
        <v>64573</v>
      </c>
      <c r="G1196" s="1">
        <v>10620053</v>
      </c>
      <c r="H1196" s="1" t="s">
        <v>388</v>
      </c>
      <c r="I1196" s="61">
        <v>36</v>
      </c>
      <c r="J1196" s="61">
        <v>3</v>
      </c>
      <c r="K1196" s="61">
        <v>8</v>
      </c>
      <c r="L1196" s="69">
        <f t="shared" si="231"/>
        <v>1.08</v>
      </c>
      <c r="M1196" s="69">
        <f t="shared" si="232"/>
        <v>2.88</v>
      </c>
      <c r="N1196" s="56">
        <f>INDEX(Rate_Chart!$A$1:$AK$127,MATCH(Data!J1196,Rate_Chart!$A$1:$A$127,0),MATCH(Data!K1196,Rate_Chart!$A$1:$AK$1,0))</f>
        <v>34.751112000000006</v>
      </c>
      <c r="O1196" s="57">
        <f t="shared" si="233"/>
        <v>1251.0400320000003</v>
      </c>
      <c r="P1196" s="58">
        <f t="shared" si="234"/>
        <v>417.01334400000002</v>
      </c>
      <c r="Q1196" s="58">
        <f t="shared" si="235"/>
        <v>278.00889599999999</v>
      </c>
      <c r="R1196" s="66">
        <f t="shared" si="236"/>
        <v>21.893200560000007</v>
      </c>
      <c r="S1196" s="64">
        <f t="shared" si="237"/>
        <v>135</v>
      </c>
      <c r="T1196" s="66">
        <f t="shared" si="238"/>
        <v>1407.9332325600003</v>
      </c>
      <c r="U1196" s="68">
        <f t="shared" si="239"/>
        <v>39.109256460000012</v>
      </c>
      <c r="V1196" s="68">
        <f t="shared" si="240"/>
        <v>469.31107752000008</v>
      </c>
      <c r="W1196" s="68">
        <f t="shared" si="241"/>
        <v>312.87405168000004</v>
      </c>
    </row>
    <row r="1197" spans="1:23" x14ac:dyDescent="0.25">
      <c r="A1197" s="1" t="s">
        <v>892</v>
      </c>
      <c r="B1197" s="61" t="s">
        <v>396</v>
      </c>
      <c r="C1197" s="1" t="s">
        <v>591</v>
      </c>
      <c r="D1197" s="1" t="s">
        <v>592</v>
      </c>
      <c r="E1197" s="1" t="s">
        <v>385</v>
      </c>
      <c r="F1197" s="62" t="str">
        <f t="shared" si="242"/>
        <v>64573</v>
      </c>
      <c r="G1197" s="1">
        <v>10620053</v>
      </c>
      <c r="H1197" s="1" t="s">
        <v>388</v>
      </c>
      <c r="I1197" s="61">
        <v>41</v>
      </c>
      <c r="J1197" s="61">
        <v>4.2</v>
      </c>
      <c r="K1197" s="61">
        <v>8.1999999999999993</v>
      </c>
      <c r="L1197" s="69">
        <f t="shared" si="231"/>
        <v>1.7220000000000002</v>
      </c>
      <c r="M1197" s="69">
        <f t="shared" si="232"/>
        <v>3.3620000000000001</v>
      </c>
      <c r="N1197" s="56">
        <f>INDEX(Rate_Chart!$A$1:$AK$127,MATCH(Data!J1197,Rate_Chart!$A$1:$A$127,0),MATCH(Data!K1197,Rate_Chart!$A$1:$AK$1,0))</f>
        <v>40.311139799999999</v>
      </c>
      <c r="O1197" s="57">
        <f t="shared" si="233"/>
        <v>1652.7567317999999</v>
      </c>
      <c r="P1197" s="58">
        <f t="shared" si="234"/>
        <v>417.01179103448277</v>
      </c>
      <c r="Q1197" s="58">
        <f t="shared" si="235"/>
        <v>278.00786068965516</v>
      </c>
      <c r="R1197" s="66">
        <f t="shared" si="236"/>
        <v>28.923242806499999</v>
      </c>
      <c r="S1197" s="64">
        <f t="shared" si="237"/>
        <v>153.75</v>
      </c>
      <c r="T1197" s="66">
        <f t="shared" si="238"/>
        <v>1835.4299746064999</v>
      </c>
      <c r="U1197" s="68">
        <f t="shared" si="239"/>
        <v>44.766584746499994</v>
      </c>
      <c r="V1197" s="68">
        <f t="shared" si="240"/>
        <v>463.102600825862</v>
      </c>
      <c r="W1197" s="68">
        <f t="shared" si="241"/>
        <v>308.73506721724135</v>
      </c>
    </row>
    <row r="1198" spans="1:23" x14ac:dyDescent="0.25">
      <c r="A1198" s="1" t="s">
        <v>892</v>
      </c>
      <c r="B1198" s="61" t="s">
        <v>397</v>
      </c>
      <c r="C1198" s="1" t="s">
        <v>591</v>
      </c>
      <c r="D1198" s="1" t="s">
        <v>592</v>
      </c>
      <c r="E1198" s="1" t="s">
        <v>385</v>
      </c>
      <c r="F1198" s="62" t="str">
        <f t="shared" si="242"/>
        <v>64573</v>
      </c>
      <c r="G1198" s="1">
        <v>10620053</v>
      </c>
      <c r="H1198" s="1" t="s">
        <v>387</v>
      </c>
      <c r="I1198" s="61">
        <v>17</v>
      </c>
      <c r="J1198" s="61">
        <v>5.8</v>
      </c>
      <c r="K1198" s="61">
        <v>8.8000000000000007</v>
      </c>
      <c r="L1198" s="69">
        <f t="shared" si="231"/>
        <v>0.98599999999999999</v>
      </c>
      <c r="M1198" s="69">
        <f t="shared" si="232"/>
        <v>1.4960000000000002</v>
      </c>
      <c r="N1198" s="56">
        <f>INDEX(Rate_Chart!$A$1:$AK$127,MATCH(Data!J1198,Rate_Chart!$A$1:$A$127,0),MATCH(Data!K1198,Rate_Chart!$A$1:$AK$1,0))</f>
        <v>47.945700000000002</v>
      </c>
      <c r="O1198" s="57">
        <f t="shared" si="233"/>
        <v>815.07690000000002</v>
      </c>
      <c r="P1198" s="58">
        <f t="shared" si="234"/>
        <v>410.96314285714288</v>
      </c>
      <c r="Q1198" s="58">
        <f t="shared" si="235"/>
        <v>273.97542857142861</v>
      </c>
      <c r="R1198" s="66">
        <f t="shared" si="236"/>
        <v>14.263845750000002</v>
      </c>
      <c r="S1198" s="64">
        <f t="shared" si="237"/>
        <v>63.75</v>
      </c>
      <c r="T1198" s="66">
        <f t="shared" si="238"/>
        <v>893.09074575</v>
      </c>
      <c r="U1198" s="68">
        <f t="shared" si="239"/>
        <v>52.534749750000003</v>
      </c>
      <c r="V1198" s="68">
        <f t="shared" si="240"/>
        <v>450.29785500000003</v>
      </c>
      <c r="W1198" s="68">
        <f t="shared" si="241"/>
        <v>300.19857000000002</v>
      </c>
    </row>
    <row r="1199" spans="1:23" x14ac:dyDescent="0.25">
      <c r="A1199" s="1" t="s">
        <v>892</v>
      </c>
      <c r="B1199" s="61" t="s">
        <v>397</v>
      </c>
      <c r="C1199" s="1" t="s">
        <v>591</v>
      </c>
      <c r="D1199" s="1" t="s">
        <v>592</v>
      </c>
      <c r="E1199" s="1" t="s">
        <v>385</v>
      </c>
      <c r="F1199" s="62" t="str">
        <f t="shared" si="242"/>
        <v>64573</v>
      </c>
      <c r="G1199" s="1">
        <v>10620053</v>
      </c>
      <c r="H1199" s="1" t="s">
        <v>388</v>
      </c>
      <c r="I1199" s="61">
        <v>35</v>
      </c>
      <c r="J1199" s="61">
        <v>3</v>
      </c>
      <c r="K1199" s="61">
        <v>8</v>
      </c>
      <c r="L1199" s="69">
        <f t="shared" si="231"/>
        <v>1.05</v>
      </c>
      <c r="M1199" s="69">
        <f t="shared" si="232"/>
        <v>2.8</v>
      </c>
      <c r="N1199" s="56">
        <f>INDEX(Rate_Chart!$A$1:$AK$127,MATCH(Data!J1199,Rate_Chart!$A$1:$A$127,0),MATCH(Data!K1199,Rate_Chart!$A$1:$AK$1,0))</f>
        <v>34.751112000000006</v>
      </c>
      <c r="O1199" s="57">
        <f t="shared" si="233"/>
        <v>1216.2889200000002</v>
      </c>
      <c r="P1199" s="58">
        <f t="shared" si="234"/>
        <v>417.01334400000002</v>
      </c>
      <c r="Q1199" s="58">
        <f t="shared" si="235"/>
        <v>278.00889599999999</v>
      </c>
      <c r="R1199" s="66">
        <f t="shared" si="236"/>
        <v>21.285056100000006</v>
      </c>
      <c r="S1199" s="64">
        <f t="shared" si="237"/>
        <v>131.25</v>
      </c>
      <c r="T1199" s="66">
        <f t="shared" si="238"/>
        <v>1368.8239761000002</v>
      </c>
      <c r="U1199" s="68">
        <f t="shared" si="239"/>
        <v>39.109256460000005</v>
      </c>
      <c r="V1199" s="68">
        <f t="shared" si="240"/>
        <v>469.31107752000003</v>
      </c>
      <c r="W1199" s="68">
        <f t="shared" si="241"/>
        <v>312.87405168000004</v>
      </c>
    </row>
    <row r="1200" spans="1:23" x14ac:dyDescent="0.25">
      <c r="A1200" s="1" t="s">
        <v>893</v>
      </c>
      <c r="B1200" s="61" t="s">
        <v>396</v>
      </c>
      <c r="C1200" s="1" t="s">
        <v>591</v>
      </c>
      <c r="D1200" s="1" t="s">
        <v>592</v>
      </c>
      <c r="E1200" s="1" t="s">
        <v>385</v>
      </c>
      <c r="F1200" s="62" t="str">
        <f t="shared" si="242"/>
        <v>64573</v>
      </c>
      <c r="G1200" s="1">
        <v>10620053</v>
      </c>
      <c r="H1200" s="1" t="s">
        <v>387</v>
      </c>
      <c r="I1200" s="61">
        <v>15</v>
      </c>
      <c r="J1200" s="61">
        <v>5.8</v>
      </c>
      <c r="K1200" s="61">
        <v>8.8000000000000007</v>
      </c>
      <c r="L1200" s="69">
        <f t="shared" ref="L1200:L1263" si="243">J1200*I1200/100</f>
        <v>0.87</v>
      </c>
      <c r="M1200" s="69">
        <f t="shared" ref="M1200:M1263" si="244">K1200*I1200/100</f>
        <v>1.32</v>
      </c>
      <c r="N1200" s="56">
        <f>INDEX(Rate_Chart!$A$1:$AK$127,MATCH(Data!J1200,Rate_Chart!$A$1:$A$127,0),MATCH(Data!K1200,Rate_Chart!$A$1:$AK$1,0))</f>
        <v>47.945700000000002</v>
      </c>
      <c r="O1200" s="57">
        <f t="shared" ref="O1200:O1263" si="245">N1200*I1200</f>
        <v>719.18550000000005</v>
      </c>
      <c r="P1200" s="58">
        <f t="shared" ref="P1200:P1263" si="246">N1200/(J1200%+K1200%*2/3)</f>
        <v>410.96314285714288</v>
      </c>
      <c r="Q1200" s="58">
        <f t="shared" ref="Q1200:Q1263" si="247">P1200*2/3</f>
        <v>273.97542857142861</v>
      </c>
      <c r="R1200" s="66">
        <f t="shared" ref="R1200:R1263" si="248">O1200*1.75%</f>
        <v>12.585746250000001</v>
      </c>
      <c r="S1200" s="64">
        <f t="shared" ref="S1200:S1263" si="249">I1200*3.75</f>
        <v>56.25</v>
      </c>
      <c r="T1200" s="66">
        <f t="shared" ref="T1200:T1263" si="250">R1200+S1200+O1200</f>
        <v>788.0212462500001</v>
      </c>
      <c r="U1200" s="68">
        <f t="shared" ref="U1200:U1263" si="251">T1200/I1200</f>
        <v>52.53474975000001</v>
      </c>
      <c r="V1200" s="68">
        <f t="shared" ref="V1200:V1263" si="252">U1200/(J1200%+K1200%*2/3)</f>
        <v>450.29785500000008</v>
      </c>
      <c r="W1200" s="68">
        <f t="shared" ref="W1200:W1263" si="253">V1200*2/3</f>
        <v>300.19857000000007</v>
      </c>
    </row>
    <row r="1201" spans="1:23" x14ac:dyDescent="0.25">
      <c r="A1201" s="1" t="s">
        <v>893</v>
      </c>
      <c r="B1201" s="61" t="s">
        <v>396</v>
      </c>
      <c r="C1201" s="1" t="s">
        <v>591</v>
      </c>
      <c r="D1201" s="1" t="s">
        <v>592</v>
      </c>
      <c r="E1201" s="1" t="s">
        <v>385</v>
      </c>
      <c r="F1201" s="62" t="str">
        <f t="shared" si="242"/>
        <v>64573</v>
      </c>
      <c r="G1201" s="1">
        <v>10620053</v>
      </c>
      <c r="H1201" s="1" t="s">
        <v>388</v>
      </c>
      <c r="I1201" s="61">
        <v>31</v>
      </c>
      <c r="J1201" s="61">
        <v>3.4</v>
      </c>
      <c r="K1201" s="61">
        <v>8.1</v>
      </c>
      <c r="L1201" s="69">
        <f t="shared" si="243"/>
        <v>1.0539999999999998</v>
      </c>
      <c r="M1201" s="69">
        <f t="shared" si="244"/>
        <v>2.5110000000000001</v>
      </c>
      <c r="N1201" s="56">
        <f>INDEX(Rate_Chart!$A$1:$AK$127,MATCH(Data!J1201,Rate_Chart!$A$1:$A$127,0),MATCH(Data!K1201,Rate_Chart!$A$1:$AK$1,0))</f>
        <v>36.697125900000003</v>
      </c>
      <c r="O1201" s="57">
        <f t="shared" si="245"/>
        <v>1137.6109029000002</v>
      </c>
      <c r="P1201" s="58">
        <f t="shared" si="246"/>
        <v>417.01279431818188</v>
      </c>
      <c r="Q1201" s="58">
        <f t="shared" si="247"/>
        <v>278.00852954545456</v>
      </c>
      <c r="R1201" s="66">
        <f t="shared" si="248"/>
        <v>19.908190800750006</v>
      </c>
      <c r="S1201" s="64">
        <f t="shared" si="249"/>
        <v>116.25</v>
      </c>
      <c r="T1201" s="66">
        <f t="shared" si="250"/>
        <v>1273.7690937007501</v>
      </c>
      <c r="U1201" s="68">
        <f t="shared" si="251"/>
        <v>41.089325603250003</v>
      </c>
      <c r="V1201" s="68">
        <f t="shared" si="252"/>
        <v>466.92415458238645</v>
      </c>
      <c r="W1201" s="68">
        <f t="shared" si="253"/>
        <v>311.28276972159097</v>
      </c>
    </row>
    <row r="1202" spans="1:23" x14ac:dyDescent="0.25">
      <c r="A1202" s="1" t="s">
        <v>893</v>
      </c>
      <c r="B1202" s="61" t="s">
        <v>397</v>
      </c>
      <c r="C1202" s="1" t="s">
        <v>591</v>
      </c>
      <c r="D1202" s="1" t="s">
        <v>592</v>
      </c>
      <c r="E1202" s="1" t="s">
        <v>385</v>
      </c>
      <c r="F1202" s="62" t="str">
        <f t="shared" si="242"/>
        <v>64573</v>
      </c>
      <c r="G1202" s="1">
        <v>10620053</v>
      </c>
      <c r="H1202" s="1" t="s">
        <v>387</v>
      </c>
      <c r="I1202" s="61">
        <v>17</v>
      </c>
      <c r="J1202" s="61">
        <v>5.8</v>
      </c>
      <c r="K1202" s="61">
        <v>8.8000000000000007</v>
      </c>
      <c r="L1202" s="69">
        <f t="shared" si="243"/>
        <v>0.98599999999999999</v>
      </c>
      <c r="M1202" s="69">
        <f t="shared" si="244"/>
        <v>1.4960000000000002</v>
      </c>
      <c r="N1202" s="56">
        <f>INDEX(Rate_Chart!$A$1:$AK$127,MATCH(Data!J1202,Rate_Chart!$A$1:$A$127,0),MATCH(Data!K1202,Rate_Chart!$A$1:$AK$1,0))</f>
        <v>47.945700000000002</v>
      </c>
      <c r="O1202" s="57">
        <f t="shared" si="245"/>
        <v>815.07690000000002</v>
      </c>
      <c r="P1202" s="58">
        <f t="shared" si="246"/>
        <v>410.96314285714288</v>
      </c>
      <c r="Q1202" s="58">
        <f t="shared" si="247"/>
        <v>273.97542857142861</v>
      </c>
      <c r="R1202" s="66">
        <f t="shared" si="248"/>
        <v>14.263845750000002</v>
      </c>
      <c r="S1202" s="64">
        <f t="shared" si="249"/>
        <v>63.75</v>
      </c>
      <c r="T1202" s="66">
        <f t="shared" si="250"/>
        <v>893.09074575</v>
      </c>
      <c r="U1202" s="68">
        <f t="shared" si="251"/>
        <v>52.534749750000003</v>
      </c>
      <c r="V1202" s="68">
        <f t="shared" si="252"/>
        <v>450.29785500000003</v>
      </c>
      <c r="W1202" s="68">
        <f t="shared" si="253"/>
        <v>300.19857000000002</v>
      </c>
    </row>
    <row r="1203" spans="1:23" x14ac:dyDescent="0.25">
      <c r="A1203" s="1" t="s">
        <v>893</v>
      </c>
      <c r="B1203" s="61" t="s">
        <v>397</v>
      </c>
      <c r="C1203" s="1" t="s">
        <v>591</v>
      </c>
      <c r="D1203" s="1" t="s">
        <v>592</v>
      </c>
      <c r="E1203" s="1" t="s">
        <v>385</v>
      </c>
      <c r="F1203" s="62" t="str">
        <f t="shared" si="242"/>
        <v>64573</v>
      </c>
      <c r="G1203" s="1">
        <v>10620053</v>
      </c>
      <c r="H1203" s="1" t="s">
        <v>388</v>
      </c>
      <c r="I1203" s="61">
        <v>31</v>
      </c>
      <c r="J1203" s="61">
        <v>3</v>
      </c>
      <c r="K1203" s="61">
        <v>8</v>
      </c>
      <c r="L1203" s="69">
        <f t="shared" si="243"/>
        <v>0.93</v>
      </c>
      <c r="M1203" s="69">
        <f t="shared" si="244"/>
        <v>2.48</v>
      </c>
      <c r="N1203" s="56">
        <f>INDEX(Rate_Chart!$A$1:$AK$127,MATCH(Data!J1203,Rate_Chart!$A$1:$A$127,0),MATCH(Data!K1203,Rate_Chart!$A$1:$AK$1,0))</f>
        <v>34.751112000000006</v>
      </c>
      <c r="O1203" s="57">
        <f t="shared" si="245"/>
        <v>1077.2844720000003</v>
      </c>
      <c r="P1203" s="58">
        <f t="shared" si="246"/>
        <v>417.01334400000002</v>
      </c>
      <c r="Q1203" s="58">
        <f t="shared" si="247"/>
        <v>278.00889599999999</v>
      </c>
      <c r="R1203" s="66">
        <f t="shared" si="248"/>
        <v>18.852478260000005</v>
      </c>
      <c r="S1203" s="64">
        <f t="shared" si="249"/>
        <v>116.25</v>
      </c>
      <c r="T1203" s="66">
        <f t="shared" si="250"/>
        <v>1212.3869502600003</v>
      </c>
      <c r="U1203" s="68">
        <f t="shared" si="251"/>
        <v>39.109256460000012</v>
      </c>
      <c r="V1203" s="68">
        <f t="shared" si="252"/>
        <v>469.31107752000008</v>
      </c>
      <c r="W1203" s="68">
        <f t="shared" si="253"/>
        <v>312.87405168000004</v>
      </c>
    </row>
    <row r="1204" spans="1:23" x14ac:dyDescent="0.25">
      <c r="A1204" s="1" t="s">
        <v>894</v>
      </c>
      <c r="B1204" s="61" t="s">
        <v>396</v>
      </c>
      <c r="C1204" s="1" t="s">
        <v>591</v>
      </c>
      <c r="D1204" s="1" t="s">
        <v>592</v>
      </c>
      <c r="E1204" s="1" t="s">
        <v>385</v>
      </c>
      <c r="F1204" s="62" t="str">
        <f t="shared" si="242"/>
        <v>64573</v>
      </c>
      <c r="G1204" s="1">
        <v>10620053</v>
      </c>
      <c r="H1204" s="1" t="s">
        <v>387</v>
      </c>
      <c r="I1204" s="61">
        <v>24</v>
      </c>
      <c r="J1204" s="61">
        <v>5.6</v>
      </c>
      <c r="K1204" s="61">
        <v>8.4</v>
      </c>
      <c r="L1204" s="69">
        <f t="shared" si="243"/>
        <v>1.3439999999999999</v>
      </c>
      <c r="M1204" s="69">
        <f t="shared" si="244"/>
        <v>2.016</v>
      </c>
      <c r="N1204" s="56">
        <f>INDEX(Rate_Chart!$A$1:$AK$127,MATCH(Data!J1204,Rate_Chart!$A$1:$A$127,0),MATCH(Data!K1204,Rate_Chart!$A$1:$AK$1,0))</f>
        <v>45.357199999999999</v>
      </c>
      <c r="O1204" s="57">
        <f t="shared" si="245"/>
        <v>1088.5727999999999</v>
      </c>
      <c r="P1204" s="58">
        <f t="shared" si="246"/>
        <v>404.97500000000002</v>
      </c>
      <c r="Q1204" s="58">
        <f t="shared" si="247"/>
        <v>269.98333333333335</v>
      </c>
      <c r="R1204" s="66">
        <f t="shared" si="248"/>
        <v>19.050024000000001</v>
      </c>
      <c r="S1204" s="64">
        <f t="shared" si="249"/>
        <v>90</v>
      </c>
      <c r="T1204" s="66">
        <f t="shared" si="250"/>
        <v>1197.622824</v>
      </c>
      <c r="U1204" s="68">
        <f t="shared" si="251"/>
        <v>49.900950999999999</v>
      </c>
      <c r="V1204" s="68">
        <f t="shared" si="252"/>
        <v>445.54420535714291</v>
      </c>
      <c r="W1204" s="68">
        <f t="shared" si="253"/>
        <v>297.02947023809526</v>
      </c>
    </row>
    <row r="1205" spans="1:23" x14ac:dyDescent="0.25">
      <c r="A1205" s="1" t="s">
        <v>894</v>
      </c>
      <c r="B1205" s="61" t="s">
        <v>396</v>
      </c>
      <c r="C1205" s="1" t="s">
        <v>591</v>
      </c>
      <c r="D1205" s="1" t="s">
        <v>592</v>
      </c>
      <c r="E1205" s="1" t="s">
        <v>385</v>
      </c>
      <c r="F1205" s="62" t="str">
        <f t="shared" si="242"/>
        <v>64573</v>
      </c>
      <c r="G1205" s="1">
        <v>10620053</v>
      </c>
      <c r="H1205" s="1" t="s">
        <v>388</v>
      </c>
      <c r="I1205" s="61">
        <v>40</v>
      </c>
      <c r="J1205" s="61">
        <v>3.3</v>
      </c>
      <c r="K1205" s="61">
        <v>8.1</v>
      </c>
      <c r="L1205" s="69">
        <f t="shared" si="243"/>
        <v>1.32</v>
      </c>
      <c r="M1205" s="69">
        <f t="shared" si="244"/>
        <v>3.24</v>
      </c>
      <c r="N1205" s="56">
        <f>INDEX(Rate_Chart!$A$1:$AK$127,MATCH(Data!J1205,Rate_Chart!$A$1:$A$127,0),MATCH(Data!K1205,Rate_Chart!$A$1:$AK$1,0))</f>
        <v>36.280125900000002</v>
      </c>
      <c r="O1205" s="57">
        <f t="shared" si="245"/>
        <v>1451.2050360000001</v>
      </c>
      <c r="P1205" s="58">
        <f t="shared" si="246"/>
        <v>417.0129413793104</v>
      </c>
      <c r="Q1205" s="58">
        <f t="shared" si="247"/>
        <v>278.00862758620696</v>
      </c>
      <c r="R1205" s="66">
        <f t="shared" si="248"/>
        <v>25.396088130000003</v>
      </c>
      <c r="S1205" s="64">
        <f t="shared" si="249"/>
        <v>150</v>
      </c>
      <c r="T1205" s="66">
        <f t="shared" si="250"/>
        <v>1626.60112413</v>
      </c>
      <c r="U1205" s="68">
        <f t="shared" si="251"/>
        <v>40.665028103250002</v>
      </c>
      <c r="V1205" s="68">
        <f t="shared" si="252"/>
        <v>467.4141161293104</v>
      </c>
      <c r="W1205" s="68">
        <f t="shared" si="253"/>
        <v>311.6094107528736</v>
      </c>
    </row>
    <row r="1206" spans="1:23" x14ac:dyDescent="0.25">
      <c r="A1206" s="1" t="s">
        <v>894</v>
      </c>
      <c r="B1206" s="61" t="s">
        <v>397</v>
      </c>
      <c r="C1206" s="1" t="s">
        <v>591</v>
      </c>
      <c r="D1206" s="1" t="s">
        <v>592</v>
      </c>
      <c r="E1206" s="1" t="s">
        <v>385</v>
      </c>
      <c r="F1206" s="62" t="str">
        <f t="shared" si="242"/>
        <v>64573</v>
      </c>
      <c r="G1206" s="1">
        <v>10620053</v>
      </c>
      <c r="H1206" s="1" t="s">
        <v>387</v>
      </c>
      <c r="I1206" s="61">
        <v>21</v>
      </c>
      <c r="J1206" s="61">
        <v>5.7</v>
      </c>
      <c r="K1206" s="61">
        <v>8.5</v>
      </c>
      <c r="L1206" s="69">
        <f t="shared" si="243"/>
        <v>1.1970000000000001</v>
      </c>
      <c r="M1206" s="69">
        <f t="shared" si="244"/>
        <v>1.7849999999999999</v>
      </c>
      <c r="N1206" s="56">
        <f>INDEX(Rate_Chart!$A$1:$AK$127,MATCH(Data!J1206,Rate_Chart!$A$1:$A$127,0),MATCH(Data!K1206,Rate_Chart!$A$1:$AK$1,0))</f>
        <v>46.167149999999999</v>
      </c>
      <c r="O1206" s="57">
        <f t="shared" si="245"/>
        <v>969.51014999999995</v>
      </c>
      <c r="P1206" s="58">
        <f t="shared" si="246"/>
        <v>406.16260997067451</v>
      </c>
      <c r="Q1206" s="58">
        <f t="shared" si="247"/>
        <v>270.77507331378303</v>
      </c>
      <c r="R1206" s="66">
        <f t="shared" si="248"/>
        <v>16.966427625000001</v>
      </c>
      <c r="S1206" s="64">
        <f t="shared" si="249"/>
        <v>78.75</v>
      </c>
      <c r="T1206" s="66">
        <f t="shared" si="250"/>
        <v>1065.2265776249999</v>
      </c>
      <c r="U1206" s="68">
        <f t="shared" si="251"/>
        <v>50.725075124999996</v>
      </c>
      <c r="V1206" s="68">
        <f t="shared" si="252"/>
        <v>446.2616579912023</v>
      </c>
      <c r="W1206" s="68">
        <f t="shared" si="253"/>
        <v>297.50777199413488</v>
      </c>
    </row>
    <row r="1207" spans="1:23" x14ac:dyDescent="0.25">
      <c r="A1207" s="1" t="s">
        <v>894</v>
      </c>
      <c r="B1207" s="61" t="s">
        <v>397</v>
      </c>
      <c r="C1207" s="1" t="s">
        <v>591</v>
      </c>
      <c r="D1207" s="1" t="s">
        <v>592</v>
      </c>
      <c r="E1207" s="1" t="s">
        <v>385</v>
      </c>
      <c r="F1207" s="62" t="str">
        <f t="shared" si="242"/>
        <v>64573</v>
      </c>
      <c r="G1207" s="1">
        <v>10620053</v>
      </c>
      <c r="H1207" s="1" t="s">
        <v>388</v>
      </c>
      <c r="I1207" s="61">
        <v>41</v>
      </c>
      <c r="J1207" s="61">
        <v>3</v>
      </c>
      <c r="K1207" s="61">
        <v>8</v>
      </c>
      <c r="L1207" s="69">
        <f t="shared" si="243"/>
        <v>1.23</v>
      </c>
      <c r="M1207" s="69">
        <f t="shared" si="244"/>
        <v>3.28</v>
      </c>
      <c r="N1207" s="56">
        <f>INDEX(Rate_Chart!$A$1:$AK$127,MATCH(Data!J1207,Rate_Chart!$A$1:$A$127,0),MATCH(Data!K1207,Rate_Chart!$A$1:$AK$1,0))</f>
        <v>34.751112000000006</v>
      </c>
      <c r="O1207" s="57">
        <f t="shared" si="245"/>
        <v>1424.7955920000002</v>
      </c>
      <c r="P1207" s="58">
        <f t="shared" si="246"/>
        <v>417.01334400000002</v>
      </c>
      <c r="Q1207" s="58">
        <f t="shared" si="247"/>
        <v>278.00889599999999</v>
      </c>
      <c r="R1207" s="66">
        <f t="shared" si="248"/>
        <v>24.933922860000006</v>
      </c>
      <c r="S1207" s="64">
        <f t="shared" si="249"/>
        <v>153.75</v>
      </c>
      <c r="T1207" s="66">
        <f t="shared" si="250"/>
        <v>1603.4795148600001</v>
      </c>
      <c r="U1207" s="68">
        <f t="shared" si="251"/>
        <v>39.109256460000005</v>
      </c>
      <c r="V1207" s="68">
        <f t="shared" si="252"/>
        <v>469.31107752000003</v>
      </c>
      <c r="W1207" s="68">
        <f t="shared" si="253"/>
        <v>312.87405168000004</v>
      </c>
    </row>
    <row r="1208" spans="1:23" x14ac:dyDescent="0.25">
      <c r="A1208" s="1" t="s">
        <v>888</v>
      </c>
      <c r="B1208" s="61" t="s">
        <v>396</v>
      </c>
      <c r="C1208" s="1" t="s">
        <v>591</v>
      </c>
      <c r="D1208" s="1" t="s">
        <v>592</v>
      </c>
      <c r="E1208" s="1" t="s">
        <v>597</v>
      </c>
      <c r="F1208" s="62" t="str">
        <f t="shared" si="242"/>
        <v>64586</v>
      </c>
      <c r="G1208" s="1">
        <v>10620071</v>
      </c>
      <c r="H1208" s="1" t="s">
        <v>387</v>
      </c>
      <c r="I1208" s="61">
        <v>11</v>
      </c>
      <c r="J1208" s="61">
        <v>7</v>
      </c>
      <c r="K1208" s="61">
        <v>8.8000000000000007</v>
      </c>
      <c r="L1208" s="69">
        <f t="shared" si="243"/>
        <v>0.77</v>
      </c>
      <c r="M1208" s="69">
        <f t="shared" si="244"/>
        <v>0.96800000000000008</v>
      </c>
      <c r="N1208" s="56">
        <f>INDEX(Rate_Chart!$A$1:$AK$127,MATCH(Data!J1208,Rate_Chart!$A$1:$A$127,0),MATCH(Data!K1208,Rate_Chart!$A$1:$AK$1,0))</f>
        <v>57.865500000000004</v>
      </c>
      <c r="O1208" s="57">
        <f t="shared" si="245"/>
        <v>636.52050000000008</v>
      </c>
      <c r="P1208" s="58">
        <f t="shared" si="246"/>
        <v>449.73186528497411</v>
      </c>
      <c r="Q1208" s="58">
        <f t="shared" si="247"/>
        <v>299.82124352331607</v>
      </c>
      <c r="R1208" s="66">
        <f t="shared" si="248"/>
        <v>11.139108750000002</v>
      </c>
      <c r="S1208" s="64">
        <f t="shared" si="249"/>
        <v>41.25</v>
      </c>
      <c r="T1208" s="66">
        <f t="shared" si="250"/>
        <v>688.90960875000007</v>
      </c>
      <c r="U1208" s="68">
        <f t="shared" si="251"/>
        <v>62.628146250000007</v>
      </c>
      <c r="V1208" s="68">
        <f t="shared" si="252"/>
        <v>486.74725064766841</v>
      </c>
      <c r="W1208" s="68">
        <f t="shared" si="253"/>
        <v>324.49816709844561</v>
      </c>
    </row>
    <row r="1209" spans="1:23" x14ac:dyDescent="0.25">
      <c r="A1209" s="1" t="s">
        <v>888</v>
      </c>
      <c r="B1209" s="61" t="s">
        <v>396</v>
      </c>
      <c r="C1209" s="1" t="s">
        <v>591</v>
      </c>
      <c r="D1209" s="1" t="s">
        <v>592</v>
      </c>
      <c r="E1209" s="1" t="s">
        <v>597</v>
      </c>
      <c r="F1209" s="62" t="str">
        <f t="shared" si="242"/>
        <v>64586</v>
      </c>
      <c r="G1209" s="1">
        <v>10620071</v>
      </c>
      <c r="H1209" s="1" t="s">
        <v>388</v>
      </c>
      <c r="I1209" s="61">
        <v>37</v>
      </c>
      <c r="J1209" s="61">
        <v>3.3</v>
      </c>
      <c r="K1209" s="61">
        <v>8.1</v>
      </c>
      <c r="L1209" s="69">
        <f t="shared" si="243"/>
        <v>1.2209999999999999</v>
      </c>
      <c r="M1209" s="69">
        <f t="shared" si="244"/>
        <v>2.9969999999999999</v>
      </c>
      <c r="N1209" s="56">
        <f>INDEX(Rate_Chart!$A$1:$AK$127,MATCH(Data!J1209,Rate_Chart!$A$1:$A$127,0),MATCH(Data!K1209,Rate_Chart!$A$1:$AK$1,0))</f>
        <v>36.280125900000002</v>
      </c>
      <c r="O1209" s="57">
        <f t="shared" si="245"/>
        <v>1342.3646583</v>
      </c>
      <c r="P1209" s="58">
        <f t="shared" si="246"/>
        <v>417.0129413793104</v>
      </c>
      <c r="Q1209" s="58">
        <f t="shared" si="247"/>
        <v>278.00862758620696</v>
      </c>
      <c r="R1209" s="66">
        <f t="shared" si="248"/>
        <v>23.491381520250002</v>
      </c>
      <c r="S1209" s="64">
        <f t="shared" si="249"/>
        <v>138.75</v>
      </c>
      <c r="T1209" s="66">
        <f t="shared" si="250"/>
        <v>1504.6060398202499</v>
      </c>
      <c r="U1209" s="68">
        <f t="shared" si="251"/>
        <v>40.665028103249995</v>
      </c>
      <c r="V1209" s="68">
        <f t="shared" si="252"/>
        <v>467.41411612931034</v>
      </c>
      <c r="W1209" s="68">
        <f t="shared" si="253"/>
        <v>311.60941075287354</v>
      </c>
    </row>
    <row r="1210" spans="1:23" x14ac:dyDescent="0.25">
      <c r="A1210" s="1" t="s">
        <v>888</v>
      </c>
      <c r="B1210" s="61" t="s">
        <v>397</v>
      </c>
      <c r="C1210" s="1" t="s">
        <v>591</v>
      </c>
      <c r="D1210" s="1" t="s">
        <v>592</v>
      </c>
      <c r="E1210" s="1" t="s">
        <v>597</v>
      </c>
      <c r="F1210" s="62" t="str">
        <f t="shared" si="242"/>
        <v>64586</v>
      </c>
      <c r="G1210" s="1">
        <v>10620071</v>
      </c>
      <c r="H1210" s="1" t="s">
        <v>387</v>
      </c>
      <c r="I1210" s="61">
        <v>9</v>
      </c>
      <c r="J1210" s="61">
        <v>7.6</v>
      </c>
      <c r="K1210" s="61">
        <v>8.8000000000000007</v>
      </c>
      <c r="L1210" s="69">
        <f t="shared" si="243"/>
        <v>0.68399999999999994</v>
      </c>
      <c r="M1210" s="69">
        <f t="shared" si="244"/>
        <v>0.79200000000000004</v>
      </c>
      <c r="N1210" s="56">
        <f>INDEX(Rate_Chart!$A$1:$AK$127,MATCH(Data!J1210,Rate_Chart!$A$1:$A$127,0),MATCH(Data!K1210,Rate_Chart!$A$1:$AK$1,0))</f>
        <v>62.825400000000002</v>
      </c>
      <c r="O1210" s="57">
        <f t="shared" si="245"/>
        <v>565.42859999999996</v>
      </c>
      <c r="P1210" s="58">
        <f t="shared" si="246"/>
        <v>466.5252475247525</v>
      </c>
      <c r="Q1210" s="58">
        <f t="shared" si="247"/>
        <v>311.01683168316833</v>
      </c>
      <c r="R1210" s="66">
        <f t="shared" si="248"/>
        <v>9.8950005000000001</v>
      </c>
      <c r="S1210" s="64">
        <f t="shared" si="249"/>
        <v>33.75</v>
      </c>
      <c r="T1210" s="66">
        <f t="shared" si="250"/>
        <v>609.0736005</v>
      </c>
      <c r="U1210" s="68">
        <f t="shared" si="251"/>
        <v>67.674844500000006</v>
      </c>
      <c r="V1210" s="68">
        <f t="shared" si="252"/>
        <v>502.53597400990105</v>
      </c>
      <c r="W1210" s="68">
        <f t="shared" si="253"/>
        <v>335.02398267326737</v>
      </c>
    </row>
    <row r="1211" spans="1:23" x14ac:dyDescent="0.25">
      <c r="A1211" s="1" t="s">
        <v>888</v>
      </c>
      <c r="B1211" s="61" t="s">
        <v>397</v>
      </c>
      <c r="C1211" s="1" t="s">
        <v>591</v>
      </c>
      <c r="D1211" s="1" t="s">
        <v>592</v>
      </c>
      <c r="E1211" s="1" t="s">
        <v>597</v>
      </c>
      <c r="F1211" s="62" t="str">
        <f t="shared" si="242"/>
        <v>64586</v>
      </c>
      <c r="G1211" s="1">
        <v>10620071</v>
      </c>
      <c r="H1211" s="1" t="s">
        <v>388</v>
      </c>
      <c r="I1211" s="61">
        <v>36</v>
      </c>
      <c r="J1211" s="61">
        <v>3.2</v>
      </c>
      <c r="K1211" s="61">
        <v>8.1</v>
      </c>
      <c r="L1211" s="69">
        <f t="shared" si="243"/>
        <v>1.1520000000000001</v>
      </c>
      <c r="M1211" s="69">
        <f t="shared" si="244"/>
        <v>2.9159999999999995</v>
      </c>
      <c r="N1211" s="56">
        <f>INDEX(Rate_Chart!$A$1:$AK$127,MATCH(Data!J1211,Rate_Chart!$A$1:$A$127,0),MATCH(Data!K1211,Rate_Chart!$A$1:$AK$1,0))</f>
        <v>35.8631259</v>
      </c>
      <c r="O1211" s="57">
        <f t="shared" si="245"/>
        <v>1291.0725324</v>
      </c>
      <c r="P1211" s="58">
        <f t="shared" si="246"/>
        <v>417.01309186046512</v>
      </c>
      <c r="Q1211" s="58">
        <f t="shared" si="247"/>
        <v>278.00872790697673</v>
      </c>
      <c r="R1211" s="66">
        <f t="shared" si="248"/>
        <v>22.593769317000003</v>
      </c>
      <c r="S1211" s="64">
        <f t="shared" si="249"/>
        <v>135</v>
      </c>
      <c r="T1211" s="66">
        <f t="shared" si="250"/>
        <v>1448.6663017169999</v>
      </c>
      <c r="U1211" s="68">
        <f t="shared" si="251"/>
        <v>40.24073060325</v>
      </c>
      <c r="V1211" s="68">
        <f t="shared" si="252"/>
        <v>467.91547213081401</v>
      </c>
      <c r="W1211" s="68">
        <f t="shared" si="253"/>
        <v>311.94364808720934</v>
      </c>
    </row>
    <row r="1212" spans="1:23" x14ac:dyDescent="0.25">
      <c r="A1212" s="1" t="s">
        <v>889</v>
      </c>
      <c r="B1212" s="61" t="s">
        <v>396</v>
      </c>
      <c r="C1212" s="1" t="s">
        <v>591</v>
      </c>
      <c r="D1212" s="1" t="s">
        <v>592</v>
      </c>
      <c r="E1212" s="1" t="s">
        <v>597</v>
      </c>
      <c r="F1212" s="62" t="str">
        <f t="shared" si="242"/>
        <v>64586</v>
      </c>
      <c r="G1212" s="1">
        <v>10620071</v>
      </c>
      <c r="H1212" s="1" t="s">
        <v>387</v>
      </c>
      <c r="I1212" s="61">
        <v>11</v>
      </c>
      <c r="J1212" s="61">
        <v>6.7</v>
      </c>
      <c r="K1212" s="61">
        <v>8.8000000000000007</v>
      </c>
      <c r="L1212" s="69">
        <f t="shared" si="243"/>
        <v>0.73699999999999999</v>
      </c>
      <c r="M1212" s="69">
        <f t="shared" si="244"/>
        <v>0.96800000000000008</v>
      </c>
      <c r="N1212" s="56">
        <f>INDEX(Rate_Chart!$A$1:$AK$127,MATCH(Data!J1212,Rate_Chart!$A$1:$A$127,0),MATCH(Data!K1212,Rate_Chart!$A$1:$AK$1,0))</f>
        <v>55.385550000000002</v>
      </c>
      <c r="O1212" s="57">
        <f t="shared" si="245"/>
        <v>609.24104999999997</v>
      </c>
      <c r="P1212" s="58">
        <f t="shared" si="246"/>
        <v>440.73381962864721</v>
      </c>
      <c r="Q1212" s="58">
        <f t="shared" si="247"/>
        <v>293.82254641909816</v>
      </c>
      <c r="R1212" s="66">
        <f t="shared" si="248"/>
        <v>10.661718375000001</v>
      </c>
      <c r="S1212" s="64">
        <f t="shared" si="249"/>
        <v>41.25</v>
      </c>
      <c r="T1212" s="66">
        <f t="shared" si="250"/>
        <v>661.15276837499994</v>
      </c>
      <c r="U1212" s="68">
        <f t="shared" si="251"/>
        <v>60.104797124999997</v>
      </c>
      <c r="V1212" s="68">
        <f t="shared" si="252"/>
        <v>478.2875102785145</v>
      </c>
      <c r="W1212" s="68">
        <f t="shared" si="253"/>
        <v>318.85834018567635</v>
      </c>
    </row>
    <row r="1213" spans="1:23" x14ac:dyDescent="0.25">
      <c r="A1213" s="1" t="s">
        <v>889</v>
      </c>
      <c r="B1213" s="61" t="s">
        <v>396</v>
      </c>
      <c r="C1213" s="1" t="s">
        <v>591</v>
      </c>
      <c r="D1213" s="1" t="s">
        <v>592</v>
      </c>
      <c r="E1213" s="1" t="s">
        <v>597</v>
      </c>
      <c r="F1213" s="62" t="str">
        <f t="shared" si="242"/>
        <v>64586</v>
      </c>
      <c r="G1213" s="1">
        <v>10620071</v>
      </c>
      <c r="H1213" s="1" t="s">
        <v>388</v>
      </c>
      <c r="I1213" s="61">
        <v>32</v>
      </c>
      <c r="J1213" s="61">
        <v>3.2</v>
      </c>
      <c r="K1213" s="61">
        <v>8.1</v>
      </c>
      <c r="L1213" s="69">
        <f t="shared" si="243"/>
        <v>1.024</v>
      </c>
      <c r="M1213" s="69">
        <f t="shared" si="244"/>
        <v>2.5920000000000001</v>
      </c>
      <c r="N1213" s="56">
        <f>INDEX(Rate_Chart!$A$1:$AK$127,MATCH(Data!J1213,Rate_Chart!$A$1:$A$127,0),MATCH(Data!K1213,Rate_Chart!$A$1:$AK$1,0))</f>
        <v>35.8631259</v>
      </c>
      <c r="O1213" s="57">
        <f t="shared" si="245"/>
        <v>1147.6200288</v>
      </c>
      <c r="P1213" s="58">
        <f t="shared" si="246"/>
        <v>417.01309186046512</v>
      </c>
      <c r="Q1213" s="58">
        <f t="shared" si="247"/>
        <v>278.00872790697673</v>
      </c>
      <c r="R1213" s="66">
        <f t="shared" si="248"/>
        <v>20.083350504000002</v>
      </c>
      <c r="S1213" s="64">
        <f t="shared" si="249"/>
        <v>120</v>
      </c>
      <c r="T1213" s="66">
        <f t="shared" si="250"/>
        <v>1287.703379304</v>
      </c>
      <c r="U1213" s="68">
        <f t="shared" si="251"/>
        <v>40.24073060325</v>
      </c>
      <c r="V1213" s="68">
        <f t="shared" si="252"/>
        <v>467.91547213081401</v>
      </c>
      <c r="W1213" s="68">
        <f t="shared" si="253"/>
        <v>311.94364808720934</v>
      </c>
    </row>
    <row r="1214" spans="1:23" x14ac:dyDescent="0.25">
      <c r="A1214" s="1" t="s">
        <v>889</v>
      </c>
      <c r="B1214" s="61" t="s">
        <v>397</v>
      </c>
      <c r="C1214" s="1" t="s">
        <v>591</v>
      </c>
      <c r="D1214" s="1" t="s">
        <v>592</v>
      </c>
      <c r="E1214" s="1" t="s">
        <v>597</v>
      </c>
      <c r="F1214" s="62" t="str">
        <f t="shared" si="242"/>
        <v>64586</v>
      </c>
      <c r="G1214" s="1">
        <v>10620071</v>
      </c>
      <c r="H1214" s="1" t="s">
        <v>387</v>
      </c>
      <c r="I1214" s="61">
        <v>13</v>
      </c>
      <c r="J1214" s="61">
        <v>6.4</v>
      </c>
      <c r="K1214" s="61">
        <v>8.8000000000000007</v>
      </c>
      <c r="L1214" s="69">
        <f t="shared" si="243"/>
        <v>0.83200000000000007</v>
      </c>
      <c r="M1214" s="69">
        <f t="shared" si="244"/>
        <v>1.1440000000000001</v>
      </c>
      <c r="N1214" s="56">
        <f>INDEX(Rate_Chart!$A$1:$AK$127,MATCH(Data!J1214,Rate_Chart!$A$1:$A$127,0),MATCH(Data!K1214,Rate_Chart!$A$1:$AK$1,0))</f>
        <v>52.9056</v>
      </c>
      <c r="O1214" s="57">
        <f t="shared" si="245"/>
        <v>687.77279999999996</v>
      </c>
      <c r="P1214" s="58">
        <f t="shared" si="246"/>
        <v>431.29565217391303</v>
      </c>
      <c r="Q1214" s="58">
        <f t="shared" si="247"/>
        <v>287.53043478260867</v>
      </c>
      <c r="R1214" s="66">
        <f t="shared" si="248"/>
        <v>12.036024000000001</v>
      </c>
      <c r="S1214" s="64">
        <f t="shared" si="249"/>
        <v>48.75</v>
      </c>
      <c r="T1214" s="66">
        <f t="shared" si="250"/>
        <v>748.55882399999996</v>
      </c>
      <c r="U1214" s="68">
        <f t="shared" si="251"/>
        <v>57.581447999999995</v>
      </c>
      <c r="V1214" s="68">
        <f t="shared" si="252"/>
        <v>469.4139782608695</v>
      </c>
      <c r="W1214" s="68">
        <f t="shared" si="253"/>
        <v>312.94265217391302</v>
      </c>
    </row>
    <row r="1215" spans="1:23" x14ac:dyDescent="0.25">
      <c r="A1215" s="1" t="s">
        <v>889</v>
      </c>
      <c r="B1215" s="61" t="s">
        <v>397</v>
      </c>
      <c r="C1215" s="1" t="s">
        <v>591</v>
      </c>
      <c r="D1215" s="1" t="s">
        <v>592</v>
      </c>
      <c r="E1215" s="1" t="s">
        <v>597</v>
      </c>
      <c r="F1215" s="62" t="str">
        <f t="shared" si="242"/>
        <v>64586</v>
      </c>
      <c r="G1215" s="1">
        <v>10620071</v>
      </c>
      <c r="H1215" s="1" t="s">
        <v>388</v>
      </c>
      <c r="I1215" s="61">
        <v>40</v>
      </c>
      <c r="J1215" s="61">
        <v>3.1</v>
      </c>
      <c r="K1215" s="61">
        <v>8.1</v>
      </c>
      <c r="L1215" s="69">
        <f t="shared" si="243"/>
        <v>1.24</v>
      </c>
      <c r="M1215" s="69">
        <f t="shared" si="244"/>
        <v>3.24</v>
      </c>
      <c r="N1215" s="56">
        <f>INDEX(Rate_Chart!$A$1:$AK$127,MATCH(Data!J1215,Rate_Chart!$A$1:$A$127,0),MATCH(Data!K1215,Rate_Chart!$A$1:$AK$1,0))</f>
        <v>35.446125899999998</v>
      </c>
      <c r="O1215" s="57">
        <f t="shared" si="245"/>
        <v>1417.8450359999999</v>
      </c>
      <c r="P1215" s="58">
        <f t="shared" si="246"/>
        <v>417.01324588235298</v>
      </c>
      <c r="Q1215" s="58">
        <f t="shared" si="247"/>
        <v>278.0088305882353</v>
      </c>
      <c r="R1215" s="66">
        <f t="shared" si="248"/>
        <v>24.812288130000002</v>
      </c>
      <c r="S1215" s="64">
        <f t="shared" si="249"/>
        <v>150</v>
      </c>
      <c r="T1215" s="66">
        <f t="shared" si="250"/>
        <v>1592.65732413</v>
      </c>
      <c r="U1215" s="68">
        <f t="shared" si="251"/>
        <v>39.816433103249999</v>
      </c>
      <c r="V1215" s="68">
        <f t="shared" si="252"/>
        <v>468.42862474411766</v>
      </c>
      <c r="W1215" s="68">
        <f t="shared" si="253"/>
        <v>312.28574982941177</v>
      </c>
    </row>
    <row r="1216" spans="1:23" x14ac:dyDescent="0.25">
      <c r="A1216" s="1" t="s">
        <v>890</v>
      </c>
      <c r="B1216" s="61" t="s">
        <v>396</v>
      </c>
      <c r="C1216" s="1" t="s">
        <v>591</v>
      </c>
      <c r="D1216" s="1" t="s">
        <v>592</v>
      </c>
      <c r="E1216" s="1" t="s">
        <v>597</v>
      </c>
      <c r="F1216" s="62" t="str">
        <f t="shared" si="242"/>
        <v>64586</v>
      </c>
      <c r="G1216" s="1">
        <v>10620071</v>
      </c>
      <c r="H1216" s="1" t="s">
        <v>387</v>
      </c>
      <c r="I1216" s="61">
        <v>12</v>
      </c>
      <c r="J1216" s="61">
        <v>6.7</v>
      </c>
      <c r="K1216" s="61">
        <v>8.8000000000000007</v>
      </c>
      <c r="L1216" s="69">
        <f t="shared" si="243"/>
        <v>0.80400000000000005</v>
      </c>
      <c r="M1216" s="69">
        <f t="shared" si="244"/>
        <v>1.056</v>
      </c>
      <c r="N1216" s="56">
        <f>INDEX(Rate_Chart!$A$1:$AK$127,MATCH(Data!J1216,Rate_Chart!$A$1:$A$127,0),MATCH(Data!K1216,Rate_Chart!$A$1:$AK$1,0))</f>
        <v>55.385550000000002</v>
      </c>
      <c r="O1216" s="57">
        <f t="shared" si="245"/>
        <v>664.62660000000005</v>
      </c>
      <c r="P1216" s="58">
        <f t="shared" si="246"/>
        <v>440.73381962864721</v>
      </c>
      <c r="Q1216" s="58">
        <f t="shared" si="247"/>
        <v>293.82254641909816</v>
      </c>
      <c r="R1216" s="66">
        <f t="shared" si="248"/>
        <v>11.630965500000002</v>
      </c>
      <c r="S1216" s="64">
        <f t="shared" si="249"/>
        <v>45</v>
      </c>
      <c r="T1216" s="66">
        <f t="shared" si="250"/>
        <v>721.25756550000006</v>
      </c>
      <c r="U1216" s="68">
        <f t="shared" si="251"/>
        <v>60.104797125000005</v>
      </c>
      <c r="V1216" s="68">
        <f t="shared" si="252"/>
        <v>478.28751027851456</v>
      </c>
      <c r="W1216" s="68">
        <f t="shared" si="253"/>
        <v>318.85834018567635</v>
      </c>
    </row>
    <row r="1217" spans="1:23" x14ac:dyDescent="0.25">
      <c r="A1217" s="1" t="s">
        <v>890</v>
      </c>
      <c r="B1217" s="61" t="s">
        <v>396</v>
      </c>
      <c r="C1217" s="1" t="s">
        <v>591</v>
      </c>
      <c r="D1217" s="1" t="s">
        <v>592</v>
      </c>
      <c r="E1217" s="1" t="s">
        <v>597</v>
      </c>
      <c r="F1217" s="62" t="str">
        <f t="shared" si="242"/>
        <v>64586</v>
      </c>
      <c r="G1217" s="1">
        <v>10620071</v>
      </c>
      <c r="H1217" s="1" t="s">
        <v>388</v>
      </c>
      <c r="I1217" s="61">
        <v>30</v>
      </c>
      <c r="J1217" s="61">
        <v>3.4</v>
      </c>
      <c r="K1217" s="61">
        <v>8.1</v>
      </c>
      <c r="L1217" s="69">
        <f t="shared" si="243"/>
        <v>1.02</v>
      </c>
      <c r="M1217" s="69">
        <f t="shared" si="244"/>
        <v>2.4300000000000002</v>
      </c>
      <c r="N1217" s="56">
        <f>INDEX(Rate_Chart!$A$1:$AK$127,MATCH(Data!J1217,Rate_Chart!$A$1:$A$127,0),MATCH(Data!K1217,Rate_Chart!$A$1:$AK$1,0))</f>
        <v>36.697125900000003</v>
      </c>
      <c r="O1217" s="57">
        <f t="shared" si="245"/>
        <v>1100.9137770000002</v>
      </c>
      <c r="P1217" s="58">
        <f t="shared" si="246"/>
        <v>417.01279431818188</v>
      </c>
      <c r="Q1217" s="58">
        <f t="shared" si="247"/>
        <v>278.00852954545456</v>
      </c>
      <c r="R1217" s="66">
        <f t="shared" si="248"/>
        <v>19.265991097500006</v>
      </c>
      <c r="S1217" s="64">
        <f t="shared" si="249"/>
        <v>112.5</v>
      </c>
      <c r="T1217" s="66">
        <f t="shared" si="250"/>
        <v>1232.6797680975003</v>
      </c>
      <c r="U1217" s="68">
        <f t="shared" si="251"/>
        <v>41.08932560325001</v>
      </c>
      <c r="V1217" s="68">
        <f t="shared" si="252"/>
        <v>466.92415458238651</v>
      </c>
      <c r="W1217" s="68">
        <f t="shared" si="253"/>
        <v>311.28276972159102</v>
      </c>
    </row>
    <row r="1218" spans="1:23" x14ac:dyDescent="0.25">
      <c r="A1218" s="1" t="s">
        <v>890</v>
      </c>
      <c r="B1218" s="61" t="s">
        <v>397</v>
      </c>
      <c r="C1218" s="1" t="s">
        <v>591</v>
      </c>
      <c r="D1218" s="1" t="s">
        <v>592</v>
      </c>
      <c r="E1218" s="1" t="s">
        <v>597</v>
      </c>
      <c r="F1218" s="62" t="str">
        <f t="shared" si="242"/>
        <v>64586</v>
      </c>
      <c r="G1218" s="1">
        <v>10620071</v>
      </c>
      <c r="H1218" s="1" t="s">
        <v>387</v>
      </c>
      <c r="I1218" s="61">
        <v>8</v>
      </c>
      <c r="J1218" s="61">
        <v>7.5</v>
      </c>
      <c r="K1218" s="61">
        <v>8.8000000000000007</v>
      </c>
      <c r="L1218" s="69">
        <f t="shared" si="243"/>
        <v>0.6</v>
      </c>
      <c r="M1218" s="69">
        <f t="shared" si="244"/>
        <v>0.70400000000000007</v>
      </c>
      <c r="N1218" s="56">
        <f>INDEX(Rate_Chart!$A$1:$AK$127,MATCH(Data!J1218,Rate_Chart!$A$1:$A$127,0),MATCH(Data!K1218,Rate_Chart!$A$1:$AK$1,0))</f>
        <v>61.998750000000001</v>
      </c>
      <c r="O1218" s="57">
        <f t="shared" si="245"/>
        <v>495.99</v>
      </c>
      <c r="P1218" s="58">
        <f t="shared" si="246"/>
        <v>463.83104738154617</v>
      </c>
      <c r="Q1218" s="58">
        <f t="shared" si="247"/>
        <v>309.22069825436409</v>
      </c>
      <c r="R1218" s="66">
        <f t="shared" si="248"/>
        <v>8.679825000000001</v>
      </c>
      <c r="S1218" s="64">
        <f t="shared" si="249"/>
        <v>30</v>
      </c>
      <c r="T1218" s="66">
        <f t="shared" si="250"/>
        <v>534.66982500000006</v>
      </c>
      <c r="U1218" s="68">
        <f t="shared" si="251"/>
        <v>66.833728125000007</v>
      </c>
      <c r="V1218" s="68">
        <f t="shared" si="252"/>
        <v>500.00295355361607</v>
      </c>
      <c r="W1218" s="68">
        <f t="shared" si="253"/>
        <v>333.3353023690774</v>
      </c>
    </row>
    <row r="1219" spans="1:23" x14ac:dyDescent="0.25">
      <c r="A1219" s="1" t="s">
        <v>890</v>
      </c>
      <c r="B1219" s="61" t="s">
        <v>397</v>
      </c>
      <c r="C1219" s="1" t="s">
        <v>591</v>
      </c>
      <c r="D1219" s="1" t="s">
        <v>592</v>
      </c>
      <c r="E1219" s="1" t="s">
        <v>597</v>
      </c>
      <c r="F1219" s="62" t="str">
        <f t="shared" si="242"/>
        <v>64586</v>
      </c>
      <c r="G1219" s="1">
        <v>10620071</v>
      </c>
      <c r="H1219" s="1" t="s">
        <v>388</v>
      </c>
      <c r="I1219" s="61">
        <v>39</v>
      </c>
      <c r="J1219" s="61">
        <v>3.4</v>
      </c>
      <c r="K1219" s="61">
        <v>8.1</v>
      </c>
      <c r="L1219" s="69">
        <f t="shared" si="243"/>
        <v>1.3259999999999998</v>
      </c>
      <c r="M1219" s="69">
        <f t="shared" si="244"/>
        <v>3.1589999999999998</v>
      </c>
      <c r="N1219" s="56">
        <f>INDEX(Rate_Chart!$A$1:$AK$127,MATCH(Data!J1219,Rate_Chart!$A$1:$A$127,0),MATCH(Data!K1219,Rate_Chart!$A$1:$AK$1,0))</f>
        <v>36.697125900000003</v>
      </c>
      <c r="O1219" s="57">
        <f t="shared" si="245"/>
        <v>1431.1879101000002</v>
      </c>
      <c r="P1219" s="58">
        <f t="shared" si="246"/>
        <v>417.01279431818188</v>
      </c>
      <c r="Q1219" s="58">
        <f t="shared" si="247"/>
        <v>278.00852954545456</v>
      </c>
      <c r="R1219" s="66">
        <f t="shared" si="248"/>
        <v>25.045788426750004</v>
      </c>
      <c r="S1219" s="64">
        <f t="shared" si="249"/>
        <v>146.25</v>
      </c>
      <c r="T1219" s="66">
        <f t="shared" si="250"/>
        <v>1602.4836985267502</v>
      </c>
      <c r="U1219" s="68">
        <f t="shared" si="251"/>
        <v>41.089325603250003</v>
      </c>
      <c r="V1219" s="68">
        <f t="shared" si="252"/>
        <v>466.92415458238645</v>
      </c>
      <c r="W1219" s="68">
        <f t="shared" si="253"/>
        <v>311.28276972159097</v>
      </c>
    </row>
    <row r="1220" spans="1:23" x14ac:dyDescent="0.25">
      <c r="A1220" s="1" t="s">
        <v>891</v>
      </c>
      <c r="B1220" s="61" t="s">
        <v>396</v>
      </c>
      <c r="C1220" s="1" t="s">
        <v>591</v>
      </c>
      <c r="D1220" s="1" t="s">
        <v>592</v>
      </c>
      <c r="E1220" s="1" t="s">
        <v>597</v>
      </c>
      <c r="F1220" s="62" t="str">
        <f t="shared" si="242"/>
        <v>64586</v>
      </c>
      <c r="G1220" s="1">
        <v>10620071</v>
      </c>
      <c r="H1220" s="1" t="s">
        <v>387</v>
      </c>
      <c r="I1220" s="61">
        <v>12</v>
      </c>
      <c r="J1220" s="61">
        <v>7</v>
      </c>
      <c r="K1220" s="61">
        <v>8.8000000000000007</v>
      </c>
      <c r="L1220" s="69">
        <f t="shared" si="243"/>
        <v>0.84</v>
      </c>
      <c r="M1220" s="69">
        <f t="shared" si="244"/>
        <v>1.056</v>
      </c>
      <c r="N1220" s="56">
        <f>INDEX(Rate_Chart!$A$1:$AK$127,MATCH(Data!J1220,Rate_Chart!$A$1:$A$127,0),MATCH(Data!K1220,Rate_Chart!$A$1:$AK$1,0))</f>
        <v>57.865500000000004</v>
      </c>
      <c r="O1220" s="57">
        <f t="shared" si="245"/>
        <v>694.38600000000008</v>
      </c>
      <c r="P1220" s="58">
        <f t="shared" si="246"/>
        <v>449.73186528497411</v>
      </c>
      <c r="Q1220" s="58">
        <f t="shared" si="247"/>
        <v>299.82124352331607</v>
      </c>
      <c r="R1220" s="66">
        <f t="shared" si="248"/>
        <v>12.151755000000003</v>
      </c>
      <c r="S1220" s="64">
        <f t="shared" si="249"/>
        <v>45</v>
      </c>
      <c r="T1220" s="66">
        <f t="shared" si="250"/>
        <v>751.53775500000006</v>
      </c>
      <c r="U1220" s="68">
        <f t="shared" si="251"/>
        <v>62.628146250000007</v>
      </c>
      <c r="V1220" s="68">
        <f t="shared" si="252"/>
        <v>486.74725064766841</v>
      </c>
      <c r="W1220" s="68">
        <f t="shared" si="253"/>
        <v>324.49816709844561</v>
      </c>
    </row>
    <row r="1221" spans="1:23" x14ac:dyDescent="0.25">
      <c r="A1221" s="1" t="s">
        <v>891</v>
      </c>
      <c r="B1221" s="61" t="s">
        <v>396</v>
      </c>
      <c r="C1221" s="1" t="s">
        <v>591</v>
      </c>
      <c r="D1221" s="1" t="s">
        <v>592</v>
      </c>
      <c r="E1221" s="1" t="s">
        <v>597</v>
      </c>
      <c r="F1221" s="62" t="str">
        <f t="shared" ref="F1221:F1284" si="254">MID(E1221,2,5)</f>
        <v>64586</v>
      </c>
      <c r="G1221" s="1">
        <v>10620071</v>
      </c>
      <c r="H1221" s="1" t="s">
        <v>388</v>
      </c>
      <c r="I1221" s="61">
        <v>32</v>
      </c>
      <c r="J1221" s="61">
        <v>3.4</v>
      </c>
      <c r="K1221" s="61">
        <v>8.1</v>
      </c>
      <c r="L1221" s="69">
        <f t="shared" si="243"/>
        <v>1.0880000000000001</v>
      </c>
      <c r="M1221" s="69">
        <f t="shared" si="244"/>
        <v>2.5920000000000001</v>
      </c>
      <c r="N1221" s="56">
        <f>INDEX(Rate_Chart!$A$1:$AK$127,MATCH(Data!J1221,Rate_Chart!$A$1:$A$127,0),MATCH(Data!K1221,Rate_Chart!$A$1:$AK$1,0))</f>
        <v>36.697125900000003</v>
      </c>
      <c r="O1221" s="57">
        <f t="shared" si="245"/>
        <v>1174.3080288000001</v>
      </c>
      <c r="P1221" s="58">
        <f t="shared" si="246"/>
        <v>417.01279431818188</v>
      </c>
      <c r="Q1221" s="58">
        <f t="shared" si="247"/>
        <v>278.00852954545456</v>
      </c>
      <c r="R1221" s="66">
        <f t="shared" si="248"/>
        <v>20.550390504000003</v>
      </c>
      <c r="S1221" s="64">
        <f t="shared" si="249"/>
        <v>120</v>
      </c>
      <c r="T1221" s="66">
        <f t="shared" si="250"/>
        <v>1314.8584193040001</v>
      </c>
      <c r="U1221" s="68">
        <f t="shared" si="251"/>
        <v>41.089325603250003</v>
      </c>
      <c r="V1221" s="68">
        <f t="shared" si="252"/>
        <v>466.92415458238645</v>
      </c>
      <c r="W1221" s="68">
        <f t="shared" si="253"/>
        <v>311.28276972159097</v>
      </c>
    </row>
    <row r="1222" spans="1:23" x14ac:dyDescent="0.25">
      <c r="A1222" s="1" t="s">
        <v>891</v>
      </c>
      <c r="B1222" s="61" t="s">
        <v>397</v>
      </c>
      <c r="C1222" s="1" t="s">
        <v>591</v>
      </c>
      <c r="D1222" s="1" t="s">
        <v>592</v>
      </c>
      <c r="E1222" s="1" t="s">
        <v>597</v>
      </c>
      <c r="F1222" s="62" t="str">
        <f t="shared" si="254"/>
        <v>64586</v>
      </c>
      <c r="G1222" s="1">
        <v>10620071</v>
      </c>
      <c r="H1222" s="1" t="s">
        <v>387</v>
      </c>
      <c r="I1222" s="61">
        <v>9</v>
      </c>
      <c r="J1222" s="61">
        <v>7.7</v>
      </c>
      <c r="K1222" s="61">
        <v>9</v>
      </c>
      <c r="L1222" s="69">
        <f t="shared" si="243"/>
        <v>0.69299999999999995</v>
      </c>
      <c r="M1222" s="69">
        <f t="shared" si="244"/>
        <v>0.81</v>
      </c>
      <c r="N1222" s="56">
        <f>INDEX(Rate_Chart!$A$1:$AK$127,MATCH(Data!J1222,Rate_Chart!$A$1:$A$127,0),MATCH(Data!K1222,Rate_Chart!$A$1:$AK$1,0))</f>
        <v>64.295000000000002</v>
      </c>
      <c r="O1222" s="57">
        <f t="shared" si="245"/>
        <v>578.65499999999997</v>
      </c>
      <c r="P1222" s="58">
        <f t="shared" si="246"/>
        <v>469.30656934306569</v>
      </c>
      <c r="Q1222" s="58">
        <f t="shared" si="247"/>
        <v>312.87104622871044</v>
      </c>
      <c r="R1222" s="66">
        <f t="shared" si="248"/>
        <v>10.126462500000001</v>
      </c>
      <c r="S1222" s="64">
        <f t="shared" si="249"/>
        <v>33.75</v>
      </c>
      <c r="T1222" s="66">
        <f t="shared" si="250"/>
        <v>622.53146249999998</v>
      </c>
      <c r="U1222" s="68">
        <f t="shared" si="251"/>
        <v>69.170162500000004</v>
      </c>
      <c r="V1222" s="68">
        <f t="shared" si="252"/>
        <v>504.89169708029198</v>
      </c>
      <c r="W1222" s="68">
        <f t="shared" si="253"/>
        <v>336.59446472019465</v>
      </c>
    </row>
    <row r="1223" spans="1:23" x14ac:dyDescent="0.25">
      <c r="A1223" s="1" t="s">
        <v>891</v>
      </c>
      <c r="B1223" s="61" t="s">
        <v>397</v>
      </c>
      <c r="C1223" s="1" t="s">
        <v>591</v>
      </c>
      <c r="D1223" s="1" t="s">
        <v>592</v>
      </c>
      <c r="E1223" s="1" t="s">
        <v>597</v>
      </c>
      <c r="F1223" s="62" t="str">
        <f t="shared" si="254"/>
        <v>64586</v>
      </c>
      <c r="G1223" s="1">
        <v>10620071</v>
      </c>
      <c r="H1223" s="1" t="s">
        <v>388</v>
      </c>
      <c r="I1223" s="61">
        <v>31</v>
      </c>
      <c r="J1223" s="61">
        <v>3.3</v>
      </c>
      <c r="K1223" s="61">
        <v>8.1999999999999993</v>
      </c>
      <c r="L1223" s="69">
        <f t="shared" si="243"/>
        <v>1.0229999999999999</v>
      </c>
      <c r="M1223" s="69">
        <f t="shared" si="244"/>
        <v>2.5419999999999998</v>
      </c>
      <c r="N1223" s="56">
        <f>INDEX(Rate_Chart!$A$1:$AK$127,MATCH(Data!J1223,Rate_Chart!$A$1:$A$127,0),MATCH(Data!K1223,Rate_Chart!$A$1:$AK$1,0))</f>
        <v>36.558139799999999</v>
      </c>
      <c r="O1223" s="57">
        <f t="shared" si="245"/>
        <v>1133.3023338</v>
      </c>
      <c r="P1223" s="58">
        <f t="shared" si="246"/>
        <v>417.0130015209125</v>
      </c>
      <c r="Q1223" s="58">
        <f t="shared" si="247"/>
        <v>278.00866768060831</v>
      </c>
      <c r="R1223" s="66">
        <f t="shared" si="248"/>
        <v>19.832790841500003</v>
      </c>
      <c r="S1223" s="64">
        <f t="shared" si="249"/>
        <v>116.25</v>
      </c>
      <c r="T1223" s="66">
        <f t="shared" si="250"/>
        <v>1269.3851246415002</v>
      </c>
      <c r="U1223" s="68">
        <f t="shared" si="251"/>
        <v>40.947907246500009</v>
      </c>
      <c r="V1223" s="68">
        <f t="shared" si="252"/>
        <v>467.08639444676817</v>
      </c>
      <c r="W1223" s="68">
        <f t="shared" si="253"/>
        <v>311.39092963117878</v>
      </c>
    </row>
    <row r="1224" spans="1:23" x14ac:dyDescent="0.25">
      <c r="A1224" s="1" t="s">
        <v>892</v>
      </c>
      <c r="B1224" s="61" t="s">
        <v>396</v>
      </c>
      <c r="C1224" s="1" t="s">
        <v>591</v>
      </c>
      <c r="D1224" s="1" t="s">
        <v>592</v>
      </c>
      <c r="E1224" s="1" t="s">
        <v>597</v>
      </c>
      <c r="F1224" s="62" t="str">
        <f t="shared" si="254"/>
        <v>64586</v>
      </c>
      <c r="G1224" s="1">
        <v>10620071</v>
      </c>
      <c r="H1224" s="1" t="s">
        <v>387</v>
      </c>
      <c r="I1224" s="61">
        <v>7</v>
      </c>
      <c r="J1224" s="61">
        <v>7.2</v>
      </c>
      <c r="K1224" s="61">
        <v>8.8000000000000007</v>
      </c>
      <c r="L1224" s="69">
        <f t="shared" si="243"/>
        <v>0.504</v>
      </c>
      <c r="M1224" s="69">
        <f t="shared" si="244"/>
        <v>0.6160000000000001</v>
      </c>
      <c r="N1224" s="56">
        <f>INDEX(Rate_Chart!$A$1:$AK$127,MATCH(Data!J1224,Rate_Chart!$A$1:$A$127,0),MATCH(Data!K1224,Rate_Chart!$A$1:$AK$1,0))</f>
        <v>59.518800000000006</v>
      </c>
      <c r="O1224" s="57">
        <f t="shared" si="245"/>
        <v>416.63160000000005</v>
      </c>
      <c r="P1224" s="58">
        <f t="shared" si="246"/>
        <v>455.50102040816324</v>
      </c>
      <c r="Q1224" s="58">
        <f t="shared" si="247"/>
        <v>303.66734693877549</v>
      </c>
      <c r="R1224" s="66">
        <f t="shared" si="248"/>
        <v>7.2910530000000016</v>
      </c>
      <c r="S1224" s="64">
        <f t="shared" si="249"/>
        <v>26.25</v>
      </c>
      <c r="T1224" s="66">
        <f t="shared" si="250"/>
        <v>450.17265300000008</v>
      </c>
      <c r="U1224" s="68">
        <f t="shared" si="251"/>
        <v>64.310379000000012</v>
      </c>
      <c r="V1224" s="68">
        <f t="shared" si="252"/>
        <v>492.17126785714288</v>
      </c>
      <c r="W1224" s="68">
        <f t="shared" si="253"/>
        <v>328.11417857142857</v>
      </c>
    </row>
    <row r="1225" spans="1:23" x14ac:dyDescent="0.25">
      <c r="A1225" s="1" t="s">
        <v>892</v>
      </c>
      <c r="B1225" s="61" t="s">
        <v>396</v>
      </c>
      <c r="C1225" s="1" t="s">
        <v>591</v>
      </c>
      <c r="D1225" s="1" t="s">
        <v>592</v>
      </c>
      <c r="E1225" s="1" t="s">
        <v>597</v>
      </c>
      <c r="F1225" s="62" t="str">
        <f t="shared" si="254"/>
        <v>64586</v>
      </c>
      <c r="G1225" s="1">
        <v>10620071</v>
      </c>
      <c r="H1225" s="1" t="s">
        <v>388</v>
      </c>
      <c r="I1225" s="61">
        <v>31</v>
      </c>
      <c r="J1225" s="61">
        <v>3.1</v>
      </c>
      <c r="K1225" s="61">
        <v>8.1</v>
      </c>
      <c r="L1225" s="69">
        <f t="shared" si="243"/>
        <v>0.96100000000000008</v>
      </c>
      <c r="M1225" s="69">
        <f t="shared" si="244"/>
        <v>2.5110000000000001</v>
      </c>
      <c r="N1225" s="56">
        <f>INDEX(Rate_Chart!$A$1:$AK$127,MATCH(Data!J1225,Rate_Chart!$A$1:$A$127,0),MATCH(Data!K1225,Rate_Chart!$A$1:$AK$1,0))</f>
        <v>35.446125899999998</v>
      </c>
      <c r="O1225" s="57">
        <f t="shared" si="245"/>
        <v>1098.8299029</v>
      </c>
      <c r="P1225" s="58">
        <f t="shared" si="246"/>
        <v>417.01324588235298</v>
      </c>
      <c r="Q1225" s="58">
        <f t="shared" si="247"/>
        <v>278.0088305882353</v>
      </c>
      <c r="R1225" s="66">
        <f t="shared" si="248"/>
        <v>19.229523300750003</v>
      </c>
      <c r="S1225" s="64">
        <f t="shared" si="249"/>
        <v>116.25</v>
      </c>
      <c r="T1225" s="66">
        <f t="shared" si="250"/>
        <v>1234.3094262007501</v>
      </c>
      <c r="U1225" s="68">
        <f t="shared" si="251"/>
        <v>39.816433103249999</v>
      </c>
      <c r="V1225" s="68">
        <f t="shared" si="252"/>
        <v>468.42862474411766</v>
      </c>
      <c r="W1225" s="68">
        <f t="shared" si="253"/>
        <v>312.28574982941177</v>
      </c>
    </row>
    <row r="1226" spans="1:23" x14ac:dyDescent="0.25">
      <c r="A1226" s="1" t="s">
        <v>892</v>
      </c>
      <c r="B1226" s="61" t="s">
        <v>397</v>
      </c>
      <c r="C1226" s="1" t="s">
        <v>591</v>
      </c>
      <c r="D1226" s="1" t="s">
        <v>592</v>
      </c>
      <c r="E1226" s="1" t="s">
        <v>597</v>
      </c>
      <c r="F1226" s="62" t="str">
        <f t="shared" si="254"/>
        <v>64586</v>
      </c>
      <c r="G1226" s="1">
        <v>10620071</v>
      </c>
      <c r="H1226" s="1" t="s">
        <v>387</v>
      </c>
      <c r="I1226" s="61">
        <v>8</v>
      </c>
      <c r="J1226" s="61">
        <v>7.7</v>
      </c>
      <c r="K1226" s="61">
        <v>8.8000000000000007</v>
      </c>
      <c r="L1226" s="69">
        <f t="shared" si="243"/>
        <v>0.61599999999999999</v>
      </c>
      <c r="M1226" s="69">
        <f t="shared" si="244"/>
        <v>0.70400000000000007</v>
      </c>
      <c r="N1226" s="56">
        <f>INDEX(Rate_Chart!$A$1:$AK$127,MATCH(Data!J1226,Rate_Chart!$A$1:$A$127,0),MATCH(Data!K1226,Rate_Chart!$A$1:$AK$1,0))</f>
        <v>63.652050000000003</v>
      </c>
      <c r="O1226" s="57">
        <f t="shared" si="245"/>
        <v>509.21640000000002</v>
      </c>
      <c r="P1226" s="58">
        <f t="shared" si="246"/>
        <v>469.17972972972979</v>
      </c>
      <c r="Q1226" s="58">
        <f t="shared" si="247"/>
        <v>312.78648648648652</v>
      </c>
      <c r="R1226" s="66">
        <f t="shared" si="248"/>
        <v>8.9112870000000015</v>
      </c>
      <c r="S1226" s="64">
        <f t="shared" si="249"/>
        <v>30</v>
      </c>
      <c r="T1226" s="66">
        <f t="shared" si="250"/>
        <v>548.12768700000004</v>
      </c>
      <c r="U1226" s="68">
        <f t="shared" si="251"/>
        <v>68.515960875000005</v>
      </c>
      <c r="V1226" s="68">
        <f t="shared" si="252"/>
        <v>505.03165264127773</v>
      </c>
      <c r="W1226" s="68">
        <f t="shared" si="253"/>
        <v>336.68776842751851</v>
      </c>
    </row>
    <row r="1227" spans="1:23" x14ac:dyDescent="0.25">
      <c r="A1227" s="1" t="s">
        <v>892</v>
      </c>
      <c r="B1227" s="61" t="s">
        <v>397</v>
      </c>
      <c r="C1227" s="1" t="s">
        <v>591</v>
      </c>
      <c r="D1227" s="1" t="s">
        <v>592</v>
      </c>
      <c r="E1227" s="1" t="s">
        <v>597</v>
      </c>
      <c r="F1227" s="62" t="str">
        <f t="shared" si="254"/>
        <v>64586</v>
      </c>
      <c r="G1227" s="1">
        <v>10620071</v>
      </c>
      <c r="H1227" s="1" t="s">
        <v>388</v>
      </c>
      <c r="I1227" s="61">
        <v>33</v>
      </c>
      <c r="J1227" s="61">
        <v>3.6</v>
      </c>
      <c r="K1227" s="61">
        <v>8.1</v>
      </c>
      <c r="L1227" s="69">
        <f t="shared" si="243"/>
        <v>1.1879999999999999</v>
      </c>
      <c r="M1227" s="69">
        <f t="shared" si="244"/>
        <v>2.673</v>
      </c>
      <c r="N1227" s="56">
        <f>INDEX(Rate_Chart!$A$1:$AK$127,MATCH(Data!J1227,Rate_Chart!$A$1:$A$127,0),MATCH(Data!K1227,Rate_Chart!$A$1:$AK$1,0))</f>
        <v>37.531125900000006</v>
      </c>
      <c r="O1227" s="57">
        <f t="shared" si="245"/>
        <v>1238.5271547000002</v>
      </c>
      <c r="P1227" s="58">
        <f t="shared" si="246"/>
        <v>417.01251000000008</v>
      </c>
      <c r="Q1227" s="58">
        <f t="shared" si="247"/>
        <v>278.00834000000003</v>
      </c>
      <c r="R1227" s="66">
        <f t="shared" si="248"/>
        <v>21.674225207250007</v>
      </c>
      <c r="S1227" s="64">
        <f t="shared" si="249"/>
        <v>123.75</v>
      </c>
      <c r="T1227" s="66">
        <f t="shared" si="250"/>
        <v>1383.9513799072502</v>
      </c>
      <c r="U1227" s="68">
        <f t="shared" si="251"/>
        <v>41.937920603250006</v>
      </c>
      <c r="V1227" s="68">
        <f t="shared" si="252"/>
        <v>465.97689559166673</v>
      </c>
      <c r="W1227" s="68">
        <f t="shared" si="253"/>
        <v>310.6512637277778</v>
      </c>
    </row>
    <row r="1228" spans="1:23" x14ac:dyDescent="0.25">
      <c r="A1228" s="1" t="s">
        <v>893</v>
      </c>
      <c r="B1228" s="61" t="s">
        <v>396</v>
      </c>
      <c r="C1228" s="1" t="s">
        <v>591</v>
      </c>
      <c r="D1228" s="1" t="s">
        <v>592</v>
      </c>
      <c r="E1228" s="1" t="s">
        <v>597</v>
      </c>
      <c r="F1228" s="62" t="str">
        <f t="shared" si="254"/>
        <v>64586</v>
      </c>
      <c r="G1228" s="1">
        <v>10620071</v>
      </c>
      <c r="H1228" s="1" t="s">
        <v>387</v>
      </c>
      <c r="I1228" s="61">
        <v>11</v>
      </c>
      <c r="J1228" s="61">
        <v>6.9</v>
      </c>
      <c r="K1228" s="61">
        <v>8.8000000000000007</v>
      </c>
      <c r="L1228" s="69">
        <f t="shared" si="243"/>
        <v>0.75900000000000001</v>
      </c>
      <c r="M1228" s="69">
        <f t="shared" si="244"/>
        <v>0.96800000000000008</v>
      </c>
      <c r="N1228" s="56">
        <f>INDEX(Rate_Chart!$A$1:$AK$127,MATCH(Data!J1228,Rate_Chart!$A$1:$A$127,0),MATCH(Data!K1228,Rate_Chart!$A$1:$AK$1,0))</f>
        <v>57.038850000000004</v>
      </c>
      <c r="O1228" s="57">
        <f t="shared" si="245"/>
        <v>627.42735000000005</v>
      </c>
      <c r="P1228" s="58">
        <f t="shared" si="246"/>
        <v>446.77950391644907</v>
      </c>
      <c r="Q1228" s="58">
        <f t="shared" si="247"/>
        <v>297.85300261096603</v>
      </c>
      <c r="R1228" s="66">
        <f t="shared" si="248"/>
        <v>10.979978625000001</v>
      </c>
      <c r="S1228" s="64">
        <f t="shared" si="249"/>
        <v>41.25</v>
      </c>
      <c r="T1228" s="66">
        <f t="shared" si="250"/>
        <v>679.65732862499999</v>
      </c>
      <c r="U1228" s="68">
        <f t="shared" si="251"/>
        <v>61.787029875000002</v>
      </c>
      <c r="V1228" s="68">
        <f t="shared" si="252"/>
        <v>483.97151338120102</v>
      </c>
      <c r="W1228" s="68">
        <f t="shared" si="253"/>
        <v>322.64767558746735</v>
      </c>
    </row>
    <row r="1229" spans="1:23" x14ac:dyDescent="0.25">
      <c r="A1229" s="1" t="s">
        <v>893</v>
      </c>
      <c r="B1229" s="61" t="s">
        <v>396</v>
      </c>
      <c r="C1229" s="1" t="s">
        <v>591</v>
      </c>
      <c r="D1229" s="1" t="s">
        <v>592</v>
      </c>
      <c r="E1229" s="1" t="s">
        <v>597</v>
      </c>
      <c r="F1229" s="62" t="str">
        <f t="shared" si="254"/>
        <v>64586</v>
      </c>
      <c r="G1229" s="1">
        <v>10620071</v>
      </c>
      <c r="H1229" s="1" t="s">
        <v>388</v>
      </c>
      <c r="I1229" s="61">
        <v>34</v>
      </c>
      <c r="J1229" s="61">
        <v>3.3</v>
      </c>
      <c r="K1229" s="61">
        <v>8.1</v>
      </c>
      <c r="L1229" s="69">
        <f t="shared" si="243"/>
        <v>1.1219999999999999</v>
      </c>
      <c r="M1229" s="69">
        <f t="shared" si="244"/>
        <v>2.7539999999999996</v>
      </c>
      <c r="N1229" s="56">
        <f>INDEX(Rate_Chart!$A$1:$AK$127,MATCH(Data!J1229,Rate_Chart!$A$1:$A$127,0),MATCH(Data!K1229,Rate_Chart!$A$1:$AK$1,0))</f>
        <v>36.280125900000002</v>
      </c>
      <c r="O1229" s="57">
        <f t="shared" si="245"/>
        <v>1233.5242806000001</v>
      </c>
      <c r="P1229" s="58">
        <f t="shared" si="246"/>
        <v>417.0129413793104</v>
      </c>
      <c r="Q1229" s="58">
        <f t="shared" si="247"/>
        <v>278.00862758620696</v>
      </c>
      <c r="R1229" s="66">
        <f t="shared" si="248"/>
        <v>21.586674910500005</v>
      </c>
      <c r="S1229" s="64">
        <f t="shared" si="249"/>
        <v>127.5</v>
      </c>
      <c r="T1229" s="66">
        <f t="shared" si="250"/>
        <v>1382.6109555105002</v>
      </c>
      <c r="U1229" s="68">
        <f t="shared" si="251"/>
        <v>40.665028103250002</v>
      </c>
      <c r="V1229" s="68">
        <f t="shared" si="252"/>
        <v>467.4141161293104</v>
      </c>
      <c r="W1229" s="68">
        <f t="shared" si="253"/>
        <v>311.6094107528736</v>
      </c>
    </row>
    <row r="1230" spans="1:23" x14ac:dyDescent="0.25">
      <c r="A1230" s="1" t="s">
        <v>893</v>
      </c>
      <c r="B1230" s="61" t="s">
        <v>397</v>
      </c>
      <c r="C1230" s="1" t="s">
        <v>591</v>
      </c>
      <c r="D1230" s="1" t="s">
        <v>592</v>
      </c>
      <c r="E1230" s="1" t="s">
        <v>597</v>
      </c>
      <c r="F1230" s="62" t="str">
        <f t="shared" si="254"/>
        <v>64586</v>
      </c>
      <c r="G1230" s="1">
        <v>10620071</v>
      </c>
      <c r="H1230" s="1" t="s">
        <v>387</v>
      </c>
      <c r="I1230" s="61">
        <v>8</v>
      </c>
      <c r="J1230" s="61">
        <v>7.3</v>
      </c>
      <c r="K1230" s="61">
        <v>8.8000000000000007</v>
      </c>
      <c r="L1230" s="69">
        <f t="shared" si="243"/>
        <v>0.58399999999999996</v>
      </c>
      <c r="M1230" s="69">
        <f t="shared" si="244"/>
        <v>0.70400000000000007</v>
      </c>
      <c r="N1230" s="56">
        <f>INDEX(Rate_Chart!$A$1:$AK$127,MATCH(Data!J1230,Rate_Chart!$A$1:$A$127,0),MATCH(Data!K1230,Rate_Chart!$A$1:$AK$1,0))</f>
        <v>60.34545</v>
      </c>
      <c r="O1230" s="57">
        <f t="shared" si="245"/>
        <v>482.7636</v>
      </c>
      <c r="P1230" s="58">
        <f t="shared" si="246"/>
        <v>458.31987341772157</v>
      </c>
      <c r="Q1230" s="58">
        <f t="shared" si="247"/>
        <v>305.54658227848103</v>
      </c>
      <c r="R1230" s="66">
        <f t="shared" si="248"/>
        <v>8.4483630000000005</v>
      </c>
      <c r="S1230" s="64">
        <f t="shared" si="249"/>
        <v>30</v>
      </c>
      <c r="T1230" s="66">
        <f t="shared" si="250"/>
        <v>521.21196299999997</v>
      </c>
      <c r="U1230" s="68">
        <f t="shared" si="251"/>
        <v>65.151495374999996</v>
      </c>
      <c r="V1230" s="68">
        <f t="shared" si="252"/>
        <v>494.82148386075949</v>
      </c>
      <c r="W1230" s="68">
        <f t="shared" si="253"/>
        <v>329.88098924050632</v>
      </c>
    </row>
    <row r="1231" spans="1:23" x14ac:dyDescent="0.25">
      <c r="A1231" s="1" t="s">
        <v>893</v>
      </c>
      <c r="B1231" s="61" t="s">
        <v>397</v>
      </c>
      <c r="C1231" s="1" t="s">
        <v>591</v>
      </c>
      <c r="D1231" s="1" t="s">
        <v>592</v>
      </c>
      <c r="E1231" s="1" t="s">
        <v>597</v>
      </c>
      <c r="F1231" s="62" t="str">
        <f t="shared" si="254"/>
        <v>64586</v>
      </c>
      <c r="G1231" s="1">
        <v>10620071</v>
      </c>
      <c r="H1231" s="1" t="s">
        <v>388</v>
      </c>
      <c r="I1231" s="61">
        <v>37</v>
      </c>
      <c r="J1231" s="61">
        <v>3.3</v>
      </c>
      <c r="K1231" s="61">
        <v>8.1</v>
      </c>
      <c r="L1231" s="69">
        <f t="shared" si="243"/>
        <v>1.2209999999999999</v>
      </c>
      <c r="M1231" s="69">
        <f t="shared" si="244"/>
        <v>2.9969999999999999</v>
      </c>
      <c r="N1231" s="56">
        <f>INDEX(Rate_Chart!$A$1:$AK$127,MATCH(Data!J1231,Rate_Chart!$A$1:$A$127,0),MATCH(Data!K1231,Rate_Chart!$A$1:$AK$1,0))</f>
        <v>36.280125900000002</v>
      </c>
      <c r="O1231" s="57">
        <f t="shared" si="245"/>
        <v>1342.3646583</v>
      </c>
      <c r="P1231" s="58">
        <f t="shared" si="246"/>
        <v>417.0129413793104</v>
      </c>
      <c r="Q1231" s="58">
        <f t="shared" si="247"/>
        <v>278.00862758620696</v>
      </c>
      <c r="R1231" s="66">
        <f t="shared" si="248"/>
        <v>23.491381520250002</v>
      </c>
      <c r="S1231" s="64">
        <f t="shared" si="249"/>
        <v>138.75</v>
      </c>
      <c r="T1231" s="66">
        <f t="shared" si="250"/>
        <v>1504.6060398202499</v>
      </c>
      <c r="U1231" s="68">
        <f t="shared" si="251"/>
        <v>40.665028103249995</v>
      </c>
      <c r="V1231" s="68">
        <f t="shared" si="252"/>
        <v>467.41411612931034</v>
      </c>
      <c r="W1231" s="68">
        <f t="shared" si="253"/>
        <v>311.60941075287354</v>
      </c>
    </row>
    <row r="1232" spans="1:23" x14ac:dyDescent="0.25">
      <c r="A1232" s="1" t="s">
        <v>894</v>
      </c>
      <c r="B1232" s="61" t="s">
        <v>396</v>
      </c>
      <c r="C1232" s="1" t="s">
        <v>591</v>
      </c>
      <c r="D1232" s="1" t="s">
        <v>592</v>
      </c>
      <c r="E1232" s="1" t="s">
        <v>597</v>
      </c>
      <c r="F1232" s="62" t="str">
        <f t="shared" si="254"/>
        <v>64586</v>
      </c>
      <c r="G1232" s="1">
        <v>10620071</v>
      </c>
      <c r="H1232" s="1" t="s">
        <v>387</v>
      </c>
      <c r="I1232" s="61">
        <v>11</v>
      </c>
      <c r="J1232" s="61">
        <v>7.1</v>
      </c>
      <c r="K1232" s="61">
        <v>8.8000000000000007</v>
      </c>
      <c r="L1232" s="69">
        <f t="shared" si="243"/>
        <v>0.78099999999999992</v>
      </c>
      <c r="M1232" s="69">
        <f t="shared" si="244"/>
        <v>0.96800000000000008</v>
      </c>
      <c r="N1232" s="56">
        <f>INDEX(Rate_Chart!$A$1:$AK$127,MATCH(Data!J1232,Rate_Chart!$A$1:$A$127,0),MATCH(Data!K1232,Rate_Chart!$A$1:$AK$1,0))</f>
        <v>58.692149999999998</v>
      </c>
      <c r="O1232" s="57">
        <f t="shared" si="245"/>
        <v>645.61365000000001</v>
      </c>
      <c r="P1232" s="58">
        <f t="shared" si="246"/>
        <v>452.63868894601546</v>
      </c>
      <c r="Q1232" s="58">
        <f t="shared" si="247"/>
        <v>301.75912596401031</v>
      </c>
      <c r="R1232" s="66">
        <f t="shared" si="248"/>
        <v>11.298238875000001</v>
      </c>
      <c r="S1232" s="64">
        <f t="shared" si="249"/>
        <v>41.25</v>
      </c>
      <c r="T1232" s="66">
        <f t="shared" si="250"/>
        <v>698.16188887500005</v>
      </c>
      <c r="U1232" s="68">
        <f t="shared" si="251"/>
        <v>63.469262625000006</v>
      </c>
      <c r="V1232" s="68">
        <f t="shared" si="252"/>
        <v>489.48017448586126</v>
      </c>
      <c r="W1232" s="68">
        <f t="shared" si="253"/>
        <v>326.32011632390748</v>
      </c>
    </row>
    <row r="1233" spans="1:23" x14ac:dyDescent="0.25">
      <c r="A1233" s="1" t="s">
        <v>894</v>
      </c>
      <c r="B1233" s="61" t="s">
        <v>396</v>
      </c>
      <c r="C1233" s="1" t="s">
        <v>591</v>
      </c>
      <c r="D1233" s="1" t="s">
        <v>592</v>
      </c>
      <c r="E1233" s="1" t="s">
        <v>597</v>
      </c>
      <c r="F1233" s="62" t="str">
        <f t="shared" si="254"/>
        <v>64586</v>
      </c>
      <c r="G1233" s="1">
        <v>10620071</v>
      </c>
      <c r="H1233" s="1" t="s">
        <v>388</v>
      </c>
      <c r="I1233" s="61">
        <v>35</v>
      </c>
      <c r="J1233" s="61">
        <v>3.3</v>
      </c>
      <c r="K1233" s="61">
        <v>8.1</v>
      </c>
      <c r="L1233" s="69">
        <f t="shared" si="243"/>
        <v>1.155</v>
      </c>
      <c r="M1233" s="69">
        <f t="shared" si="244"/>
        <v>2.835</v>
      </c>
      <c r="N1233" s="56">
        <f>INDEX(Rate_Chart!$A$1:$AK$127,MATCH(Data!J1233,Rate_Chart!$A$1:$A$127,0),MATCH(Data!K1233,Rate_Chart!$A$1:$AK$1,0))</f>
        <v>36.280125900000002</v>
      </c>
      <c r="O1233" s="57">
        <f t="shared" si="245"/>
        <v>1269.8044065000001</v>
      </c>
      <c r="P1233" s="58">
        <f t="shared" si="246"/>
        <v>417.0129413793104</v>
      </c>
      <c r="Q1233" s="58">
        <f t="shared" si="247"/>
        <v>278.00862758620696</v>
      </c>
      <c r="R1233" s="66">
        <f t="shared" si="248"/>
        <v>22.221577113750005</v>
      </c>
      <c r="S1233" s="64">
        <f t="shared" si="249"/>
        <v>131.25</v>
      </c>
      <c r="T1233" s="66">
        <f t="shared" si="250"/>
        <v>1423.2759836137502</v>
      </c>
      <c r="U1233" s="68">
        <f t="shared" si="251"/>
        <v>40.665028103250009</v>
      </c>
      <c r="V1233" s="68">
        <f t="shared" si="252"/>
        <v>467.41411612931046</v>
      </c>
      <c r="W1233" s="68">
        <f t="shared" si="253"/>
        <v>311.60941075287366</v>
      </c>
    </row>
    <row r="1234" spans="1:23" x14ac:dyDescent="0.25">
      <c r="A1234" s="1" t="s">
        <v>894</v>
      </c>
      <c r="B1234" s="61" t="s">
        <v>397</v>
      </c>
      <c r="C1234" s="1" t="s">
        <v>591</v>
      </c>
      <c r="D1234" s="1" t="s">
        <v>592</v>
      </c>
      <c r="E1234" s="1" t="s">
        <v>597</v>
      </c>
      <c r="F1234" s="62" t="str">
        <f t="shared" si="254"/>
        <v>64586</v>
      </c>
      <c r="G1234" s="1">
        <v>10620071</v>
      </c>
      <c r="H1234" s="1" t="s">
        <v>387</v>
      </c>
      <c r="I1234" s="61">
        <v>7</v>
      </c>
      <c r="J1234" s="61">
        <v>7.8</v>
      </c>
      <c r="K1234" s="61">
        <v>8.8000000000000007</v>
      </c>
      <c r="L1234" s="69">
        <f t="shared" si="243"/>
        <v>0.54600000000000004</v>
      </c>
      <c r="M1234" s="69">
        <f t="shared" si="244"/>
        <v>0.6160000000000001</v>
      </c>
      <c r="N1234" s="56">
        <f>INDEX(Rate_Chart!$A$1:$AK$127,MATCH(Data!J1234,Rate_Chart!$A$1:$A$127,0),MATCH(Data!K1234,Rate_Chart!$A$1:$AK$1,0))</f>
        <v>64.478699999999989</v>
      </c>
      <c r="O1234" s="57">
        <f t="shared" si="245"/>
        <v>451.35089999999991</v>
      </c>
      <c r="P1234" s="58">
        <f t="shared" si="246"/>
        <v>471.7953658536585</v>
      </c>
      <c r="Q1234" s="58">
        <f t="shared" si="247"/>
        <v>314.530243902439</v>
      </c>
      <c r="R1234" s="66">
        <f t="shared" si="248"/>
        <v>7.8986407499999993</v>
      </c>
      <c r="S1234" s="64">
        <f t="shared" si="249"/>
        <v>26.25</v>
      </c>
      <c r="T1234" s="66">
        <f t="shared" si="250"/>
        <v>485.49954074999994</v>
      </c>
      <c r="U1234" s="68">
        <f t="shared" si="251"/>
        <v>69.357077249999989</v>
      </c>
      <c r="V1234" s="68">
        <f t="shared" si="252"/>
        <v>507.49080914634141</v>
      </c>
      <c r="W1234" s="68">
        <f t="shared" si="253"/>
        <v>338.32720609756092</v>
      </c>
    </row>
    <row r="1235" spans="1:23" x14ac:dyDescent="0.25">
      <c r="A1235" s="1" t="s">
        <v>894</v>
      </c>
      <c r="B1235" s="61" t="s">
        <v>397</v>
      </c>
      <c r="C1235" s="1" t="s">
        <v>591</v>
      </c>
      <c r="D1235" s="1" t="s">
        <v>592</v>
      </c>
      <c r="E1235" s="1" t="s">
        <v>597</v>
      </c>
      <c r="F1235" s="62" t="str">
        <f t="shared" si="254"/>
        <v>64586</v>
      </c>
      <c r="G1235" s="1">
        <v>10620071</v>
      </c>
      <c r="H1235" s="1" t="s">
        <v>388</v>
      </c>
      <c r="I1235" s="61">
        <v>31</v>
      </c>
      <c r="J1235" s="61">
        <v>3.5</v>
      </c>
      <c r="K1235" s="61">
        <v>8.1</v>
      </c>
      <c r="L1235" s="69">
        <f t="shared" si="243"/>
        <v>1.085</v>
      </c>
      <c r="M1235" s="69">
        <f t="shared" si="244"/>
        <v>2.5110000000000001</v>
      </c>
      <c r="N1235" s="56">
        <f>INDEX(Rate_Chart!$A$1:$AK$127,MATCH(Data!J1235,Rate_Chart!$A$1:$A$127,0),MATCH(Data!K1235,Rate_Chart!$A$1:$AK$1,0))</f>
        <v>37.114125900000005</v>
      </c>
      <c r="O1235" s="57">
        <f t="shared" si="245"/>
        <v>1150.5379029000001</v>
      </c>
      <c r="P1235" s="58">
        <f t="shared" si="246"/>
        <v>417.01265056179784</v>
      </c>
      <c r="Q1235" s="58">
        <f t="shared" si="247"/>
        <v>278.00843370786521</v>
      </c>
      <c r="R1235" s="66">
        <f t="shared" si="248"/>
        <v>20.134413300750001</v>
      </c>
      <c r="S1235" s="64">
        <f t="shared" si="249"/>
        <v>116.25</v>
      </c>
      <c r="T1235" s="66">
        <f t="shared" si="250"/>
        <v>1286.9223162007502</v>
      </c>
      <c r="U1235" s="68">
        <f t="shared" si="251"/>
        <v>41.513623103250005</v>
      </c>
      <c r="V1235" s="68">
        <f t="shared" si="252"/>
        <v>466.44520340730344</v>
      </c>
      <c r="W1235" s="68">
        <f t="shared" si="253"/>
        <v>310.96346893820231</v>
      </c>
    </row>
    <row r="1236" spans="1:23" x14ac:dyDescent="0.25">
      <c r="A1236" s="1" t="s">
        <v>888</v>
      </c>
      <c r="B1236" s="61" t="s">
        <v>396</v>
      </c>
      <c r="C1236" s="1" t="s">
        <v>591</v>
      </c>
      <c r="D1236" s="1" t="s">
        <v>592</v>
      </c>
      <c r="E1236" s="1" t="s">
        <v>598</v>
      </c>
      <c r="F1236" s="62" t="str">
        <f t="shared" si="254"/>
        <v>64590</v>
      </c>
      <c r="G1236" s="1">
        <v>10620062</v>
      </c>
      <c r="H1236" s="1" t="s">
        <v>387</v>
      </c>
      <c r="I1236" s="61">
        <v>14</v>
      </c>
      <c r="J1236" s="61">
        <v>6.8</v>
      </c>
      <c r="K1236" s="61">
        <v>9</v>
      </c>
      <c r="L1236" s="69">
        <f t="shared" si="243"/>
        <v>0.95200000000000007</v>
      </c>
      <c r="M1236" s="69">
        <f t="shared" si="244"/>
        <v>1.26</v>
      </c>
      <c r="N1236" s="56">
        <f>INDEX(Rate_Chart!$A$1:$AK$127,MATCH(Data!J1236,Rate_Chart!$A$1:$A$127,0),MATCH(Data!K1236,Rate_Chart!$A$1:$AK$1,0))</f>
        <v>56.78</v>
      </c>
      <c r="O1236" s="57">
        <f t="shared" si="245"/>
        <v>794.92000000000007</v>
      </c>
      <c r="P1236" s="58">
        <f t="shared" si="246"/>
        <v>443.59375</v>
      </c>
      <c r="Q1236" s="58">
        <f t="shared" si="247"/>
        <v>295.72916666666669</v>
      </c>
      <c r="R1236" s="66">
        <f t="shared" si="248"/>
        <v>13.911100000000003</v>
      </c>
      <c r="S1236" s="64">
        <f t="shared" si="249"/>
        <v>52.5</v>
      </c>
      <c r="T1236" s="66">
        <f t="shared" si="250"/>
        <v>861.33110000000011</v>
      </c>
      <c r="U1236" s="68">
        <f t="shared" si="251"/>
        <v>61.523650000000011</v>
      </c>
      <c r="V1236" s="68">
        <f t="shared" si="252"/>
        <v>480.65351562500007</v>
      </c>
      <c r="W1236" s="68">
        <f t="shared" si="253"/>
        <v>320.43567708333336</v>
      </c>
    </row>
    <row r="1237" spans="1:23" x14ac:dyDescent="0.25">
      <c r="A1237" s="1" t="s">
        <v>888</v>
      </c>
      <c r="B1237" s="61" t="s">
        <v>397</v>
      </c>
      <c r="C1237" s="1" t="s">
        <v>591</v>
      </c>
      <c r="D1237" s="1" t="s">
        <v>592</v>
      </c>
      <c r="E1237" s="1" t="s">
        <v>598</v>
      </c>
      <c r="F1237" s="62" t="str">
        <f t="shared" si="254"/>
        <v>64590</v>
      </c>
      <c r="G1237" s="1">
        <v>10620062</v>
      </c>
      <c r="H1237" s="1" t="s">
        <v>387</v>
      </c>
      <c r="I1237" s="61">
        <v>17</v>
      </c>
      <c r="J1237" s="61">
        <v>7.6</v>
      </c>
      <c r="K1237" s="61">
        <v>9</v>
      </c>
      <c r="L1237" s="69">
        <f t="shared" si="243"/>
        <v>1.2919999999999998</v>
      </c>
      <c r="M1237" s="69">
        <f t="shared" si="244"/>
        <v>1.53</v>
      </c>
      <c r="N1237" s="56">
        <f>INDEX(Rate_Chart!$A$1:$AK$127,MATCH(Data!J1237,Rate_Chart!$A$1:$A$127,0),MATCH(Data!K1237,Rate_Chart!$A$1:$AK$1,0))</f>
        <v>63.46</v>
      </c>
      <c r="O1237" s="57">
        <f t="shared" si="245"/>
        <v>1078.82</v>
      </c>
      <c r="P1237" s="58">
        <f t="shared" si="246"/>
        <v>466.61764705882348</v>
      </c>
      <c r="Q1237" s="58">
        <f t="shared" si="247"/>
        <v>311.07843137254901</v>
      </c>
      <c r="R1237" s="66">
        <f t="shared" si="248"/>
        <v>18.879350000000002</v>
      </c>
      <c r="S1237" s="64">
        <f t="shared" si="249"/>
        <v>63.75</v>
      </c>
      <c r="T1237" s="66">
        <f t="shared" si="250"/>
        <v>1161.4493499999999</v>
      </c>
      <c r="U1237" s="68">
        <f t="shared" si="251"/>
        <v>68.320549999999997</v>
      </c>
      <c r="V1237" s="68">
        <f t="shared" si="252"/>
        <v>502.35698529411758</v>
      </c>
      <c r="W1237" s="68">
        <f t="shared" si="253"/>
        <v>334.90465686274507</v>
      </c>
    </row>
    <row r="1238" spans="1:23" x14ac:dyDescent="0.25">
      <c r="A1238" s="1" t="s">
        <v>888</v>
      </c>
      <c r="B1238" s="61" t="s">
        <v>397</v>
      </c>
      <c r="C1238" s="1" t="s">
        <v>591</v>
      </c>
      <c r="D1238" s="1" t="s">
        <v>592</v>
      </c>
      <c r="E1238" s="1" t="s">
        <v>598</v>
      </c>
      <c r="F1238" s="62" t="str">
        <f t="shared" si="254"/>
        <v>64590</v>
      </c>
      <c r="G1238" s="1">
        <v>10620062</v>
      </c>
      <c r="H1238" s="1" t="s">
        <v>388</v>
      </c>
      <c r="I1238" s="61">
        <v>9</v>
      </c>
      <c r="J1238" s="61">
        <v>3</v>
      </c>
      <c r="K1238" s="61">
        <v>8</v>
      </c>
      <c r="L1238" s="69">
        <f t="shared" si="243"/>
        <v>0.27</v>
      </c>
      <c r="M1238" s="69">
        <f t="shared" si="244"/>
        <v>0.72</v>
      </c>
      <c r="N1238" s="56">
        <f>INDEX(Rate_Chart!$A$1:$AK$127,MATCH(Data!J1238,Rate_Chart!$A$1:$A$127,0),MATCH(Data!K1238,Rate_Chart!$A$1:$AK$1,0))</f>
        <v>34.751112000000006</v>
      </c>
      <c r="O1238" s="57">
        <f t="shared" si="245"/>
        <v>312.76000800000008</v>
      </c>
      <c r="P1238" s="58">
        <f t="shared" si="246"/>
        <v>417.01334400000002</v>
      </c>
      <c r="Q1238" s="58">
        <f t="shared" si="247"/>
        <v>278.00889599999999</v>
      </c>
      <c r="R1238" s="66">
        <f t="shared" si="248"/>
        <v>5.4733001400000019</v>
      </c>
      <c r="S1238" s="64">
        <f t="shared" si="249"/>
        <v>33.75</v>
      </c>
      <c r="T1238" s="66">
        <f t="shared" si="250"/>
        <v>351.98330814000008</v>
      </c>
      <c r="U1238" s="68">
        <f t="shared" si="251"/>
        <v>39.109256460000012</v>
      </c>
      <c r="V1238" s="68">
        <f t="shared" si="252"/>
        <v>469.31107752000008</v>
      </c>
      <c r="W1238" s="68">
        <f t="shared" si="253"/>
        <v>312.87405168000004</v>
      </c>
    </row>
    <row r="1239" spans="1:23" x14ac:dyDescent="0.25">
      <c r="A1239" s="1" t="s">
        <v>889</v>
      </c>
      <c r="B1239" s="61" t="s">
        <v>396</v>
      </c>
      <c r="C1239" s="1" t="s">
        <v>591</v>
      </c>
      <c r="D1239" s="1" t="s">
        <v>592</v>
      </c>
      <c r="E1239" s="1" t="s">
        <v>598</v>
      </c>
      <c r="F1239" s="62" t="str">
        <f t="shared" si="254"/>
        <v>64590</v>
      </c>
      <c r="G1239" s="1">
        <v>10620062</v>
      </c>
      <c r="H1239" s="1" t="s">
        <v>388</v>
      </c>
      <c r="I1239" s="61">
        <v>12</v>
      </c>
      <c r="J1239" s="61">
        <v>4.5999999999999996</v>
      </c>
      <c r="K1239" s="61">
        <v>8.1</v>
      </c>
      <c r="L1239" s="69">
        <f t="shared" si="243"/>
        <v>0.55199999999999994</v>
      </c>
      <c r="M1239" s="69">
        <f t="shared" si="244"/>
        <v>0.97199999999999986</v>
      </c>
      <c r="N1239" s="56">
        <f>INDEX(Rate_Chart!$A$1:$AK$127,MATCH(Data!J1239,Rate_Chart!$A$1:$A$127,0),MATCH(Data!K1239,Rate_Chart!$A$1:$AK$1,0))</f>
        <v>41.701125900000001</v>
      </c>
      <c r="O1239" s="57">
        <f t="shared" si="245"/>
        <v>500.41351080000004</v>
      </c>
      <c r="P1239" s="58">
        <f t="shared" si="246"/>
        <v>417.011259</v>
      </c>
      <c r="Q1239" s="58">
        <f t="shared" si="247"/>
        <v>278.00750599999998</v>
      </c>
      <c r="R1239" s="66">
        <f t="shared" si="248"/>
        <v>8.7572364390000015</v>
      </c>
      <c r="S1239" s="64">
        <f t="shared" si="249"/>
        <v>45</v>
      </c>
      <c r="T1239" s="66">
        <f t="shared" si="250"/>
        <v>554.17074723900009</v>
      </c>
      <c r="U1239" s="68">
        <f t="shared" si="251"/>
        <v>46.180895603250008</v>
      </c>
      <c r="V1239" s="68">
        <f t="shared" si="252"/>
        <v>461.80895603250008</v>
      </c>
      <c r="W1239" s="68">
        <f t="shared" si="253"/>
        <v>307.87263735500005</v>
      </c>
    </row>
    <row r="1240" spans="1:23" x14ac:dyDescent="0.25">
      <c r="A1240" s="1" t="s">
        <v>889</v>
      </c>
      <c r="B1240" s="61" t="s">
        <v>397</v>
      </c>
      <c r="C1240" s="1" t="s">
        <v>591</v>
      </c>
      <c r="D1240" s="1" t="s">
        <v>592</v>
      </c>
      <c r="E1240" s="1" t="s">
        <v>598</v>
      </c>
      <c r="F1240" s="62" t="str">
        <f t="shared" si="254"/>
        <v>64590</v>
      </c>
      <c r="G1240" s="1">
        <v>10620062</v>
      </c>
      <c r="H1240" s="1" t="s">
        <v>387</v>
      </c>
      <c r="I1240" s="61">
        <v>15</v>
      </c>
      <c r="J1240" s="61">
        <v>8.1999999999999993</v>
      </c>
      <c r="K1240" s="61">
        <v>9</v>
      </c>
      <c r="L1240" s="69">
        <f t="shared" si="243"/>
        <v>1.2299999999999998</v>
      </c>
      <c r="M1240" s="69">
        <f t="shared" si="244"/>
        <v>1.35</v>
      </c>
      <c r="N1240" s="56">
        <f>INDEX(Rate_Chart!$A$1:$AK$127,MATCH(Data!J1240,Rate_Chart!$A$1:$A$127,0),MATCH(Data!K1240,Rate_Chart!$A$1:$AK$1,0))</f>
        <v>68.469999999999985</v>
      </c>
      <c r="O1240" s="57">
        <f t="shared" si="245"/>
        <v>1027.0499999999997</v>
      </c>
      <c r="P1240" s="58">
        <f t="shared" si="246"/>
        <v>482.18309859154925</v>
      </c>
      <c r="Q1240" s="58">
        <f t="shared" si="247"/>
        <v>321.45539906103284</v>
      </c>
      <c r="R1240" s="66">
        <f t="shared" si="248"/>
        <v>17.973374999999997</v>
      </c>
      <c r="S1240" s="64">
        <f t="shared" si="249"/>
        <v>56.25</v>
      </c>
      <c r="T1240" s="66">
        <f t="shared" si="250"/>
        <v>1101.2733749999998</v>
      </c>
      <c r="U1240" s="68">
        <f t="shared" si="251"/>
        <v>73.418224999999978</v>
      </c>
      <c r="V1240" s="68">
        <f t="shared" si="252"/>
        <v>517.02975352112662</v>
      </c>
      <c r="W1240" s="68">
        <f t="shared" si="253"/>
        <v>344.68650234741773</v>
      </c>
    </row>
    <row r="1241" spans="1:23" x14ac:dyDescent="0.25">
      <c r="A1241" s="1" t="s">
        <v>889</v>
      </c>
      <c r="B1241" s="61" t="s">
        <v>397</v>
      </c>
      <c r="C1241" s="1" t="s">
        <v>591</v>
      </c>
      <c r="D1241" s="1" t="s">
        <v>592</v>
      </c>
      <c r="E1241" s="1" t="s">
        <v>598</v>
      </c>
      <c r="F1241" s="62" t="str">
        <f t="shared" si="254"/>
        <v>64590</v>
      </c>
      <c r="G1241" s="1">
        <v>10620062</v>
      </c>
      <c r="H1241" s="1" t="s">
        <v>388</v>
      </c>
      <c r="I1241" s="61">
        <v>9</v>
      </c>
      <c r="J1241" s="61">
        <v>3.3</v>
      </c>
      <c r="K1241" s="61">
        <v>8</v>
      </c>
      <c r="L1241" s="69">
        <f t="shared" si="243"/>
        <v>0.29699999999999999</v>
      </c>
      <c r="M1241" s="69">
        <f t="shared" si="244"/>
        <v>0.72</v>
      </c>
      <c r="N1241" s="56">
        <f>INDEX(Rate_Chart!$A$1:$AK$127,MATCH(Data!J1241,Rate_Chart!$A$1:$A$127,0),MATCH(Data!K1241,Rate_Chart!$A$1:$AK$1,0))</f>
        <v>36.002112000000004</v>
      </c>
      <c r="O1241" s="57">
        <f t="shared" si="245"/>
        <v>324.01900800000004</v>
      </c>
      <c r="P1241" s="58">
        <f t="shared" si="246"/>
        <v>417.01288030888031</v>
      </c>
      <c r="Q1241" s="58">
        <f t="shared" si="247"/>
        <v>278.00858687258687</v>
      </c>
      <c r="R1241" s="66">
        <f t="shared" si="248"/>
        <v>5.6703326400000016</v>
      </c>
      <c r="S1241" s="64">
        <f t="shared" si="249"/>
        <v>33.75</v>
      </c>
      <c r="T1241" s="66">
        <f t="shared" si="250"/>
        <v>363.43934064000007</v>
      </c>
      <c r="U1241" s="68">
        <f t="shared" si="251"/>
        <v>40.382148960000009</v>
      </c>
      <c r="V1241" s="68">
        <f t="shared" si="252"/>
        <v>467.74689915057917</v>
      </c>
      <c r="W1241" s="68">
        <f t="shared" si="253"/>
        <v>311.83126610038613</v>
      </c>
    </row>
    <row r="1242" spans="1:23" x14ac:dyDescent="0.25">
      <c r="A1242" s="1" t="s">
        <v>890</v>
      </c>
      <c r="B1242" s="61" t="s">
        <v>396</v>
      </c>
      <c r="C1242" s="1" t="s">
        <v>591</v>
      </c>
      <c r="D1242" s="1" t="s">
        <v>592</v>
      </c>
      <c r="E1242" s="1" t="s">
        <v>598</v>
      </c>
      <c r="F1242" s="62" t="str">
        <f t="shared" si="254"/>
        <v>64590</v>
      </c>
      <c r="G1242" s="1">
        <v>10620062</v>
      </c>
      <c r="H1242" s="1" t="s">
        <v>388</v>
      </c>
      <c r="I1242" s="61">
        <v>14</v>
      </c>
      <c r="J1242" s="61">
        <v>5.2</v>
      </c>
      <c r="K1242" s="61">
        <v>8.1999999999999993</v>
      </c>
      <c r="L1242" s="69">
        <f t="shared" si="243"/>
        <v>0.72799999999999998</v>
      </c>
      <c r="M1242" s="69">
        <f t="shared" si="244"/>
        <v>1.1479999999999999</v>
      </c>
      <c r="N1242" s="56">
        <f>INDEX(Rate_Chart!$A$1:$AK$127,MATCH(Data!J1242,Rate_Chart!$A$1:$A$127,0),MATCH(Data!K1242,Rate_Chart!$A$1:$AK$1,0))</f>
        <v>44.481139800000001</v>
      </c>
      <c r="O1242" s="57">
        <f t="shared" si="245"/>
        <v>622.73595720000003</v>
      </c>
      <c r="P1242" s="58">
        <f t="shared" si="246"/>
        <v>417.01068562500006</v>
      </c>
      <c r="Q1242" s="58">
        <f t="shared" si="247"/>
        <v>278.00712375000006</v>
      </c>
      <c r="R1242" s="66">
        <f t="shared" si="248"/>
        <v>10.897879251000001</v>
      </c>
      <c r="S1242" s="64">
        <f t="shared" si="249"/>
        <v>52.5</v>
      </c>
      <c r="T1242" s="66">
        <f t="shared" si="250"/>
        <v>686.13383645099998</v>
      </c>
      <c r="U1242" s="68">
        <f t="shared" si="251"/>
        <v>49.009559746499995</v>
      </c>
      <c r="V1242" s="68">
        <f t="shared" si="252"/>
        <v>459.46462262343749</v>
      </c>
      <c r="W1242" s="68">
        <f t="shared" si="253"/>
        <v>306.30974841562499</v>
      </c>
    </row>
    <row r="1243" spans="1:23" x14ac:dyDescent="0.25">
      <c r="A1243" s="1" t="s">
        <v>890</v>
      </c>
      <c r="B1243" s="61" t="s">
        <v>397</v>
      </c>
      <c r="C1243" s="1" t="s">
        <v>591</v>
      </c>
      <c r="D1243" s="1" t="s">
        <v>592</v>
      </c>
      <c r="E1243" s="1" t="s">
        <v>598</v>
      </c>
      <c r="F1243" s="62" t="str">
        <f t="shared" si="254"/>
        <v>64590</v>
      </c>
      <c r="G1243" s="1">
        <v>10620062</v>
      </c>
      <c r="H1243" s="1" t="s">
        <v>387</v>
      </c>
      <c r="I1243" s="61">
        <v>27</v>
      </c>
      <c r="J1243" s="61">
        <v>6.4</v>
      </c>
      <c r="K1243" s="61">
        <v>8.4</v>
      </c>
      <c r="L1243" s="69">
        <f t="shared" si="243"/>
        <v>1.7280000000000002</v>
      </c>
      <c r="M1243" s="69">
        <f t="shared" si="244"/>
        <v>2.2680000000000002</v>
      </c>
      <c r="N1243" s="56">
        <f>INDEX(Rate_Chart!$A$1:$AK$127,MATCH(Data!J1243,Rate_Chart!$A$1:$A$127,0),MATCH(Data!K1243,Rate_Chart!$A$1:$AK$1,0))</f>
        <v>51.836799999999997</v>
      </c>
      <c r="O1243" s="57">
        <f t="shared" si="245"/>
        <v>1399.5935999999999</v>
      </c>
      <c r="P1243" s="58">
        <f t="shared" si="246"/>
        <v>431.9733333333333</v>
      </c>
      <c r="Q1243" s="58">
        <f t="shared" si="247"/>
        <v>287.98222222222222</v>
      </c>
      <c r="R1243" s="66">
        <f t="shared" si="248"/>
        <v>24.492888000000001</v>
      </c>
      <c r="S1243" s="64">
        <f t="shared" si="249"/>
        <v>101.25</v>
      </c>
      <c r="T1243" s="66">
        <f t="shared" si="250"/>
        <v>1525.3364879999999</v>
      </c>
      <c r="U1243" s="68">
        <f t="shared" si="251"/>
        <v>56.493943999999999</v>
      </c>
      <c r="V1243" s="68">
        <f t="shared" si="252"/>
        <v>470.78286666666668</v>
      </c>
      <c r="W1243" s="68">
        <f t="shared" si="253"/>
        <v>313.85524444444445</v>
      </c>
    </row>
    <row r="1244" spans="1:23" x14ac:dyDescent="0.25">
      <c r="A1244" s="1" t="s">
        <v>891</v>
      </c>
      <c r="B1244" s="61" t="s">
        <v>396</v>
      </c>
      <c r="C1244" s="1" t="s">
        <v>591</v>
      </c>
      <c r="D1244" s="1" t="s">
        <v>592</v>
      </c>
      <c r="E1244" s="1" t="s">
        <v>598</v>
      </c>
      <c r="F1244" s="62" t="str">
        <f t="shared" si="254"/>
        <v>64590</v>
      </c>
      <c r="G1244" s="1">
        <v>10620062</v>
      </c>
      <c r="H1244" s="1" t="s">
        <v>387</v>
      </c>
      <c r="I1244" s="61">
        <v>16</v>
      </c>
      <c r="J1244" s="61">
        <v>6.2</v>
      </c>
      <c r="K1244" s="61">
        <v>8.8000000000000007</v>
      </c>
      <c r="L1244" s="69">
        <f t="shared" si="243"/>
        <v>0.99199999999999999</v>
      </c>
      <c r="M1244" s="69">
        <f t="shared" si="244"/>
        <v>1.4080000000000001</v>
      </c>
      <c r="N1244" s="56">
        <f>INDEX(Rate_Chart!$A$1:$AK$127,MATCH(Data!J1244,Rate_Chart!$A$1:$A$127,0),MATCH(Data!K1244,Rate_Chart!$A$1:$AK$1,0))</f>
        <v>51.252300000000005</v>
      </c>
      <c r="O1244" s="57">
        <f t="shared" si="245"/>
        <v>820.03680000000008</v>
      </c>
      <c r="P1244" s="58">
        <f t="shared" si="246"/>
        <v>424.74281767955802</v>
      </c>
      <c r="Q1244" s="58">
        <f t="shared" si="247"/>
        <v>283.1618784530387</v>
      </c>
      <c r="R1244" s="66">
        <f t="shared" si="248"/>
        <v>14.350644000000003</v>
      </c>
      <c r="S1244" s="64">
        <f t="shared" si="249"/>
        <v>60</v>
      </c>
      <c r="T1244" s="66">
        <f t="shared" si="250"/>
        <v>894.38744400000007</v>
      </c>
      <c r="U1244" s="68">
        <f t="shared" si="251"/>
        <v>55.899215250000005</v>
      </c>
      <c r="V1244" s="68">
        <f t="shared" si="252"/>
        <v>463.25316505524864</v>
      </c>
      <c r="W1244" s="68">
        <f t="shared" si="253"/>
        <v>308.83544337016576</v>
      </c>
    </row>
    <row r="1245" spans="1:23" x14ac:dyDescent="0.25">
      <c r="A1245" s="1" t="s">
        <v>891</v>
      </c>
      <c r="B1245" s="61" t="s">
        <v>397</v>
      </c>
      <c r="C1245" s="1" t="s">
        <v>591</v>
      </c>
      <c r="D1245" s="1" t="s">
        <v>592</v>
      </c>
      <c r="E1245" s="1" t="s">
        <v>598</v>
      </c>
      <c r="F1245" s="62" t="str">
        <f t="shared" si="254"/>
        <v>64590</v>
      </c>
      <c r="G1245" s="1">
        <v>10620062</v>
      </c>
      <c r="H1245" s="1" t="s">
        <v>387</v>
      </c>
      <c r="I1245" s="61">
        <v>10</v>
      </c>
      <c r="J1245" s="61">
        <v>8.5</v>
      </c>
      <c r="K1245" s="61">
        <v>9</v>
      </c>
      <c r="L1245" s="69">
        <f t="shared" si="243"/>
        <v>0.85</v>
      </c>
      <c r="M1245" s="69">
        <f t="shared" si="244"/>
        <v>0.9</v>
      </c>
      <c r="N1245" s="56">
        <f>INDEX(Rate_Chart!$A$1:$AK$127,MATCH(Data!J1245,Rate_Chart!$A$1:$A$127,0),MATCH(Data!K1245,Rate_Chart!$A$1:$AK$1,0))</f>
        <v>70.975000000000009</v>
      </c>
      <c r="O1245" s="57">
        <f t="shared" si="245"/>
        <v>709.75000000000011</v>
      </c>
      <c r="P1245" s="58">
        <f t="shared" si="246"/>
        <v>489.48275862068965</v>
      </c>
      <c r="Q1245" s="58">
        <f t="shared" si="247"/>
        <v>326.32183908045977</v>
      </c>
      <c r="R1245" s="66">
        <f t="shared" si="248"/>
        <v>12.420625000000003</v>
      </c>
      <c r="S1245" s="64">
        <f t="shared" si="249"/>
        <v>37.5</v>
      </c>
      <c r="T1245" s="66">
        <f t="shared" si="250"/>
        <v>759.67062500000009</v>
      </c>
      <c r="U1245" s="68">
        <f t="shared" si="251"/>
        <v>75.967062500000011</v>
      </c>
      <c r="V1245" s="68">
        <f t="shared" si="252"/>
        <v>523.91077586206893</v>
      </c>
      <c r="W1245" s="68">
        <f t="shared" si="253"/>
        <v>349.27385057471264</v>
      </c>
    </row>
    <row r="1246" spans="1:23" x14ac:dyDescent="0.25">
      <c r="A1246" s="1" t="s">
        <v>891</v>
      </c>
      <c r="B1246" s="61" t="s">
        <v>397</v>
      </c>
      <c r="C1246" s="1" t="s">
        <v>591</v>
      </c>
      <c r="D1246" s="1" t="s">
        <v>592</v>
      </c>
      <c r="E1246" s="1" t="s">
        <v>598</v>
      </c>
      <c r="F1246" s="62" t="str">
        <f t="shared" si="254"/>
        <v>64590</v>
      </c>
      <c r="G1246" s="1">
        <v>10620062</v>
      </c>
      <c r="H1246" s="1" t="s">
        <v>388</v>
      </c>
      <c r="I1246" s="61">
        <v>11</v>
      </c>
      <c r="J1246" s="61">
        <v>3</v>
      </c>
      <c r="K1246" s="61">
        <v>8</v>
      </c>
      <c r="L1246" s="69">
        <f t="shared" si="243"/>
        <v>0.33</v>
      </c>
      <c r="M1246" s="69">
        <f t="shared" si="244"/>
        <v>0.88</v>
      </c>
      <c r="N1246" s="56">
        <f>INDEX(Rate_Chart!$A$1:$AK$127,MATCH(Data!J1246,Rate_Chart!$A$1:$A$127,0),MATCH(Data!K1246,Rate_Chart!$A$1:$AK$1,0))</f>
        <v>34.751112000000006</v>
      </c>
      <c r="O1246" s="57">
        <f t="shared" si="245"/>
        <v>382.26223200000004</v>
      </c>
      <c r="P1246" s="58">
        <f t="shared" si="246"/>
        <v>417.01334400000002</v>
      </c>
      <c r="Q1246" s="58">
        <f t="shared" si="247"/>
        <v>278.00889599999999</v>
      </c>
      <c r="R1246" s="66">
        <f t="shared" si="248"/>
        <v>6.6895890600000012</v>
      </c>
      <c r="S1246" s="64">
        <f t="shared" si="249"/>
        <v>41.25</v>
      </c>
      <c r="T1246" s="66">
        <f t="shared" si="250"/>
        <v>430.20182106000004</v>
      </c>
      <c r="U1246" s="68">
        <f t="shared" si="251"/>
        <v>39.109256460000005</v>
      </c>
      <c r="V1246" s="68">
        <f t="shared" si="252"/>
        <v>469.31107752000003</v>
      </c>
      <c r="W1246" s="68">
        <f t="shared" si="253"/>
        <v>312.87405168000004</v>
      </c>
    </row>
    <row r="1247" spans="1:23" x14ac:dyDescent="0.25">
      <c r="A1247" s="1" t="s">
        <v>892</v>
      </c>
      <c r="B1247" s="61" t="s">
        <v>396</v>
      </c>
      <c r="C1247" s="1" t="s">
        <v>591</v>
      </c>
      <c r="D1247" s="1" t="s">
        <v>592</v>
      </c>
      <c r="E1247" s="1" t="s">
        <v>598</v>
      </c>
      <c r="F1247" s="62" t="str">
        <f t="shared" si="254"/>
        <v>64590</v>
      </c>
      <c r="G1247" s="1">
        <v>10620062</v>
      </c>
      <c r="H1247" s="1" t="s">
        <v>387</v>
      </c>
      <c r="I1247" s="61">
        <v>15</v>
      </c>
      <c r="J1247" s="61">
        <v>5.8</v>
      </c>
      <c r="K1247" s="61">
        <v>8.4</v>
      </c>
      <c r="L1247" s="69">
        <f t="shared" si="243"/>
        <v>0.87</v>
      </c>
      <c r="M1247" s="69">
        <f t="shared" si="244"/>
        <v>1.26</v>
      </c>
      <c r="N1247" s="56">
        <f>INDEX(Rate_Chart!$A$1:$AK$127,MATCH(Data!J1247,Rate_Chart!$A$1:$A$127,0),MATCH(Data!K1247,Rate_Chart!$A$1:$AK$1,0))</f>
        <v>46.9771</v>
      </c>
      <c r="O1247" s="57">
        <f t="shared" si="245"/>
        <v>704.65650000000005</v>
      </c>
      <c r="P1247" s="58">
        <f t="shared" si="246"/>
        <v>412.07982456140354</v>
      </c>
      <c r="Q1247" s="58">
        <f t="shared" si="247"/>
        <v>274.71988304093571</v>
      </c>
      <c r="R1247" s="66">
        <f t="shared" si="248"/>
        <v>12.331488750000002</v>
      </c>
      <c r="S1247" s="64">
        <f t="shared" si="249"/>
        <v>56.25</v>
      </c>
      <c r="T1247" s="66">
        <f t="shared" si="250"/>
        <v>773.23798875000011</v>
      </c>
      <c r="U1247" s="68">
        <f t="shared" si="251"/>
        <v>51.549199250000008</v>
      </c>
      <c r="V1247" s="68">
        <f t="shared" si="252"/>
        <v>452.18595833333342</v>
      </c>
      <c r="W1247" s="68">
        <f t="shared" si="253"/>
        <v>301.45730555555559</v>
      </c>
    </row>
    <row r="1248" spans="1:23" x14ac:dyDescent="0.25">
      <c r="A1248" s="1" t="s">
        <v>892</v>
      </c>
      <c r="B1248" s="61" t="s">
        <v>397</v>
      </c>
      <c r="C1248" s="1" t="s">
        <v>591</v>
      </c>
      <c r="D1248" s="1" t="s">
        <v>592</v>
      </c>
      <c r="E1248" s="1" t="s">
        <v>598</v>
      </c>
      <c r="F1248" s="62" t="str">
        <f t="shared" si="254"/>
        <v>64590</v>
      </c>
      <c r="G1248" s="1">
        <v>10620062</v>
      </c>
      <c r="H1248" s="1" t="s">
        <v>387</v>
      </c>
      <c r="I1248" s="61">
        <v>16</v>
      </c>
      <c r="J1248" s="61">
        <v>8</v>
      </c>
      <c r="K1248" s="61">
        <v>9</v>
      </c>
      <c r="L1248" s="69">
        <f t="shared" si="243"/>
        <v>1.28</v>
      </c>
      <c r="M1248" s="69">
        <f t="shared" si="244"/>
        <v>1.44</v>
      </c>
      <c r="N1248" s="56">
        <f>INDEX(Rate_Chart!$A$1:$AK$127,MATCH(Data!J1248,Rate_Chart!$A$1:$A$127,0),MATCH(Data!K1248,Rate_Chart!$A$1:$AK$1,0))</f>
        <v>66.8</v>
      </c>
      <c r="O1248" s="57">
        <f t="shared" si="245"/>
        <v>1068.8</v>
      </c>
      <c r="P1248" s="58">
        <f t="shared" si="246"/>
        <v>477.14285714285705</v>
      </c>
      <c r="Q1248" s="58">
        <f t="shared" si="247"/>
        <v>318.09523809523802</v>
      </c>
      <c r="R1248" s="66">
        <f t="shared" si="248"/>
        <v>18.704000000000001</v>
      </c>
      <c r="S1248" s="64">
        <f t="shared" si="249"/>
        <v>60</v>
      </c>
      <c r="T1248" s="66">
        <f t="shared" si="250"/>
        <v>1147.5039999999999</v>
      </c>
      <c r="U1248" s="68">
        <f t="shared" si="251"/>
        <v>71.718999999999994</v>
      </c>
      <c r="V1248" s="68">
        <f t="shared" si="252"/>
        <v>512.27857142857135</v>
      </c>
      <c r="W1248" s="68">
        <f t="shared" si="253"/>
        <v>341.51904761904757</v>
      </c>
    </row>
    <row r="1249" spans="1:23" x14ac:dyDescent="0.25">
      <c r="A1249" s="1" t="s">
        <v>892</v>
      </c>
      <c r="B1249" s="61" t="s">
        <v>397</v>
      </c>
      <c r="C1249" s="1" t="s">
        <v>591</v>
      </c>
      <c r="D1249" s="1" t="s">
        <v>592</v>
      </c>
      <c r="E1249" s="1" t="s">
        <v>598</v>
      </c>
      <c r="F1249" s="62" t="str">
        <f t="shared" si="254"/>
        <v>64590</v>
      </c>
      <c r="G1249" s="1">
        <v>10620062</v>
      </c>
      <c r="H1249" s="1" t="s">
        <v>388</v>
      </c>
      <c r="I1249" s="61">
        <v>9</v>
      </c>
      <c r="J1249" s="61">
        <v>3.2</v>
      </c>
      <c r="K1249" s="61">
        <v>8.1</v>
      </c>
      <c r="L1249" s="69">
        <f t="shared" si="243"/>
        <v>0.28800000000000003</v>
      </c>
      <c r="M1249" s="69">
        <f t="shared" si="244"/>
        <v>0.72899999999999987</v>
      </c>
      <c r="N1249" s="56">
        <f>INDEX(Rate_Chart!$A$1:$AK$127,MATCH(Data!J1249,Rate_Chart!$A$1:$A$127,0),MATCH(Data!K1249,Rate_Chart!$A$1:$AK$1,0))</f>
        <v>35.8631259</v>
      </c>
      <c r="O1249" s="57">
        <f t="shared" si="245"/>
        <v>322.7681331</v>
      </c>
      <c r="P1249" s="58">
        <f t="shared" si="246"/>
        <v>417.01309186046512</v>
      </c>
      <c r="Q1249" s="58">
        <f t="shared" si="247"/>
        <v>278.00872790697673</v>
      </c>
      <c r="R1249" s="66">
        <f t="shared" si="248"/>
        <v>5.6484423292500008</v>
      </c>
      <c r="S1249" s="64">
        <f t="shared" si="249"/>
        <v>33.75</v>
      </c>
      <c r="T1249" s="66">
        <f t="shared" si="250"/>
        <v>362.16657542924997</v>
      </c>
      <c r="U1249" s="68">
        <f t="shared" si="251"/>
        <v>40.24073060325</v>
      </c>
      <c r="V1249" s="68">
        <f t="shared" si="252"/>
        <v>467.91547213081401</v>
      </c>
      <c r="W1249" s="68">
        <f t="shared" si="253"/>
        <v>311.94364808720934</v>
      </c>
    </row>
    <row r="1250" spans="1:23" x14ac:dyDescent="0.25">
      <c r="A1250" s="1" t="s">
        <v>893</v>
      </c>
      <c r="B1250" s="61" t="s">
        <v>396</v>
      </c>
      <c r="C1250" s="1" t="s">
        <v>591</v>
      </c>
      <c r="D1250" s="1" t="s">
        <v>592</v>
      </c>
      <c r="E1250" s="1" t="s">
        <v>598</v>
      </c>
      <c r="F1250" s="62" t="str">
        <f t="shared" si="254"/>
        <v>64590</v>
      </c>
      <c r="G1250" s="1">
        <v>10620062</v>
      </c>
      <c r="H1250" s="1" t="s">
        <v>388</v>
      </c>
      <c r="I1250" s="61">
        <v>12</v>
      </c>
      <c r="J1250" s="61">
        <v>4.8</v>
      </c>
      <c r="K1250" s="61">
        <v>8.4</v>
      </c>
      <c r="L1250" s="69">
        <f t="shared" si="243"/>
        <v>0.57599999999999996</v>
      </c>
      <c r="M1250" s="69">
        <f t="shared" si="244"/>
        <v>1.008</v>
      </c>
      <c r="N1250" s="56">
        <f>INDEX(Rate_Chart!$A$1:$AK$127,MATCH(Data!J1250,Rate_Chart!$A$1:$A$127,0),MATCH(Data!K1250,Rate_Chart!$A$1:$AK$1,0))</f>
        <v>43.369167600000011</v>
      </c>
      <c r="O1250" s="57">
        <f t="shared" si="245"/>
        <v>520.43001120000008</v>
      </c>
      <c r="P1250" s="58">
        <f t="shared" si="246"/>
        <v>417.011226923077</v>
      </c>
      <c r="Q1250" s="58">
        <f t="shared" si="247"/>
        <v>278.00748461538467</v>
      </c>
      <c r="R1250" s="66">
        <f t="shared" si="248"/>
        <v>9.1075251960000028</v>
      </c>
      <c r="S1250" s="64">
        <f t="shared" si="249"/>
        <v>45</v>
      </c>
      <c r="T1250" s="66">
        <f t="shared" si="250"/>
        <v>574.53753639600006</v>
      </c>
      <c r="U1250" s="68">
        <f t="shared" si="251"/>
        <v>47.878128033000003</v>
      </c>
      <c r="V1250" s="68">
        <f t="shared" si="252"/>
        <v>460.36661570192308</v>
      </c>
      <c r="W1250" s="68">
        <f t="shared" si="253"/>
        <v>306.91107713461537</v>
      </c>
    </row>
    <row r="1251" spans="1:23" x14ac:dyDescent="0.25">
      <c r="A1251" s="1" t="s">
        <v>893</v>
      </c>
      <c r="B1251" s="61" t="s">
        <v>397</v>
      </c>
      <c r="C1251" s="1" t="s">
        <v>591</v>
      </c>
      <c r="D1251" s="1" t="s">
        <v>592</v>
      </c>
      <c r="E1251" s="1" t="s">
        <v>598</v>
      </c>
      <c r="F1251" s="62" t="str">
        <f t="shared" si="254"/>
        <v>64590</v>
      </c>
      <c r="G1251" s="1">
        <v>10620062</v>
      </c>
      <c r="H1251" s="1" t="s">
        <v>387</v>
      </c>
      <c r="I1251" s="61">
        <v>20</v>
      </c>
      <c r="J1251" s="61">
        <v>6.5</v>
      </c>
      <c r="K1251" s="61">
        <v>8.8000000000000007</v>
      </c>
      <c r="L1251" s="69">
        <f t="shared" si="243"/>
        <v>1.3</v>
      </c>
      <c r="M1251" s="69">
        <f t="shared" si="244"/>
        <v>1.76</v>
      </c>
      <c r="N1251" s="56">
        <f>INDEX(Rate_Chart!$A$1:$AK$127,MATCH(Data!J1251,Rate_Chart!$A$1:$A$127,0),MATCH(Data!K1251,Rate_Chart!$A$1:$AK$1,0))</f>
        <v>53.732250000000001</v>
      </c>
      <c r="O1251" s="57">
        <f t="shared" si="245"/>
        <v>1074.645</v>
      </c>
      <c r="P1251" s="58">
        <f t="shared" si="246"/>
        <v>434.49258760107813</v>
      </c>
      <c r="Q1251" s="58">
        <f t="shared" si="247"/>
        <v>289.66172506738542</v>
      </c>
      <c r="R1251" s="66">
        <f t="shared" si="248"/>
        <v>18.8062875</v>
      </c>
      <c r="S1251" s="64">
        <f t="shared" si="249"/>
        <v>75</v>
      </c>
      <c r="T1251" s="66">
        <f t="shared" si="250"/>
        <v>1168.4512875</v>
      </c>
      <c r="U1251" s="68">
        <f t="shared" si="251"/>
        <v>58.422564375</v>
      </c>
      <c r="V1251" s="68">
        <f t="shared" si="252"/>
        <v>472.41965801886789</v>
      </c>
      <c r="W1251" s="68">
        <f t="shared" si="253"/>
        <v>314.94643867924526</v>
      </c>
    </row>
    <row r="1252" spans="1:23" x14ac:dyDescent="0.25">
      <c r="A1252" s="1" t="s">
        <v>894</v>
      </c>
      <c r="B1252" s="61" t="s">
        <v>396</v>
      </c>
      <c r="C1252" s="1" t="s">
        <v>591</v>
      </c>
      <c r="D1252" s="1" t="s">
        <v>592</v>
      </c>
      <c r="E1252" s="1" t="s">
        <v>598</v>
      </c>
      <c r="F1252" s="62" t="str">
        <f t="shared" si="254"/>
        <v>64590</v>
      </c>
      <c r="G1252" s="1">
        <v>10620062</v>
      </c>
      <c r="H1252" s="1" t="s">
        <v>388</v>
      </c>
      <c r="I1252" s="61">
        <v>10</v>
      </c>
      <c r="J1252" s="61">
        <v>4.7</v>
      </c>
      <c r="K1252" s="61">
        <v>8.1999999999999993</v>
      </c>
      <c r="L1252" s="69">
        <f t="shared" si="243"/>
        <v>0.47</v>
      </c>
      <c r="M1252" s="69">
        <f t="shared" si="244"/>
        <v>0.82</v>
      </c>
      <c r="N1252" s="56">
        <f>INDEX(Rate_Chart!$A$1:$AK$127,MATCH(Data!J1252,Rate_Chart!$A$1:$A$127,0),MATCH(Data!K1252,Rate_Chart!$A$1:$AK$1,0))</f>
        <v>42.3961398</v>
      </c>
      <c r="O1252" s="57">
        <f t="shared" si="245"/>
        <v>423.96139800000003</v>
      </c>
      <c r="P1252" s="58">
        <f t="shared" si="246"/>
        <v>417.01121114754102</v>
      </c>
      <c r="Q1252" s="58">
        <f t="shared" si="247"/>
        <v>278.00747409836066</v>
      </c>
      <c r="R1252" s="66">
        <f t="shared" si="248"/>
        <v>7.4193244650000016</v>
      </c>
      <c r="S1252" s="64">
        <f t="shared" si="249"/>
        <v>37.5</v>
      </c>
      <c r="T1252" s="66">
        <f t="shared" si="250"/>
        <v>468.88072246500002</v>
      </c>
      <c r="U1252" s="68">
        <f t="shared" si="251"/>
        <v>46.888072246500002</v>
      </c>
      <c r="V1252" s="68">
        <f t="shared" si="252"/>
        <v>461.19415324426234</v>
      </c>
      <c r="W1252" s="68">
        <f t="shared" si="253"/>
        <v>307.46276882950821</v>
      </c>
    </row>
    <row r="1253" spans="1:23" x14ac:dyDescent="0.25">
      <c r="A1253" s="1" t="s">
        <v>894</v>
      </c>
      <c r="B1253" s="61" t="s">
        <v>397</v>
      </c>
      <c r="C1253" s="1" t="s">
        <v>591</v>
      </c>
      <c r="D1253" s="1" t="s">
        <v>592</v>
      </c>
      <c r="E1253" s="1" t="s">
        <v>598</v>
      </c>
      <c r="F1253" s="62" t="str">
        <f t="shared" si="254"/>
        <v>64590</v>
      </c>
      <c r="G1253" s="1">
        <v>10620062</v>
      </c>
      <c r="H1253" s="1" t="s">
        <v>387</v>
      </c>
      <c r="I1253" s="61">
        <v>15</v>
      </c>
      <c r="J1253" s="61">
        <v>8.5</v>
      </c>
      <c r="K1253" s="61">
        <v>9</v>
      </c>
      <c r="L1253" s="69">
        <f t="shared" si="243"/>
        <v>1.2749999999999999</v>
      </c>
      <c r="M1253" s="69">
        <f t="shared" si="244"/>
        <v>1.35</v>
      </c>
      <c r="N1253" s="56">
        <f>INDEX(Rate_Chart!$A$1:$AK$127,MATCH(Data!J1253,Rate_Chart!$A$1:$A$127,0),MATCH(Data!K1253,Rate_Chart!$A$1:$AK$1,0))</f>
        <v>70.975000000000009</v>
      </c>
      <c r="O1253" s="57">
        <f t="shared" si="245"/>
        <v>1064.6250000000002</v>
      </c>
      <c r="P1253" s="58">
        <f t="shared" si="246"/>
        <v>489.48275862068965</v>
      </c>
      <c r="Q1253" s="58">
        <f t="shared" si="247"/>
        <v>326.32183908045977</v>
      </c>
      <c r="R1253" s="66">
        <f t="shared" si="248"/>
        <v>18.630937500000005</v>
      </c>
      <c r="S1253" s="64">
        <f t="shared" si="249"/>
        <v>56.25</v>
      </c>
      <c r="T1253" s="66">
        <f t="shared" si="250"/>
        <v>1139.5059375000003</v>
      </c>
      <c r="U1253" s="68">
        <f t="shared" si="251"/>
        <v>75.967062500000026</v>
      </c>
      <c r="V1253" s="68">
        <f t="shared" si="252"/>
        <v>523.91077586206904</v>
      </c>
      <c r="W1253" s="68">
        <f t="shared" si="253"/>
        <v>349.2738505747127</v>
      </c>
    </row>
    <row r="1254" spans="1:23" x14ac:dyDescent="0.25">
      <c r="A1254" s="1" t="s">
        <v>894</v>
      </c>
      <c r="B1254" s="61" t="s">
        <v>397</v>
      </c>
      <c r="C1254" s="1" t="s">
        <v>591</v>
      </c>
      <c r="D1254" s="1" t="s">
        <v>592</v>
      </c>
      <c r="E1254" s="1" t="s">
        <v>598</v>
      </c>
      <c r="F1254" s="62" t="str">
        <f t="shared" si="254"/>
        <v>64590</v>
      </c>
      <c r="G1254" s="1">
        <v>10620062</v>
      </c>
      <c r="H1254" s="1" t="s">
        <v>388</v>
      </c>
      <c r="I1254" s="61">
        <v>9</v>
      </c>
      <c r="J1254" s="61">
        <v>3.1</v>
      </c>
      <c r="K1254" s="61">
        <v>8</v>
      </c>
      <c r="L1254" s="69">
        <f t="shared" si="243"/>
        <v>0.27900000000000003</v>
      </c>
      <c r="M1254" s="69">
        <f t="shared" si="244"/>
        <v>0.72</v>
      </c>
      <c r="N1254" s="56">
        <f>INDEX(Rate_Chart!$A$1:$AK$127,MATCH(Data!J1254,Rate_Chart!$A$1:$A$127,0),MATCH(Data!K1254,Rate_Chart!$A$1:$AK$1,0))</f>
        <v>35.168112000000008</v>
      </c>
      <c r="O1254" s="57">
        <f t="shared" si="245"/>
        <v>316.51300800000007</v>
      </c>
      <c r="P1254" s="58">
        <f t="shared" si="246"/>
        <v>417.01318577075102</v>
      </c>
      <c r="Q1254" s="58">
        <f t="shared" si="247"/>
        <v>278.00879051383401</v>
      </c>
      <c r="R1254" s="66">
        <f t="shared" si="248"/>
        <v>5.5389776400000015</v>
      </c>
      <c r="S1254" s="64">
        <f t="shared" si="249"/>
        <v>33.75</v>
      </c>
      <c r="T1254" s="66">
        <f t="shared" si="250"/>
        <v>355.80198564000005</v>
      </c>
      <c r="U1254" s="68">
        <f t="shared" si="251"/>
        <v>39.533553960000006</v>
      </c>
      <c r="V1254" s="68">
        <f t="shared" si="252"/>
        <v>468.77731968379447</v>
      </c>
      <c r="W1254" s="68">
        <f t="shared" si="253"/>
        <v>312.51821312252963</v>
      </c>
    </row>
    <row r="1255" spans="1:23" x14ac:dyDescent="0.25">
      <c r="A1255" s="1" t="s">
        <v>888</v>
      </c>
      <c r="B1255" s="61" t="s">
        <v>396</v>
      </c>
      <c r="C1255" s="1" t="s">
        <v>591</v>
      </c>
      <c r="D1255" s="1" t="s">
        <v>595</v>
      </c>
      <c r="E1255" s="1" t="s">
        <v>386</v>
      </c>
      <c r="F1255" s="62" t="str">
        <f t="shared" si="254"/>
        <v>64592</v>
      </c>
      <c r="G1255" s="1">
        <v>10620002</v>
      </c>
      <c r="H1255" s="1" t="s">
        <v>388</v>
      </c>
      <c r="I1255" s="61">
        <v>55</v>
      </c>
      <c r="J1255" s="61">
        <v>3.8</v>
      </c>
      <c r="K1255" s="61">
        <v>8.1</v>
      </c>
      <c r="L1255" s="69">
        <f t="shared" si="243"/>
        <v>2.09</v>
      </c>
      <c r="M1255" s="69">
        <f t="shared" si="244"/>
        <v>4.4550000000000001</v>
      </c>
      <c r="N1255" s="56">
        <f>INDEX(Rate_Chart!$A$1:$AK$127,MATCH(Data!J1255,Rate_Chart!$A$1:$A$127,0),MATCH(Data!K1255,Rate_Chart!$A$1:$AK$1,0))</f>
        <v>38.365125900000002</v>
      </c>
      <c r="O1255" s="57">
        <f t="shared" si="245"/>
        <v>2110.0819245000002</v>
      </c>
      <c r="P1255" s="58">
        <f t="shared" si="246"/>
        <v>417.01223804347831</v>
      </c>
      <c r="Q1255" s="58">
        <f t="shared" si="247"/>
        <v>278.00815869565218</v>
      </c>
      <c r="R1255" s="66">
        <f t="shared" si="248"/>
        <v>36.926433678750008</v>
      </c>
      <c r="S1255" s="64">
        <f t="shared" si="249"/>
        <v>206.25</v>
      </c>
      <c r="T1255" s="66">
        <f t="shared" si="250"/>
        <v>2353.2583581787503</v>
      </c>
      <c r="U1255" s="68">
        <f t="shared" si="251"/>
        <v>42.786515603250002</v>
      </c>
      <c r="V1255" s="68">
        <f t="shared" si="252"/>
        <v>465.07082177445653</v>
      </c>
      <c r="W1255" s="68">
        <f t="shared" si="253"/>
        <v>310.04721451630434</v>
      </c>
    </row>
    <row r="1256" spans="1:23" x14ac:dyDescent="0.25">
      <c r="A1256" s="1" t="s">
        <v>888</v>
      </c>
      <c r="B1256" s="61" t="s">
        <v>397</v>
      </c>
      <c r="C1256" s="1" t="s">
        <v>591</v>
      </c>
      <c r="D1256" s="1" t="s">
        <v>595</v>
      </c>
      <c r="E1256" s="1" t="s">
        <v>386</v>
      </c>
      <c r="F1256" s="62" t="str">
        <f t="shared" si="254"/>
        <v>64592</v>
      </c>
      <c r="G1256" s="1">
        <v>10620002</v>
      </c>
      <c r="H1256" s="1" t="s">
        <v>387</v>
      </c>
      <c r="I1256" s="61">
        <v>5</v>
      </c>
      <c r="J1256" s="61">
        <v>5.8</v>
      </c>
      <c r="K1256" s="61">
        <v>8.6</v>
      </c>
      <c r="L1256" s="69">
        <f t="shared" si="243"/>
        <v>0.28999999999999998</v>
      </c>
      <c r="M1256" s="69">
        <f t="shared" si="244"/>
        <v>0.43</v>
      </c>
      <c r="N1256" s="56">
        <f>INDEX(Rate_Chart!$A$1:$AK$127,MATCH(Data!J1256,Rate_Chart!$A$1:$A$127,0),MATCH(Data!K1256,Rate_Chart!$A$1:$AK$1,0))</f>
        <v>47.461399999999998</v>
      </c>
      <c r="O1256" s="57">
        <f t="shared" si="245"/>
        <v>237.30699999999999</v>
      </c>
      <c r="P1256" s="58">
        <f t="shared" si="246"/>
        <v>411.51502890173413</v>
      </c>
      <c r="Q1256" s="58">
        <f t="shared" si="247"/>
        <v>274.34335260115608</v>
      </c>
      <c r="R1256" s="66">
        <f t="shared" si="248"/>
        <v>4.1528725</v>
      </c>
      <c r="S1256" s="64">
        <f t="shared" si="249"/>
        <v>18.75</v>
      </c>
      <c r="T1256" s="66">
        <f t="shared" si="250"/>
        <v>260.20987249999996</v>
      </c>
      <c r="U1256" s="68">
        <f t="shared" si="251"/>
        <v>52.041974499999995</v>
      </c>
      <c r="V1256" s="68">
        <f t="shared" si="252"/>
        <v>451.23099277456652</v>
      </c>
      <c r="W1256" s="68">
        <f t="shared" si="253"/>
        <v>300.82066184971103</v>
      </c>
    </row>
    <row r="1257" spans="1:23" x14ac:dyDescent="0.25">
      <c r="A1257" s="1" t="s">
        <v>888</v>
      </c>
      <c r="B1257" s="61" t="s">
        <v>397</v>
      </c>
      <c r="C1257" s="1" t="s">
        <v>591</v>
      </c>
      <c r="D1257" s="1" t="s">
        <v>595</v>
      </c>
      <c r="E1257" s="1" t="s">
        <v>386</v>
      </c>
      <c r="F1257" s="62" t="str">
        <f t="shared" si="254"/>
        <v>64592</v>
      </c>
      <c r="G1257" s="1">
        <v>10620002</v>
      </c>
      <c r="H1257" s="1" t="s">
        <v>388</v>
      </c>
      <c r="I1257" s="61">
        <v>38</v>
      </c>
      <c r="J1257" s="61">
        <v>3.6</v>
      </c>
      <c r="K1257" s="61">
        <v>8.4</v>
      </c>
      <c r="L1257" s="69">
        <f t="shared" si="243"/>
        <v>1.3680000000000001</v>
      </c>
      <c r="M1257" s="69">
        <f t="shared" si="244"/>
        <v>3.1919999999999997</v>
      </c>
      <c r="N1257" s="56">
        <f>INDEX(Rate_Chart!$A$1:$AK$127,MATCH(Data!J1257,Rate_Chart!$A$1:$A$127,0),MATCH(Data!K1257,Rate_Chart!$A$1:$AK$1,0))</f>
        <v>38.365167600000007</v>
      </c>
      <c r="O1257" s="57">
        <f t="shared" si="245"/>
        <v>1457.8763688000004</v>
      </c>
      <c r="P1257" s="58">
        <f t="shared" si="246"/>
        <v>417.01269130434792</v>
      </c>
      <c r="Q1257" s="58">
        <f t="shared" si="247"/>
        <v>278.00846086956528</v>
      </c>
      <c r="R1257" s="66">
        <f t="shared" si="248"/>
        <v>25.512836454000009</v>
      </c>
      <c r="S1257" s="64">
        <f t="shared" si="249"/>
        <v>142.5</v>
      </c>
      <c r="T1257" s="66">
        <f t="shared" si="250"/>
        <v>1625.8892052540004</v>
      </c>
      <c r="U1257" s="68">
        <f t="shared" si="251"/>
        <v>42.786558033000013</v>
      </c>
      <c r="V1257" s="68">
        <f t="shared" si="252"/>
        <v>465.07128296739143</v>
      </c>
      <c r="W1257" s="68">
        <f t="shared" si="253"/>
        <v>310.04752197826093</v>
      </c>
    </row>
    <row r="1258" spans="1:23" x14ac:dyDescent="0.25">
      <c r="A1258" s="1" t="s">
        <v>889</v>
      </c>
      <c r="B1258" s="61" t="s">
        <v>396</v>
      </c>
      <c r="C1258" s="1" t="s">
        <v>591</v>
      </c>
      <c r="D1258" s="1" t="s">
        <v>595</v>
      </c>
      <c r="E1258" s="1" t="s">
        <v>386</v>
      </c>
      <c r="F1258" s="62" t="str">
        <f t="shared" si="254"/>
        <v>64592</v>
      </c>
      <c r="G1258" s="1">
        <v>10620002</v>
      </c>
      <c r="H1258" s="1" t="s">
        <v>388</v>
      </c>
      <c r="I1258" s="61">
        <v>53</v>
      </c>
      <c r="J1258" s="61">
        <v>3.8</v>
      </c>
      <c r="K1258" s="61">
        <v>8.1</v>
      </c>
      <c r="L1258" s="69">
        <f t="shared" si="243"/>
        <v>2.0139999999999998</v>
      </c>
      <c r="M1258" s="69">
        <f t="shared" si="244"/>
        <v>4.2929999999999993</v>
      </c>
      <c r="N1258" s="56">
        <f>INDEX(Rate_Chart!$A$1:$AK$127,MATCH(Data!J1258,Rate_Chart!$A$1:$A$127,0),MATCH(Data!K1258,Rate_Chart!$A$1:$AK$1,0))</f>
        <v>38.365125900000002</v>
      </c>
      <c r="O1258" s="57">
        <f t="shared" si="245"/>
        <v>2033.3516727000001</v>
      </c>
      <c r="P1258" s="58">
        <f t="shared" si="246"/>
        <v>417.01223804347831</v>
      </c>
      <c r="Q1258" s="58">
        <f t="shared" si="247"/>
        <v>278.00815869565218</v>
      </c>
      <c r="R1258" s="66">
        <f t="shared" si="248"/>
        <v>35.583654272250008</v>
      </c>
      <c r="S1258" s="64">
        <f t="shared" si="249"/>
        <v>198.75</v>
      </c>
      <c r="T1258" s="66">
        <f t="shared" si="250"/>
        <v>2267.6853269722501</v>
      </c>
      <c r="U1258" s="68">
        <f t="shared" si="251"/>
        <v>42.786515603250002</v>
      </c>
      <c r="V1258" s="68">
        <f t="shared" si="252"/>
        <v>465.07082177445653</v>
      </c>
      <c r="W1258" s="68">
        <f t="shared" si="253"/>
        <v>310.04721451630434</v>
      </c>
    </row>
    <row r="1259" spans="1:23" x14ac:dyDescent="0.25">
      <c r="A1259" s="1" t="s">
        <v>889</v>
      </c>
      <c r="B1259" s="61" t="s">
        <v>397</v>
      </c>
      <c r="C1259" s="1" t="s">
        <v>591</v>
      </c>
      <c r="D1259" s="1" t="s">
        <v>595</v>
      </c>
      <c r="E1259" s="1" t="s">
        <v>386</v>
      </c>
      <c r="F1259" s="62" t="str">
        <f t="shared" si="254"/>
        <v>64592</v>
      </c>
      <c r="G1259" s="1">
        <v>10620002</v>
      </c>
      <c r="H1259" s="1" t="s">
        <v>388</v>
      </c>
      <c r="I1259" s="61">
        <v>41</v>
      </c>
      <c r="J1259" s="61">
        <v>3.4</v>
      </c>
      <c r="K1259" s="61">
        <v>8.1</v>
      </c>
      <c r="L1259" s="69">
        <f t="shared" si="243"/>
        <v>1.3940000000000001</v>
      </c>
      <c r="M1259" s="69">
        <f t="shared" si="244"/>
        <v>3.3209999999999997</v>
      </c>
      <c r="N1259" s="56">
        <f>INDEX(Rate_Chart!$A$1:$AK$127,MATCH(Data!J1259,Rate_Chart!$A$1:$A$127,0),MATCH(Data!K1259,Rate_Chart!$A$1:$AK$1,0))</f>
        <v>36.697125900000003</v>
      </c>
      <c r="O1259" s="57">
        <f t="shared" si="245"/>
        <v>1504.5821619000001</v>
      </c>
      <c r="P1259" s="58">
        <f t="shared" si="246"/>
        <v>417.01279431818188</v>
      </c>
      <c r="Q1259" s="58">
        <f t="shared" si="247"/>
        <v>278.00852954545456</v>
      </c>
      <c r="R1259" s="66">
        <f t="shared" si="248"/>
        <v>26.330187833250005</v>
      </c>
      <c r="S1259" s="64">
        <f t="shared" si="249"/>
        <v>153.75</v>
      </c>
      <c r="T1259" s="66">
        <f t="shared" si="250"/>
        <v>1684.66234973325</v>
      </c>
      <c r="U1259" s="68">
        <f t="shared" si="251"/>
        <v>41.089325603250003</v>
      </c>
      <c r="V1259" s="68">
        <f t="shared" si="252"/>
        <v>466.92415458238645</v>
      </c>
      <c r="W1259" s="68">
        <f t="shared" si="253"/>
        <v>311.28276972159097</v>
      </c>
    </row>
    <row r="1260" spans="1:23" x14ac:dyDescent="0.25">
      <c r="A1260" s="1" t="s">
        <v>890</v>
      </c>
      <c r="B1260" s="61" t="s">
        <v>396</v>
      </c>
      <c r="C1260" s="1" t="s">
        <v>591</v>
      </c>
      <c r="D1260" s="1" t="s">
        <v>595</v>
      </c>
      <c r="E1260" s="1" t="s">
        <v>386</v>
      </c>
      <c r="F1260" s="62" t="str">
        <f t="shared" si="254"/>
        <v>64592</v>
      </c>
      <c r="G1260" s="1">
        <v>10620002</v>
      </c>
      <c r="H1260" s="1" t="s">
        <v>388</v>
      </c>
      <c r="I1260" s="61">
        <v>54</v>
      </c>
      <c r="J1260" s="61">
        <v>4.5999999999999996</v>
      </c>
      <c r="K1260" s="61">
        <v>8.1</v>
      </c>
      <c r="L1260" s="69">
        <f t="shared" si="243"/>
        <v>2.484</v>
      </c>
      <c r="M1260" s="69">
        <f t="shared" si="244"/>
        <v>4.3739999999999997</v>
      </c>
      <c r="N1260" s="56">
        <f>INDEX(Rate_Chart!$A$1:$AK$127,MATCH(Data!J1260,Rate_Chart!$A$1:$A$127,0),MATCH(Data!K1260,Rate_Chart!$A$1:$AK$1,0))</f>
        <v>41.701125900000001</v>
      </c>
      <c r="O1260" s="57">
        <f t="shared" si="245"/>
        <v>2251.8607986000002</v>
      </c>
      <c r="P1260" s="58">
        <f t="shared" si="246"/>
        <v>417.011259</v>
      </c>
      <c r="Q1260" s="58">
        <f t="shared" si="247"/>
        <v>278.00750599999998</v>
      </c>
      <c r="R1260" s="66">
        <f t="shared" si="248"/>
        <v>39.407563975500004</v>
      </c>
      <c r="S1260" s="64">
        <f t="shared" si="249"/>
        <v>202.5</v>
      </c>
      <c r="T1260" s="66">
        <f t="shared" si="250"/>
        <v>2493.7683625755003</v>
      </c>
      <c r="U1260" s="68">
        <f t="shared" si="251"/>
        <v>46.180895603250008</v>
      </c>
      <c r="V1260" s="68">
        <f t="shared" si="252"/>
        <v>461.80895603250008</v>
      </c>
      <c r="W1260" s="68">
        <f t="shared" si="253"/>
        <v>307.87263735500005</v>
      </c>
    </row>
    <row r="1261" spans="1:23" x14ac:dyDescent="0.25">
      <c r="A1261" s="1" t="s">
        <v>890</v>
      </c>
      <c r="B1261" s="61" t="s">
        <v>397</v>
      </c>
      <c r="C1261" s="1" t="s">
        <v>591</v>
      </c>
      <c r="D1261" s="1" t="s">
        <v>595</v>
      </c>
      <c r="E1261" s="1" t="s">
        <v>386</v>
      </c>
      <c r="F1261" s="62" t="str">
        <f t="shared" si="254"/>
        <v>64592</v>
      </c>
      <c r="G1261" s="1">
        <v>10620002</v>
      </c>
      <c r="H1261" s="1" t="s">
        <v>387</v>
      </c>
      <c r="I1261" s="61">
        <v>4</v>
      </c>
      <c r="J1261" s="61">
        <v>6.2</v>
      </c>
      <c r="K1261" s="61">
        <v>8.8000000000000007</v>
      </c>
      <c r="L1261" s="69">
        <f t="shared" si="243"/>
        <v>0.248</v>
      </c>
      <c r="M1261" s="69">
        <f t="shared" si="244"/>
        <v>0.35200000000000004</v>
      </c>
      <c r="N1261" s="56">
        <f>INDEX(Rate_Chart!$A$1:$AK$127,MATCH(Data!J1261,Rate_Chart!$A$1:$A$127,0),MATCH(Data!K1261,Rate_Chart!$A$1:$AK$1,0))</f>
        <v>51.252300000000005</v>
      </c>
      <c r="O1261" s="57">
        <f t="shared" si="245"/>
        <v>205.00920000000002</v>
      </c>
      <c r="P1261" s="58">
        <f t="shared" si="246"/>
        <v>424.74281767955802</v>
      </c>
      <c r="Q1261" s="58">
        <f t="shared" si="247"/>
        <v>283.1618784530387</v>
      </c>
      <c r="R1261" s="66">
        <f t="shared" si="248"/>
        <v>3.5876610000000007</v>
      </c>
      <c r="S1261" s="64">
        <f t="shared" si="249"/>
        <v>15</v>
      </c>
      <c r="T1261" s="66">
        <f t="shared" si="250"/>
        <v>223.59686100000002</v>
      </c>
      <c r="U1261" s="68">
        <f t="shared" si="251"/>
        <v>55.899215250000005</v>
      </c>
      <c r="V1261" s="68">
        <f t="shared" si="252"/>
        <v>463.25316505524864</v>
      </c>
      <c r="W1261" s="68">
        <f t="shared" si="253"/>
        <v>308.83544337016576</v>
      </c>
    </row>
    <row r="1262" spans="1:23" x14ac:dyDescent="0.25">
      <c r="A1262" s="1" t="s">
        <v>890</v>
      </c>
      <c r="B1262" s="61" t="s">
        <v>397</v>
      </c>
      <c r="C1262" s="1" t="s">
        <v>591</v>
      </c>
      <c r="D1262" s="1" t="s">
        <v>595</v>
      </c>
      <c r="E1262" s="1" t="s">
        <v>386</v>
      </c>
      <c r="F1262" s="62" t="str">
        <f t="shared" si="254"/>
        <v>64592</v>
      </c>
      <c r="G1262" s="1">
        <v>10620002</v>
      </c>
      <c r="H1262" s="1" t="s">
        <v>388</v>
      </c>
      <c r="I1262" s="61">
        <v>38</v>
      </c>
      <c r="J1262" s="61">
        <v>3.7</v>
      </c>
      <c r="K1262" s="61">
        <v>8.4</v>
      </c>
      <c r="L1262" s="69">
        <f t="shared" si="243"/>
        <v>1.4059999999999999</v>
      </c>
      <c r="M1262" s="69">
        <f t="shared" si="244"/>
        <v>3.1919999999999997</v>
      </c>
      <c r="N1262" s="56">
        <f>INDEX(Rate_Chart!$A$1:$AK$127,MATCH(Data!J1262,Rate_Chart!$A$1:$A$127,0),MATCH(Data!K1262,Rate_Chart!$A$1:$AK$1,0))</f>
        <v>38.782167600000008</v>
      </c>
      <c r="O1262" s="57">
        <f t="shared" si="245"/>
        <v>1473.7223688000004</v>
      </c>
      <c r="P1262" s="58">
        <f t="shared" si="246"/>
        <v>417.01255483870978</v>
      </c>
      <c r="Q1262" s="58">
        <f t="shared" si="247"/>
        <v>278.00836989247318</v>
      </c>
      <c r="R1262" s="66">
        <f t="shared" si="248"/>
        <v>25.790141454000008</v>
      </c>
      <c r="S1262" s="64">
        <f t="shared" si="249"/>
        <v>142.5</v>
      </c>
      <c r="T1262" s="66">
        <f t="shared" si="250"/>
        <v>1642.0125102540003</v>
      </c>
      <c r="U1262" s="68">
        <f t="shared" si="251"/>
        <v>43.210855533000007</v>
      </c>
      <c r="V1262" s="68">
        <f t="shared" si="252"/>
        <v>464.63285519354849</v>
      </c>
      <c r="W1262" s="68">
        <f t="shared" si="253"/>
        <v>309.75523679569898</v>
      </c>
    </row>
    <row r="1263" spans="1:23" x14ac:dyDescent="0.25">
      <c r="A1263" s="1" t="s">
        <v>891</v>
      </c>
      <c r="B1263" s="61" t="s">
        <v>396</v>
      </c>
      <c r="C1263" s="1" t="s">
        <v>591</v>
      </c>
      <c r="D1263" s="1" t="s">
        <v>595</v>
      </c>
      <c r="E1263" s="1" t="s">
        <v>386</v>
      </c>
      <c r="F1263" s="62" t="str">
        <f t="shared" si="254"/>
        <v>64592</v>
      </c>
      <c r="G1263" s="1">
        <v>10620002</v>
      </c>
      <c r="H1263" s="1" t="s">
        <v>388</v>
      </c>
      <c r="I1263" s="61">
        <v>50</v>
      </c>
      <c r="J1263" s="61">
        <v>3.7</v>
      </c>
      <c r="K1263" s="61">
        <v>8.1999999999999993</v>
      </c>
      <c r="L1263" s="69">
        <f t="shared" si="243"/>
        <v>1.85</v>
      </c>
      <c r="M1263" s="69">
        <f t="shared" si="244"/>
        <v>4.0999999999999996</v>
      </c>
      <c r="N1263" s="56">
        <f>INDEX(Rate_Chart!$A$1:$AK$127,MATCH(Data!J1263,Rate_Chart!$A$1:$A$127,0),MATCH(Data!K1263,Rate_Chart!$A$1:$AK$1,0))</f>
        <v>38.226139799999999</v>
      </c>
      <c r="O1263" s="57">
        <f t="shared" si="245"/>
        <v>1911.30699</v>
      </c>
      <c r="P1263" s="58">
        <f t="shared" si="246"/>
        <v>417.01243418181815</v>
      </c>
      <c r="Q1263" s="58">
        <f t="shared" si="247"/>
        <v>278.00828945454543</v>
      </c>
      <c r="R1263" s="66">
        <f t="shared" si="248"/>
        <v>33.447872325000006</v>
      </c>
      <c r="S1263" s="64">
        <f t="shared" si="249"/>
        <v>187.5</v>
      </c>
      <c r="T1263" s="66">
        <f t="shared" si="250"/>
        <v>2132.254862325</v>
      </c>
      <c r="U1263" s="68">
        <f t="shared" si="251"/>
        <v>42.645097246500001</v>
      </c>
      <c r="V1263" s="68">
        <f t="shared" si="252"/>
        <v>465.21924268909089</v>
      </c>
      <c r="W1263" s="68">
        <f t="shared" si="253"/>
        <v>310.14616179272724</v>
      </c>
    </row>
    <row r="1264" spans="1:23" x14ac:dyDescent="0.25">
      <c r="A1264" s="1" t="s">
        <v>891</v>
      </c>
      <c r="B1264" s="61" t="s">
        <v>397</v>
      </c>
      <c r="C1264" s="1" t="s">
        <v>591</v>
      </c>
      <c r="D1264" s="1" t="s">
        <v>595</v>
      </c>
      <c r="E1264" s="1" t="s">
        <v>386</v>
      </c>
      <c r="F1264" s="62" t="str">
        <f t="shared" si="254"/>
        <v>64592</v>
      </c>
      <c r="G1264" s="1">
        <v>10620002</v>
      </c>
      <c r="H1264" s="1" t="s">
        <v>387</v>
      </c>
      <c r="I1264" s="61">
        <v>4</v>
      </c>
      <c r="J1264" s="61">
        <v>5.9</v>
      </c>
      <c r="K1264" s="61">
        <v>8.8000000000000007</v>
      </c>
      <c r="L1264" s="69">
        <f t="shared" ref="L1264:L1288" si="255">J1264*I1264/100</f>
        <v>0.23600000000000002</v>
      </c>
      <c r="M1264" s="69">
        <f t="shared" ref="M1264:M1288" si="256">K1264*I1264/100</f>
        <v>0.35200000000000004</v>
      </c>
      <c r="N1264" s="56">
        <f>INDEX(Rate_Chart!$A$1:$AK$127,MATCH(Data!J1264,Rate_Chart!$A$1:$A$127,0),MATCH(Data!K1264,Rate_Chart!$A$1:$AK$1,0))</f>
        <v>48.772350000000003</v>
      </c>
      <c r="O1264" s="57">
        <f t="shared" ref="O1264:O1288" si="257">N1264*I1264</f>
        <v>195.08940000000001</v>
      </c>
      <c r="P1264" s="58">
        <f t="shared" ref="P1264:P1288" si="258">N1264/(J1264%+K1264%*2/3)</f>
        <v>414.49589235127479</v>
      </c>
      <c r="Q1264" s="58">
        <f t="shared" ref="Q1264:Q1288" si="259">P1264*2/3</f>
        <v>276.33059490084986</v>
      </c>
      <c r="R1264" s="66">
        <f t="shared" ref="R1264:R1288" si="260">O1264*1.75%</f>
        <v>3.4140645000000007</v>
      </c>
      <c r="S1264" s="64">
        <f t="shared" ref="S1264:S1288" si="261">I1264*3.75</f>
        <v>15</v>
      </c>
      <c r="T1264" s="66">
        <f t="shared" ref="T1264:T1288" si="262">R1264+S1264+O1264</f>
        <v>213.50346450000001</v>
      </c>
      <c r="U1264" s="68">
        <f t="shared" ref="U1264:U1288" si="263">T1264/I1264</f>
        <v>53.375866125000002</v>
      </c>
      <c r="V1264" s="68">
        <f t="shared" ref="V1264:V1288" si="264">U1264/(J1264%+K1264%*2/3)</f>
        <v>453.61925885269125</v>
      </c>
      <c r="W1264" s="68">
        <f t="shared" ref="W1264:W1288" si="265">V1264*2/3</f>
        <v>302.41283923512748</v>
      </c>
    </row>
    <row r="1265" spans="1:23" x14ac:dyDescent="0.25">
      <c r="A1265" s="1" t="s">
        <v>891</v>
      </c>
      <c r="B1265" s="61" t="s">
        <v>397</v>
      </c>
      <c r="C1265" s="1" t="s">
        <v>591</v>
      </c>
      <c r="D1265" s="1" t="s">
        <v>595</v>
      </c>
      <c r="E1265" s="1" t="s">
        <v>386</v>
      </c>
      <c r="F1265" s="62" t="str">
        <f t="shared" si="254"/>
        <v>64592</v>
      </c>
      <c r="G1265" s="1">
        <v>10620002</v>
      </c>
      <c r="H1265" s="1" t="s">
        <v>388</v>
      </c>
      <c r="I1265" s="61">
        <v>39</v>
      </c>
      <c r="J1265" s="61">
        <v>3.6</v>
      </c>
      <c r="K1265" s="61">
        <v>8.3000000000000007</v>
      </c>
      <c r="L1265" s="69">
        <f t="shared" si="255"/>
        <v>1.4040000000000001</v>
      </c>
      <c r="M1265" s="69">
        <f t="shared" si="256"/>
        <v>3.2370000000000005</v>
      </c>
      <c r="N1265" s="56">
        <f>INDEX(Rate_Chart!$A$1:$AK$127,MATCH(Data!J1265,Rate_Chart!$A$1:$A$127,0),MATCH(Data!K1265,Rate_Chart!$A$1:$AK$1,0))</f>
        <v>38.087153700000009</v>
      </c>
      <c r="O1265" s="57">
        <f t="shared" si="257"/>
        <v>1485.3989943000004</v>
      </c>
      <c r="P1265" s="58">
        <f t="shared" si="258"/>
        <v>417.01263175182481</v>
      </c>
      <c r="Q1265" s="58">
        <f t="shared" si="259"/>
        <v>278.00842116788323</v>
      </c>
      <c r="R1265" s="66">
        <f t="shared" si="260"/>
        <v>25.994482400250011</v>
      </c>
      <c r="S1265" s="64">
        <f t="shared" si="261"/>
        <v>146.25</v>
      </c>
      <c r="T1265" s="66">
        <f t="shared" si="262"/>
        <v>1657.6434767002504</v>
      </c>
      <c r="U1265" s="68">
        <f t="shared" si="263"/>
        <v>42.503678889750013</v>
      </c>
      <c r="V1265" s="68">
        <f t="shared" si="264"/>
        <v>465.36874696806575</v>
      </c>
      <c r="W1265" s="68">
        <f t="shared" si="265"/>
        <v>310.24583131204383</v>
      </c>
    </row>
    <row r="1266" spans="1:23" x14ac:dyDescent="0.25">
      <c r="A1266" s="1" t="s">
        <v>892</v>
      </c>
      <c r="B1266" s="61" t="s">
        <v>396</v>
      </c>
      <c r="C1266" s="1" t="s">
        <v>591</v>
      </c>
      <c r="D1266" s="1" t="s">
        <v>595</v>
      </c>
      <c r="E1266" s="1" t="s">
        <v>386</v>
      </c>
      <c r="F1266" s="62" t="str">
        <f t="shared" si="254"/>
        <v>64592</v>
      </c>
      <c r="G1266" s="1">
        <v>10620002</v>
      </c>
      <c r="H1266" s="1" t="s">
        <v>387</v>
      </c>
      <c r="I1266" s="61">
        <v>10</v>
      </c>
      <c r="J1266" s="61">
        <v>5.4</v>
      </c>
      <c r="K1266" s="61">
        <v>8.5</v>
      </c>
      <c r="L1266" s="69">
        <f t="shared" si="255"/>
        <v>0.54</v>
      </c>
      <c r="M1266" s="69">
        <f t="shared" si="256"/>
        <v>0.85</v>
      </c>
      <c r="N1266" s="56">
        <f>INDEX(Rate_Chart!$A$1:$AK$127,MATCH(Data!J1266,Rate_Chart!$A$1:$A$127,0),MATCH(Data!K1266,Rate_Chart!$A$1:$AK$1,0))</f>
        <v>46.149181500000012</v>
      </c>
      <c r="O1266" s="57">
        <f t="shared" si="257"/>
        <v>461.49181500000009</v>
      </c>
      <c r="P1266" s="58">
        <f t="shared" si="258"/>
        <v>417.01067620481933</v>
      </c>
      <c r="Q1266" s="58">
        <f t="shared" si="259"/>
        <v>278.00711746987957</v>
      </c>
      <c r="R1266" s="66">
        <f t="shared" si="260"/>
        <v>8.076106762500002</v>
      </c>
      <c r="S1266" s="64">
        <f t="shared" si="261"/>
        <v>37.5</v>
      </c>
      <c r="T1266" s="66">
        <f t="shared" si="262"/>
        <v>507.06792176250008</v>
      </c>
      <c r="U1266" s="68">
        <f t="shared" si="263"/>
        <v>50.706792176250005</v>
      </c>
      <c r="V1266" s="68">
        <f t="shared" si="264"/>
        <v>458.19390520707833</v>
      </c>
      <c r="W1266" s="68">
        <f t="shared" si="265"/>
        <v>305.46260347138553</v>
      </c>
    </row>
    <row r="1267" spans="1:23" x14ac:dyDescent="0.25">
      <c r="A1267" s="1" t="s">
        <v>892</v>
      </c>
      <c r="B1267" s="61" t="s">
        <v>396</v>
      </c>
      <c r="C1267" s="1" t="s">
        <v>591</v>
      </c>
      <c r="D1267" s="1" t="s">
        <v>595</v>
      </c>
      <c r="E1267" s="1" t="s">
        <v>386</v>
      </c>
      <c r="F1267" s="62" t="str">
        <f t="shared" si="254"/>
        <v>64592</v>
      </c>
      <c r="G1267" s="1">
        <v>10620002</v>
      </c>
      <c r="H1267" s="1" t="s">
        <v>388</v>
      </c>
      <c r="I1267" s="61">
        <v>41</v>
      </c>
      <c r="J1267" s="61">
        <v>3.7</v>
      </c>
      <c r="K1267" s="61">
        <v>8.1</v>
      </c>
      <c r="L1267" s="69">
        <f t="shared" si="255"/>
        <v>1.5170000000000001</v>
      </c>
      <c r="M1267" s="69">
        <f t="shared" si="256"/>
        <v>3.3209999999999997</v>
      </c>
      <c r="N1267" s="56">
        <f>INDEX(Rate_Chart!$A$1:$AK$127,MATCH(Data!J1267,Rate_Chart!$A$1:$A$127,0),MATCH(Data!K1267,Rate_Chart!$A$1:$AK$1,0))</f>
        <v>37.948125900000008</v>
      </c>
      <c r="O1267" s="57">
        <f t="shared" si="257"/>
        <v>1555.8731619000002</v>
      </c>
      <c r="P1267" s="58">
        <f t="shared" si="258"/>
        <v>417.01237252747262</v>
      </c>
      <c r="Q1267" s="58">
        <f t="shared" si="259"/>
        <v>278.00824835164843</v>
      </c>
      <c r="R1267" s="66">
        <f t="shared" si="260"/>
        <v>27.227780333250006</v>
      </c>
      <c r="S1267" s="64">
        <f t="shared" si="261"/>
        <v>153.75</v>
      </c>
      <c r="T1267" s="66">
        <f t="shared" si="262"/>
        <v>1736.8509422332502</v>
      </c>
      <c r="U1267" s="68">
        <f t="shared" si="263"/>
        <v>42.362218103250001</v>
      </c>
      <c r="V1267" s="68">
        <f t="shared" si="264"/>
        <v>465.51888025549454</v>
      </c>
      <c r="W1267" s="68">
        <f t="shared" si="265"/>
        <v>310.34592017032969</v>
      </c>
    </row>
    <row r="1268" spans="1:23" x14ac:dyDescent="0.25">
      <c r="A1268" s="1" t="s">
        <v>892</v>
      </c>
      <c r="B1268" s="61" t="s">
        <v>397</v>
      </c>
      <c r="C1268" s="1" t="s">
        <v>591</v>
      </c>
      <c r="D1268" s="1" t="s">
        <v>595</v>
      </c>
      <c r="E1268" s="1" t="s">
        <v>386</v>
      </c>
      <c r="F1268" s="62" t="str">
        <f t="shared" si="254"/>
        <v>64592</v>
      </c>
      <c r="G1268" s="1">
        <v>10620002</v>
      </c>
      <c r="H1268" s="1" t="s">
        <v>387</v>
      </c>
      <c r="I1268" s="61">
        <v>5</v>
      </c>
      <c r="J1268" s="61">
        <v>6.1</v>
      </c>
      <c r="K1268" s="61">
        <v>9</v>
      </c>
      <c r="L1268" s="69">
        <f t="shared" si="255"/>
        <v>0.30499999999999999</v>
      </c>
      <c r="M1268" s="69">
        <f t="shared" si="256"/>
        <v>0.45</v>
      </c>
      <c r="N1268" s="56">
        <f>INDEX(Rate_Chart!$A$1:$AK$127,MATCH(Data!J1268,Rate_Chart!$A$1:$A$127,0),MATCH(Data!K1268,Rate_Chart!$A$1:$AK$1,0))</f>
        <v>50.935000000000002</v>
      </c>
      <c r="O1268" s="57">
        <f t="shared" si="257"/>
        <v>254.67500000000001</v>
      </c>
      <c r="P1268" s="58">
        <f t="shared" si="258"/>
        <v>420.95041322314052</v>
      </c>
      <c r="Q1268" s="58">
        <f t="shared" si="259"/>
        <v>280.63360881542701</v>
      </c>
      <c r="R1268" s="66">
        <f t="shared" si="260"/>
        <v>4.4568125000000007</v>
      </c>
      <c r="S1268" s="64">
        <f t="shared" si="261"/>
        <v>18.75</v>
      </c>
      <c r="T1268" s="66">
        <f t="shared" si="262"/>
        <v>277.88181250000002</v>
      </c>
      <c r="U1268" s="68">
        <f t="shared" si="263"/>
        <v>55.576362500000002</v>
      </c>
      <c r="V1268" s="68">
        <f t="shared" si="264"/>
        <v>459.30878099173555</v>
      </c>
      <c r="W1268" s="68">
        <f t="shared" si="265"/>
        <v>306.20585399449038</v>
      </c>
    </row>
    <row r="1269" spans="1:23" x14ac:dyDescent="0.25">
      <c r="A1269" s="1" t="s">
        <v>892</v>
      </c>
      <c r="B1269" s="61" t="s">
        <v>397</v>
      </c>
      <c r="C1269" s="1" t="s">
        <v>591</v>
      </c>
      <c r="D1269" s="1" t="s">
        <v>595</v>
      </c>
      <c r="E1269" s="1" t="s">
        <v>386</v>
      </c>
      <c r="F1269" s="62" t="str">
        <f t="shared" si="254"/>
        <v>64592</v>
      </c>
      <c r="G1269" s="1">
        <v>10620002</v>
      </c>
      <c r="H1269" s="1" t="s">
        <v>388</v>
      </c>
      <c r="I1269" s="61">
        <v>34</v>
      </c>
      <c r="J1269" s="61">
        <v>3.4</v>
      </c>
      <c r="K1269" s="61">
        <v>8.1999999999999993</v>
      </c>
      <c r="L1269" s="69">
        <f t="shared" si="255"/>
        <v>1.1559999999999999</v>
      </c>
      <c r="M1269" s="69">
        <f t="shared" si="256"/>
        <v>2.7879999999999994</v>
      </c>
      <c r="N1269" s="56">
        <f>INDEX(Rate_Chart!$A$1:$AK$127,MATCH(Data!J1269,Rate_Chart!$A$1:$A$127,0),MATCH(Data!K1269,Rate_Chart!$A$1:$AK$1,0))</f>
        <v>36.975139800000001</v>
      </c>
      <c r="O1269" s="57">
        <f t="shared" si="257"/>
        <v>1257.1547532</v>
      </c>
      <c r="P1269" s="58">
        <f t="shared" si="258"/>
        <v>417.01285488721805</v>
      </c>
      <c r="Q1269" s="58">
        <f t="shared" si="259"/>
        <v>278.00856992481204</v>
      </c>
      <c r="R1269" s="66">
        <f t="shared" si="260"/>
        <v>22.000208181000001</v>
      </c>
      <c r="S1269" s="64">
        <f t="shared" si="261"/>
        <v>127.5</v>
      </c>
      <c r="T1269" s="66">
        <f t="shared" si="262"/>
        <v>1406.654961381</v>
      </c>
      <c r="U1269" s="68">
        <f t="shared" si="263"/>
        <v>41.372204746500003</v>
      </c>
      <c r="V1269" s="68">
        <f t="shared" si="264"/>
        <v>466.60381293045111</v>
      </c>
      <c r="W1269" s="68">
        <f t="shared" si="265"/>
        <v>311.06920862030074</v>
      </c>
    </row>
    <row r="1270" spans="1:23" x14ac:dyDescent="0.25">
      <c r="A1270" s="1" t="s">
        <v>893</v>
      </c>
      <c r="B1270" s="61" t="s">
        <v>396</v>
      </c>
      <c r="C1270" s="1" t="s">
        <v>591</v>
      </c>
      <c r="D1270" s="1" t="s">
        <v>595</v>
      </c>
      <c r="E1270" s="1" t="s">
        <v>386</v>
      </c>
      <c r="F1270" s="62" t="str">
        <f t="shared" si="254"/>
        <v>64592</v>
      </c>
      <c r="G1270" s="1">
        <v>10620002</v>
      </c>
      <c r="H1270" s="1" t="s">
        <v>387</v>
      </c>
      <c r="I1270" s="61">
        <v>16</v>
      </c>
      <c r="J1270" s="61">
        <v>5.6</v>
      </c>
      <c r="K1270" s="61">
        <v>8.4</v>
      </c>
      <c r="L1270" s="69">
        <f t="shared" si="255"/>
        <v>0.89599999999999991</v>
      </c>
      <c r="M1270" s="69">
        <f t="shared" si="256"/>
        <v>1.3440000000000001</v>
      </c>
      <c r="N1270" s="56">
        <f>INDEX(Rate_Chart!$A$1:$AK$127,MATCH(Data!J1270,Rate_Chart!$A$1:$A$127,0),MATCH(Data!K1270,Rate_Chart!$A$1:$AK$1,0))</f>
        <v>45.357199999999999</v>
      </c>
      <c r="O1270" s="57">
        <f t="shared" si="257"/>
        <v>725.71519999999998</v>
      </c>
      <c r="P1270" s="58">
        <f t="shared" si="258"/>
        <v>404.97500000000002</v>
      </c>
      <c r="Q1270" s="58">
        <f t="shared" si="259"/>
        <v>269.98333333333335</v>
      </c>
      <c r="R1270" s="66">
        <f t="shared" si="260"/>
        <v>12.700016000000002</v>
      </c>
      <c r="S1270" s="64">
        <f t="shared" si="261"/>
        <v>60</v>
      </c>
      <c r="T1270" s="66">
        <f t="shared" si="262"/>
        <v>798.41521599999999</v>
      </c>
      <c r="U1270" s="68">
        <f t="shared" si="263"/>
        <v>49.900950999999999</v>
      </c>
      <c r="V1270" s="68">
        <f t="shared" si="264"/>
        <v>445.54420535714291</v>
      </c>
      <c r="W1270" s="68">
        <f t="shared" si="265"/>
        <v>297.02947023809526</v>
      </c>
    </row>
    <row r="1271" spans="1:23" x14ac:dyDescent="0.25">
      <c r="A1271" s="1" t="s">
        <v>893</v>
      </c>
      <c r="B1271" s="61" t="s">
        <v>396</v>
      </c>
      <c r="C1271" s="1" t="s">
        <v>591</v>
      </c>
      <c r="D1271" s="1" t="s">
        <v>595</v>
      </c>
      <c r="E1271" s="1" t="s">
        <v>386</v>
      </c>
      <c r="F1271" s="62" t="str">
        <f t="shared" si="254"/>
        <v>64592</v>
      </c>
      <c r="G1271" s="1">
        <v>10620002</v>
      </c>
      <c r="H1271" s="1" t="s">
        <v>388</v>
      </c>
      <c r="I1271" s="61">
        <v>41</v>
      </c>
      <c r="J1271" s="61">
        <v>3.7</v>
      </c>
      <c r="K1271" s="61">
        <v>8.1</v>
      </c>
      <c r="L1271" s="69">
        <f t="shared" si="255"/>
        <v>1.5170000000000001</v>
      </c>
      <c r="M1271" s="69">
        <f t="shared" si="256"/>
        <v>3.3209999999999997</v>
      </c>
      <c r="N1271" s="56">
        <f>INDEX(Rate_Chart!$A$1:$AK$127,MATCH(Data!J1271,Rate_Chart!$A$1:$A$127,0),MATCH(Data!K1271,Rate_Chart!$A$1:$AK$1,0))</f>
        <v>37.948125900000008</v>
      </c>
      <c r="O1271" s="57">
        <f t="shared" si="257"/>
        <v>1555.8731619000002</v>
      </c>
      <c r="P1271" s="58">
        <f t="shared" si="258"/>
        <v>417.01237252747262</v>
      </c>
      <c r="Q1271" s="58">
        <f t="shared" si="259"/>
        <v>278.00824835164843</v>
      </c>
      <c r="R1271" s="66">
        <f t="shared" si="260"/>
        <v>27.227780333250006</v>
      </c>
      <c r="S1271" s="64">
        <f t="shared" si="261"/>
        <v>153.75</v>
      </c>
      <c r="T1271" s="66">
        <f t="shared" si="262"/>
        <v>1736.8509422332502</v>
      </c>
      <c r="U1271" s="68">
        <f t="shared" si="263"/>
        <v>42.362218103250001</v>
      </c>
      <c r="V1271" s="68">
        <f t="shared" si="264"/>
        <v>465.51888025549454</v>
      </c>
      <c r="W1271" s="68">
        <f t="shared" si="265"/>
        <v>310.34592017032969</v>
      </c>
    </row>
    <row r="1272" spans="1:23" x14ac:dyDescent="0.25">
      <c r="A1272" s="1" t="s">
        <v>893</v>
      </c>
      <c r="B1272" s="61" t="s">
        <v>397</v>
      </c>
      <c r="C1272" s="1" t="s">
        <v>591</v>
      </c>
      <c r="D1272" s="1" t="s">
        <v>595</v>
      </c>
      <c r="E1272" s="1" t="s">
        <v>386</v>
      </c>
      <c r="F1272" s="62" t="str">
        <f t="shared" si="254"/>
        <v>64592</v>
      </c>
      <c r="G1272" s="1">
        <v>10620002</v>
      </c>
      <c r="H1272" s="1" t="s">
        <v>387</v>
      </c>
      <c r="I1272" s="61">
        <v>5</v>
      </c>
      <c r="J1272" s="61">
        <v>6.1</v>
      </c>
      <c r="K1272" s="61">
        <v>8.8000000000000007</v>
      </c>
      <c r="L1272" s="69">
        <f t="shared" si="255"/>
        <v>0.30499999999999999</v>
      </c>
      <c r="M1272" s="69">
        <f t="shared" si="256"/>
        <v>0.44</v>
      </c>
      <c r="N1272" s="56">
        <f>INDEX(Rate_Chart!$A$1:$AK$127,MATCH(Data!J1272,Rate_Chart!$A$1:$A$127,0),MATCH(Data!K1272,Rate_Chart!$A$1:$AK$1,0))</f>
        <v>50.425650000000005</v>
      </c>
      <c r="O1272" s="57">
        <f t="shared" si="257"/>
        <v>252.12825000000004</v>
      </c>
      <c r="P1272" s="58">
        <f t="shared" si="258"/>
        <v>421.38426183844012</v>
      </c>
      <c r="Q1272" s="58">
        <f t="shared" si="259"/>
        <v>280.92284122562677</v>
      </c>
      <c r="R1272" s="66">
        <f t="shared" si="260"/>
        <v>4.4122443750000011</v>
      </c>
      <c r="S1272" s="64">
        <f t="shared" si="261"/>
        <v>18.75</v>
      </c>
      <c r="T1272" s="66">
        <f t="shared" si="262"/>
        <v>275.29049437500004</v>
      </c>
      <c r="U1272" s="68">
        <f t="shared" si="263"/>
        <v>55.058098875000006</v>
      </c>
      <c r="V1272" s="68">
        <f t="shared" si="264"/>
        <v>460.09553377437328</v>
      </c>
      <c r="W1272" s="68">
        <f t="shared" si="265"/>
        <v>306.73035584958217</v>
      </c>
    </row>
    <row r="1273" spans="1:23" x14ac:dyDescent="0.25">
      <c r="A1273" s="1" t="s">
        <v>893</v>
      </c>
      <c r="B1273" s="61" t="s">
        <v>397</v>
      </c>
      <c r="C1273" s="1" t="s">
        <v>591</v>
      </c>
      <c r="D1273" s="1" t="s">
        <v>595</v>
      </c>
      <c r="E1273" s="1" t="s">
        <v>386</v>
      </c>
      <c r="F1273" s="62" t="str">
        <f t="shared" si="254"/>
        <v>64592</v>
      </c>
      <c r="G1273" s="1">
        <v>10620002</v>
      </c>
      <c r="H1273" s="1" t="s">
        <v>388</v>
      </c>
      <c r="I1273" s="61">
        <v>33</v>
      </c>
      <c r="J1273" s="61">
        <v>3.2</v>
      </c>
      <c r="K1273" s="61">
        <v>8.1</v>
      </c>
      <c r="L1273" s="69">
        <f t="shared" si="255"/>
        <v>1.056</v>
      </c>
      <c r="M1273" s="69">
        <f t="shared" si="256"/>
        <v>2.673</v>
      </c>
      <c r="N1273" s="56">
        <f>INDEX(Rate_Chart!$A$1:$AK$127,MATCH(Data!J1273,Rate_Chart!$A$1:$A$127,0),MATCH(Data!K1273,Rate_Chart!$A$1:$AK$1,0))</f>
        <v>35.8631259</v>
      </c>
      <c r="O1273" s="57">
        <f t="shared" si="257"/>
        <v>1183.4831546999999</v>
      </c>
      <c r="P1273" s="58">
        <f t="shared" si="258"/>
        <v>417.01309186046512</v>
      </c>
      <c r="Q1273" s="58">
        <f t="shared" si="259"/>
        <v>278.00872790697673</v>
      </c>
      <c r="R1273" s="66">
        <f t="shared" si="260"/>
        <v>20.710955207249999</v>
      </c>
      <c r="S1273" s="64">
        <f t="shared" si="261"/>
        <v>123.75</v>
      </c>
      <c r="T1273" s="66">
        <f t="shared" si="262"/>
        <v>1327.9441099072499</v>
      </c>
      <c r="U1273" s="68">
        <f t="shared" si="263"/>
        <v>40.240730603249993</v>
      </c>
      <c r="V1273" s="68">
        <f t="shared" si="264"/>
        <v>467.9154721308139</v>
      </c>
      <c r="W1273" s="68">
        <f t="shared" si="265"/>
        <v>311.94364808720928</v>
      </c>
    </row>
    <row r="1274" spans="1:23" x14ac:dyDescent="0.25">
      <c r="A1274" s="1" t="s">
        <v>894</v>
      </c>
      <c r="B1274" s="61" t="s">
        <v>396</v>
      </c>
      <c r="C1274" s="1" t="s">
        <v>591</v>
      </c>
      <c r="D1274" s="1" t="s">
        <v>595</v>
      </c>
      <c r="E1274" s="1" t="s">
        <v>386</v>
      </c>
      <c r="F1274" s="62" t="str">
        <f t="shared" si="254"/>
        <v>64592</v>
      </c>
      <c r="G1274" s="1">
        <v>10620002</v>
      </c>
      <c r="H1274" s="1" t="s">
        <v>388</v>
      </c>
      <c r="I1274" s="61">
        <v>55</v>
      </c>
      <c r="J1274" s="61">
        <v>3.7</v>
      </c>
      <c r="K1274" s="61">
        <v>8.1</v>
      </c>
      <c r="L1274" s="69">
        <f t="shared" si="255"/>
        <v>2.0350000000000001</v>
      </c>
      <c r="M1274" s="69">
        <f t="shared" si="256"/>
        <v>4.4550000000000001</v>
      </c>
      <c r="N1274" s="56">
        <f>INDEX(Rate_Chart!$A$1:$AK$127,MATCH(Data!J1274,Rate_Chart!$A$1:$A$127,0),MATCH(Data!K1274,Rate_Chart!$A$1:$AK$1,0))</f>
        <v>37.948125900000008</v>
      </c>
      <c r="O1274" s="57">
        <f t="shared" si="257"/>
        <v>2087.1469245000003</v>
      </c>
      <c r="P1274" s="58">
        <f t="shared" si="258"/>
        <v>417.01237252747262</v>
      </c>
      <c r="Q1274" s="58">
        <f t="shared" si="259"/>
        <v>278.00824835164843</v>
      </c>
      <c r="R1274" s="66">
        <f t="shared" si="260"/>
        <v>36.525071178750011</v>
      </c>
      <c r="S1274" s="64">
        <f t="shared" si="261"/>
        <v>206.25</v>
      </c>
      <c r="T1274" s="66">
        <f t="shared" si="262"/>
        <v>2329.9219956787501</v>
      </c>
      <c r="U1274" s="68">
        <f t="shared" si="263"/>
        <v>42.362218103250001</v>
      </c>
      <c r="V1274" s="68">
        <f t="shared" si="264"/>
        <v>465.51888025549454</v>
      </c>
      <c r="W1274" s="68">
        <f t="shared" si="265"/>
        <v>310.34592017032969</v>
      </c>
    </row>
    <row r="1275" spans="1:23" x14ac:dyDescent="0.25">
      <c r="A1275" s="1" t="s">
        <v>894</v>
      </c>
      <c r="B1275" s="61" t="s">
        <v>397</v>
      </c>
      <c r="C1275" s="1" t="s">
        <v>591</v>
      </c>
      <c r="D1275" s="1" t="s">
        <v>595</v>
      </c>
      <c r="E1275" s="1" t="s">
        <v>386</v>
      </c>
      <c r="F1275" s="62" t="str">
        <f t="shared" si="254"/>
        <v>64592</v>
      </c>
      <c r="G1275" s="1">
        <v>10620002</v>
      </c>
      <c r="H1275" s="1" t="s">
        <v>387</v>
      </c>
      <c r="I1275" s="61">
        <v>10</v>
      </c>
      <c r="J1275" s="61">
        <v>5.7</v>
      </c>
      <c r="K1275" s="61">
        <v>8.8000000000000007</v>
      </c>
      <c r="L1275" s="69">
        <f t="shared" si="255"/>
        <v>0.56999999999999995</v>
      </c>
      <c r="M1275" s="69">
        <f t="shared" si="256"/>
        <v>0.88</v>
      </c>
      <c r="N1275" s="56">
        <f>INDEX(Rate_Chart!$A$1:$AK$127,MATCH(Data!J1275,Rate_Chart!$A$1:$A$127,0),MATCH(Data!K1275,Rate_Chart!$A$1:$AK$1,0))</f>
        <v>47.119050000000001</v>
      </c>
      <c r="O1275" s="57">
        <f t="shared" si="257"/>
        <v>471.19050000000004</v>
      </c>
      <c r="P1275" s="58">
        <f t="shared" si="258"/>
        <v>407.3693083573487</v>
      </c>
      <c r="Q1275" s="58">
        <f t="shared" si="259"/>
        <v>271.57953890489915</v>
      </c>
      <c r="R1275" s="66">
        <f t="shared" si="260"/>
        <v>8.245833750000001</v>
      </c>
      <c r="S1275" s="64">
        <f t="shared" si="261"/>
        <v>37.5</v>
      </c>
      <c r="T1275" s="66">
        <f t="shared" si="262"/>
        <v>516.93633375000002</v>
      </c>
      <c r="U1275" s="68">
        <f t="shared" si="263"/>
        <v>51.693633375000005</v>
      </c>
      <c r="V1275" s="68">
        <f t="shared" si="264"/>
        <v>446.91902053314124</v>
      </c>
      <c r="W1275" s="68">
        <f t="shared" si="265"/>
        <v>297.94601368876084</v>
      </c>
    </row>
    <row r="1276" spans="1:23" x14ac:dyDescent="0.25">
      <c r="A1276" s="1" t="s">
        <v>894</v>
      </c>
      <c r="B1276" s="61" t="s">
        <v>397</v>
      </c>
      <c r="C1276" s="1" t="s">
        <v>591</v>
      </c>
      <c r="D1276" s="1" t="s">
        <v>595</v>
      </c>
      <c r="E1276" s="1" t="s">
        <v>386</v>
      </c>
      <c r="F1276" s="62" t="str">
        <f t="shared" si="254"/>
        <v>64592</v>
      </c>
      <c r="G1276" s="1">
        <v>10620002</v>
      </c>
      <c r="H1276" s="1" t="s">
        <v>388</v>
      </c>
      <c r="I1276" s="61">
        <v>39</v>
      </c>
      <c r="J1276" s="61">
        <v>3.7</v>
      </c>
      <c r="K1276" s="61">
        <v>8.1</v>
      </c>
      <c r="L1276" s="69">
        <f t="shared" si="255"/>
        <v>1.4430000000000001</v>
      </c>
      <c r="M1276" s="69">
        <f t="shared" si="256"/>
        <v>3.1589999999999998</v>
      </c>
      <c r="N1276" s="56">
        <f>INDEX(Rate_Chart!$A$1:$AK$127,MATCH(Data!J1276,Rate_Chart!$A$1:$A$127,0),MATCH(Data!K1276,Rate_Chart!$A$1:$AK$1,0))</f>
        <v>37.948125900000008</v>
      </c>
      <c r="O1276" s="57">
        <f t="shared" si="257"/>
        <v>1479.9769101000004</v>
      </c>
      <c r="P1276" s="58">
        <f t="shared" si="258"/>
        <v>417.01237252747262</v>
      </c>
      <c r="Q1276" s="58">
        <f t="shared" si="259"/>
        <v>278.00824835164843</v>
      </c>
      <c r="R1276" s="66">
        <f t="shared" si="260"/>
        <v>25.89959592675001</v>
      </c>
      <c r="S1276" s="64">
        <f t="shared" si="261"/>
        <v>146.25</v>
      </c>
      <c r="T1276" s="66">
        <f t="shared" si="262"/>
        <v>1652.1265060267503</v>
      </c>
      <c r="U1276" s="68">
        <f t="shared" si="263"/>
        <v>42.362218103250008</v>
      </c>
      <c r="V1276" s="68">
        <f t="shared" si="264"/>
        <v>465.51888025549459</v>
      </c>
      <c r="W1276" s="68">
        <f t="shared" si="265"/>
        <v>310.34592017032975</v>
      </c>
    </row>
    <row r="1277" spans="1:23" x14ac:dyDescent="0.25">
      <c r="A1277" s="1" t="s">
        <v>889</v>
      </c>
      <c r="B1277" s="61" t="s">
        <v>397</v>
      </c>
      <c r="C1277" s="1" t="s">
        <v>591</v>
      </c>
      <c r="D1277" s="1" t="s">
        <v>594</v>
      </c>
      <c r="E1277" s="1" t="s">
        <v>873</v>
      </c>
      <c r="F1277" s="62" t="str">
        <f t="shared" si="254"/>
        <v>64594</v>
      </c>
      <c r="G1277" s="1">
        <v>10620032</v>
      </c>
      <c r="H1277" s="1" t="s">
        <v>388</v>
      </c>
      <c r="I1277" s="61">
        <v>52</v>
      </c>
      <c r="J1277" s="61">
        <v>3.4</v>
      </c>
      <c r="K1277" s="61">
        <v>8.1</v>
      </c>
      <c r="L1277" s="69">
        <f t="shared" si="255"/>
        <v>1.7679999999999998</v>
      </c>
      <c r="M1277" s="69">
        <f t="shared" si="256"/>
        <v>4.2119999999999997</v>
      </c>
      <c r="N1277" s="56">
        <f>INDEX(Rate_Chart!$A$1:$AK$127,MATCH(Data!J1277,Rate_Chart!$A$1:$A$127,0),MATCH(Data!K1277,Rate_Chart!$A$1:$AK$1,0))</f>
        <v>36.697125900000003</v>
      </c>
      <c r="O1277" s="57">
        <f t="shared" si="257"/>
        <v>1908.2505468000002</v>
      </c>
      <c r="P1277" s="58">
        <f t="shared" si="258"/>
        <v>417.01279431818188</v>
      </c>
      <c r="Q1277" s="58">
        <f t="shared" si="259"/>
        <v>278.00852954545456</v>
      </c>
      <c r="R1277" s="66">
        <f t="shared" si="260"/>
        <v>33.394384569000003</v>
      </c>
      <c r="S1277" s="64">
        <f t="shared" si="261"/>
        <v>195</v>
      </c>
      <c r="T1277" s="66">
        <f t="shared" si="262"/>
        <v>2136.644931369</v>
      </c>
      <c r="U1277" s="68">
        <f t="shared" si="263"/>
        <v>41.089325603250003</v>
      </c>
      <c r="V1277" s="68">
        <f t="shared" si="264"/>
        <v>466.92415458238645</v>
      </c>
      <c r="W1277" s="68">
        <f t="shared" si="265"/>
        <v>311.28276972159097</v>
      </c>
    </row>
    <row r="1278" spans="1:23" x14ac:dyDescent="0.25">
      <c r="A1278" s="1" t="s">
        <v>890</v>
      </c>
      <c r="B1278" s="61" t="s">
        <v>397</v>
      </c>
      <c r="C1278" s="1" t="s">
        <v>591</v>
      </c>
      <c r="D1278" s="1" t="s">
        <v>594</v>
      </c>
      <c r="E1278" s="1" t="s">
        <v>873</v>
      </c>
      <c r="F1278" s="62" t="str">
        <f t="shared" si="254"/>
        <v>64594</v>
      </c>
      <c r="G1278" s="1">
        <v>10620032</v>
      </c>
      <c r="H1278" s="1" t="s">
        <v>388</v>
      </c>
      <c r="I1278" s="61">
        <v>39</v>
      </c>
      <c r="J1278" s="61">
        <v>3.6</v>
      </c>
      <c r="K1278" s="61">
        <v>8.1</v>
      </c>
      <c r="L1278" s="69">
        <f t="shared" si="255"/>
        <v>1.4040000000000001</v>
      </c>
      <c r="M1278" s="69">
        <f t="shared" si="256"/>
        <v>3.1589999999999998</v>
      </c>
      <c r="N1278" s="56">
        <f>INDEX(Rate_Chart!$A$1:$AK$127,MATCH(Data!J1278,Rate_Chart!$A$1:$A$127,0),MATCH(Data!K1278,Rate_Chart!$A$1:$AK$1,0))</f>
        <v>37.531125900000006</v>
      </c>
      <c r="O1278" s="57">
        <f t="shared" si="257"/>
        <v>1463.7139101000002</v>
      </c>
      <c r="P1278" s="58">
        <f t="shared" si="258"/>
        <v>417.01251000000008</v>
      </c>
      <c r="Q1278" s="58">
        <f t="shared" si="259"/>
        <v>278.00834000000003</v>
      </c>
      <c r="R1278" s="66">
        <f t="shared" si="260"/>
        <v>25.614993426750008</v>
      </c>
      <c r="S1278" s="64">
        <f t="shared" si="261"/>
        <v>146.25</v>
      </c>
      <c r="T1278" s="66">
        <f t="shared" si="262"/>
        <v>1635.5789035267503</v>
      </c>
      <c r="U1278" s="68">
        <f t="shared" si="263"/>
        <v>41.937920603250006</v>
      </c>
      <c r="V1278" s="68">
        <f t="shared" si="264"/>
        <v>465.97689559166673</v>
      </c>
      <c r="W1278" s="68">
        <f t="shared" si="265"/>
        <v>310.6512637277778</v>
      </c>
    </row>
    <row r="1279" spans="1:23" x14ac:dyDescent="0.25">
      <c r="A1279" s="1" t="s">
        <v>894</v>
      </c>
      <c r="B1279" s="61" t="s">
        <v>397</v>
      </c>
      <c r="C1279" s="1" t="s">
        <v>591</v>
      </c>
      <c r="D1279" s="1" t="s">
        <v>594</v>
      </c>
      <c r="E1279" s="1" t="s">
        <v>873</v>
      </c>
      <c r="F1279" s="62" t="str">
        <f t="shared" si="254"/>
        <v>64594</v>
      </c>
      <c r="G1279" s="1">
        <v>10620032</v>
      </c>
      <c r="H1279" s="1" t="s">
        <v>388</v>
      </c>
      <c r="I1279" s="61">
        <v>60</v>
      </c>
      <c r="J1279" s="61">
        <v>4</v>
      </c>
      <c r="K1279" s="61">
        <v>8.1</v>
      </c>
      <c r="L1279" s="69">
        <f t="shared" si="255"/>
        <v>2.4</v>
      </c>
      <c r="M1279" s="69">
        <f t="shared" si="256"/>
        <v>4.8600000000000003</v>
      </c>
      <c r="N1279" s="56">
        <f>INDEX(Rate_Chart!$A$1:$AK$127,MATCH(Data!J1279,Rate_Chart!$A$1:$A$127,0),MATCH(Data!K1279,Rate_Chart!$A$1:$AK$1,0))</f>
        <v>39.199125899999999</v>
      </c>
      <c r="O1279" s="57">
        <f t="shared" si="257"/>
        <v>2351.9475539999999</v>
      </c>
      <c r="P1279" s="58">
        <f t="shared" si="258"/>
        <v>417.01197765957443</v>
      </c>
      <c r="Q1279" s="58">
        <f t="shared" si="259"/>
        <v>278.00798510638293</v>
      </c>
      <c r="R1279" s="66">
        <f t="shared" si="260"/>
        <v>41.159082195000003</v>
      </c>
      <c r="S1279" s="64">
        <f t="shared" si="261"/>
        <v>225</v>
      </c>
      <c r="T1279" s="66">
        <f t="shared" si="262"/>
        <v>2618.1066361949997</v>
      </c>
      <c r="U1279" s="68">
        <f t="shared" si="263"/>
        <v>43.635110603249998</v>
      </c>
      <c r="V1279" s="68">
        <f t="shared" si="264"/>
        <v>464.20330428989359</v>
      </c>
      <c r="W1279" s="68">
        <f t="shared" si="265"/>
        <v>309.46886952659571</v>
      </c>
    </row>
    <row r="1280" spans="1:23" x14ac:dyDescent="0.25">
      <c r="A1280" s="1" t="s">
        <v>888</v>
      </c>
      <c r="B1280" s="61" t="s">
        <v>397</v>
      </c>
      <c r="C1280" s="1" t="s">
        <v>591</v>
      </c>
      <c r="D1280" s="1" t="s">
        <v>595</v>
      </c>
      <c r="E1280" s="1" t="s">
        <v>874</v>
      </c>
      <c r="F1280" s="62" t="str">
        <f t="shared" si="254"/>
        <v>64600</v>
      </c>
      <c r="G1280" s="1">
        <v>10620004</v>
      </c>
      <c r="H1280" s="1" t="s">
        <v>387</v>
      </c>
      <c r="I1280" s="61">
        <v>23</v>
      </c>
      <c r="J1280" s="61">
        <v>5.6</v>
      </c>
      <c r="K1280" s="61">
        <v>8.6</v>
      </c>
      <c r="L1280" s="69">
        <f t="shared" si="255"/>
        <v>1.2879999999999998</v>
      </c>
      <c r="M1280" s="69">
        <f t="shared" si="256"/>
        <v>1.9779999999999998</v>
      </c>
      <c r="N1280" s="56">
        <f>INDEX(Rate_Chart!$A$1:$AK$127,MATCH(Data!J1280,Rate_Chart!$A$1:$A$127,0),MATCH(Data!K1280,Rate_Chart!$A$1:$AK$1,0))</f>
        <v>45.824799999999996</v>
      </c>
      <c r="O1280" s="57">
        <f t="shared" si="257"/>
        <v>1053.9703999999999</v>
      </c>
      <c r="P1280" s="58">
        <f t="shared" si="258"/>
        <v>404.33647058823533</v>
      </c>
      <c r="Q1280" s="58">
        <f t="shared" si="259"/>
        <v>269.55764705882353</v>
      </c>
      <c r="R1280" s="66">
        <f t="shared" si="260"/>
        <v>18.444482000000001</v>
      </c>
      <c r="S1280" s="64">
        <f t="shared" si="261"/>
        <v>86.25</v>
      </c>
      <c r="T1280" s="66">
        <f t="shared" si="262"/>
        <v>1158.664882</v>
      </c>
      <c r="U1280" s="68">
        <f t="shared" si="263"/>
        <v>50.376733999999999</v>
      </c>
      <c r="V1280" s="68">
        <f t="shared" si="264"/>
        <v>444.50059411764715</v>
      </c>
      <c r="W1280" s="68">
        <f t="shared" si="265"/>
        <v>296.33372941176475</v>
      </c>
    </row>
    <row r="1281" spans="1:23" x14ac:dyDescent="0.25">
      <c r="A1281" s="1" t="s">
        <v>888</v>
      </c>
      <c r="B1281" s="61" t="s">
        <v>397</v>
      </c>
      <c r="C1281" s="1" t="s">
        <v>591</v>
      </c>
      <c r="D1281" s="1" t="s">
        <v>595</v>
      </c>
      <c r="E1281" s="1" t="s">
        <v>874</v>
      </c>
      <c r="F1281" s="62" t="str">
        <f t="shared" si="254"/>
        <v>64600</v>
      </c>
      <c r="G1281" s="1">
        <v>10620004</v>
      </c>
      <c r="H1281" s="1" t="s">
        <v>388</v>
      </c>
      <c r="I1281" s="61">
        <v>62</v>
      </c>
      <c r="J1281" s="61">
        <v>3.1</v>
      </c>
      <c r="K1281" s="61">
        <v>8.1</v>
      </c>
      <c r="L1281" s="69">
        <f t="shared" si="255"/>
        <v>1.9220000000000002</v>
      </c>
      <c r="M1281" s="69">
        <f t="shared" si="256"/>
        <v>5.0220000000000002</v>
      </c>
      <c r="N1281" s="56">
        <f>INDEX(Rate_Chart!$A$1:$AK$127,MATCH(Data!J1281,Rate_Chart!$A$1:$A$127,0),MATCH(Data!K1281,Rate_Chart!$A$1:$AK$1,0))</f>
        <v>35.446125899999998</v>
      </c>
      <c r="O1281" s="57">
        <f t="shared" si="257"/>
        <v>2197.6598058</v>
      </c>
      <c r="P1281" s="58">
        <f t="shared" si="258"/>
        <v>417.01324588235298</v>
      </c>
      <c r="Q1281" s="58">
        <f t="shared" si="259"/>
        <v>278.0088305882353</v>
      </c>
      <c r="R1281" s="66">
        <f t="shared" si="260"/>
        <v>38.459046601500006</v>
      </c>
      <c r="S1281" s="64">
        <f t="shared" si="261"/>
        <v>232.5</v>
      </c>
      <c r="T1281" s="66">
        <f t="shared" si="262"/>
        <v>2468.6188524015001</v>
      </c>
      <c r="U1281" s="68">
        <f t="shared" si="263"/>
        <v>39.816433103249999</v>
      </c>
      <c r="V1281" s="68">
        <f t="shared" si="264"/>
        <v>468.42862474411766</v>
      </c>
      <c r="W1281" s="68">
        <f t="shared" si="265"/>
        <v>312.28574982941177</v>
      </c>
    </row>
    <row r="1282" spans="1:23" x14ac:dyDescent="0.25">
      <c r="A1282" s="1" t="s">
        <v>889</v>
      </c>
      <c r="B1282" s="61" t="s">
        <v>396</v>
      </c>
      <c r="C1282" s="1" t="s">
        <v>591</v>
      </c>
      <c r="D1282" s="1" t="s">
        <v>595</v>
      </c>
      <c r="E1282" s="1" t="s">
        <v>874</v>
      </c>
      <c r="F1282" s="62" t="str">
        <f t="shared" si="254"/>
        <v>64600</v>
      </c>
      <c r="G1282" s="1">
        <v>10620004</v>
      </c>
      <c r="H1282" s="1" t="s">
        <v>388</v>
      </c>
      <c r="I1282" s="61">
        <v>105</v>
      </c>
      <c r="J1282" s="61">
        <v>4.0999999999999996</v>
      </c>
      <c r="K1282" s="61">
        <v>8.3000000000000007</v>
      </c>
      <c r="L1282" s="69">
        <f t="shared" si="255"/>
        <v>4.3049999999999997</v>
      </c>
      <c r="M1282" s="69">
        <f t="shared" si="256"/>
        <v>8.7150000000000016</v>
      </c>
      <c r="N1282" s="56">
        <f>INDEX(Rate_Chart!$A$1:$AK$127,MATCH(Data!J1282,Rate_Chart!$A$1:$A$127,0),MATCH(Data!K1282,Rate_Chart!$A$1:$AK$1,0))</f>
        <v>40.172153700000003</v>
      </c>
      <c r="O1282" s="57">
        <f t="shared" si="257"/>
        <v>4218.0761385000005</v>
      </c>
      <c r="P1282" s="58">
        <f t="shared" si="258"/>
        <v>417.01197612456752</v>
      </c>
      <c r="Q1282" s="58">
        <f t="shared" si="259"/>
        <v>278.00798408304502</v>
      </c>
      <c r="R1282" s="66">
        <f t="shared" si="260"/>
        <v>73.816332423750012</v>
      </c>
      <c r="S1282" s="64">
        <f t="shared" si="261"/>
        <v>393.75</v>
      </c>
      <c r="T1282" s="66">
        <f t="shared" si="262"/>
        <v>4685.6424709237508</v>
      </c>
      <c r="U1282" s="68">
        <f t="shared" si="263"/>
        <v>44.625166389750007</v>
      </c>
      <c r="V1282" s="68">
        <f t="shared" si="264"/>
        <v>463.23702134688591</v>
      </c>
      <c r="W1282" s="68">
        <f t="shared" si="265"/>
        <v>308.82468089792394</v>
      </c>
    </row>
    <row r="1283" spans="1:23" x14ac:dyDescent="0.25">
      <c r="A1283" s="1" t="s">
        <v>889</v>
      </c>
      <c r="B1283" s="61" t="s">
        <v>397</v>
      </c>
      <c r="C1283" s="1" t="s">
        <v>591</v>
      </c>
      <c r="D1283" s="1" t="s">
        <v>595</v>
      </c>
      <c r="E1283" s="1" t="s">
        <v>874</v>
      </c>
      <c r="F1283" s="62" t="str">
        <f t="shared" si="254"/>
        <v>64600</v>
      </c>
      <c r="G1283" s="1">
        <v>10620004</v>
      </c>
      <c r="H1283" s="1" t="s">
        <v>387</v>
      </c>
      <c r="I1283" s="61">
        <v>16</v>
      </c>
      <c r="J1283" s="61">
        <v>6.3</v>
      </c>
      <c r="K1283" s="61">
        <v>9</v>
      </c>
      <c r="L1283" s="69">
        <f t="shared" si="255"/>
        <v>1.008</v>
      </c>
      <c r="M1283" s="69">
        <f t="shared" si="256"/>
        <v>1.44</v>
      </c>
      <c r="N1283" s="56">
        <f>INDEX(Rate_Chart!$A$1:$AK$127,MATCH(Data!J1283,Rate_Chart!$A$1:$A$127,0),MATCH(Data!K1283,Rate_Chart!$A$1:$AK$1,0))</f>
        <v>52.604999999999997</v>
      </c>
      <c r="O1283" s="57">
        <f t="shared" si="257"/>
        <v>841.68</v>
      </c>
      <c r="P1283" s="58">
        <f t="shared" si="258"/>
        <v>427.6829268292683</v>
      </c>
      <c r="Q1283" s="58">
        <f t="shared" si="259"/>
        <v>285.1219512195122</v>
      </c>
      <c r="R1283" s="66">
        <f t="shared" si="260"/>
        <v>14.7294</v>
      </c>
      <c r="S1283" s="64">
        <f t="shared" si="261"/>
        <v>60</v>
      </c>
      <c r="T1283" s="66">
        <f t="shared" si="262"/>
        <v>916.40940000000001</v>
      </c>
      <c r="U1283" s="68">
        <f t="shared" si="263"/>
        <v>57.2755875</v>
      </c>
      <c r="V1283" s="68">
        <f t="shared" si="264"/>
        <v>465.6551829268293</v>
      </c>
      <c r="W1283" s="68">
        <f t="shared" si="265"/>
        <v>310.43678861788618</v>
      </c>
    </row>
    <row r="1284" spans="1:23" x14ac:dyDescent="0.25">
      <c r="A1284" s="1" t="s">
        <v>889</v>
      </c>
      <c r="B1284" s="61" t="s">
        <v>397</v>
      </c>
      <c r="C1284" s="1" t="s">
        <v>591</v>
      </c>
      <c r="D1284" s="1" t="s">
        <v>595</v>
      </c>
      <c r="E1284" s="1" t="s">
        <v>874</v>
      </c>
      <c r="F1284" s="62" t="str">
        <f t="shared" si="254"/>
        <v>64600</v>
      </c>
      <c r="G1284" s="1">
        <v>10620004</v>
      </c>
      <c r="H1284" s="1" t="s">
        <v>388</v>
      </c>
      <c r="I1284" s="61">
        <v>77</v>
      </c>
      <c r="J1284" s="61">
        <v>3.3</v>
      </c>
      <c r="K1284" s="61">
        <v>8.1999999999999993</v>
      </c>
      <c r="L1284" s="69">
        <f t="shared" si="255"/>
        <v>2.5409999999999999</v>
      </c>
      <c r="M1284" s="69">
        <f t="shared" si="256"/>
        <v>6.3140000000000001</v>
      </c>
      <c r="N1284" s="56">
        <f>INDEX(Rate_Chart!$A$1:$AK$127,MATCH(Data!J1284,Rate_Chart!$A$1:$A$127,0),MATCH(Data!K1284,Rate_Chart!$A$1:$AK$1,0))</f>
        <v>36.558139799999999</v>
      </c>
      <c r="O1284" s="57">
        <f t="shared" si="257"/>
        <v>2814.9767646</v>
      </c>
      <c r="P1284" s="58">
        <f t="shared" si="258"/>
        <v>417.0130015209125</v>
      </c>
      <c r="Q1284" s="58">
        <f t="shared" si="259"/>
        <v>278.00866768060831</v>
      </c>
      <c r="R1284" s="66">
        <f t="shared" si="260"/>
        <v>49.262093380500005</v>
      </c>
      <c r="S1284" s="64">
        <f t="shared" si="261"/>
        <v>288.75</v>
      </c>
      <c r="T1284" s="66">
        <f t="shared" si="262"/>
        <v>3152.9888579805001</v>
      </c>
      <c r="U1284" s="68">
        <f t="shared" si="263"/>
        <v>40.947907246500002</v>
      </c>
      <c r="V1284" s="68">
        <f t="shared" si="264"/>
        <v>467.08639444676805</v>
      </c>
      <c r="W1284" s="68">
        <f t="shared" si="265"/>
        <v>311.39092963117872</v>
      </c>
    </row>
    <row r="1285" spans="1:23" x14ac:dyDescent="0.25">
      <c r="A1285" s="1" t="s">
        <v>890</v>
      </c>
      <c r="B1285" s="61" t="s">
        <v>396</v>
      </c>
      <c r="C1285" s="1" t="s">
        <v>591</v>
      </c>
      <c r="D1285" s="1" t="s">
        <v>595</v>
      </c>
      <c r="E1285" s="1" t="s">
        <v>874</v>
      </c>
      <c r="F1285" s="62" t="str">
        <f t="shared" ref="F1285:F1301" si="266">MID(E1285,2,5)</f>
        <v>64600</v>
      </c>
      <c r="G1285" s="1">
        <v>10620004</v>
      </c>
      <c r="H1285" s="1" t="s">
        <v>387</v>
      </c>
      <c r="I1285" s="61">
        <v>34</v>
      </c>
      <c r="J1285" s="61">
        <v>6</v>
      </c>
      <c r="K1285" s="61">
        <v>8.8000000000000007</v>
      </c>
      <c r="L1285" s="69">
        <f t="shared" si="255"/>
        <v>2.04</v>
      </c>
      <c r="M1285" s="69">
        <f t="shared" si="256"/>
        <v>2.9920000000000004</v>
      </c>
      <c r="N1285" s="56">
        <f>INDEX(Rate_Chart!$A$1:$AK$127,MATCH(Data!J1285,Rate_Chart!$A$1:$A$127,0),MATCH(Data!K1285,Rate_Chart!$A$1:$AK$1,0))</f>
        <v>49.599000000000004</v>
      </c>
      <c r="O1285" s="57">
        <f t="shared" si="257"/>
        <v>1686.3660000000002</v>
      </c>
      <c r="P1285" s="58">
        <f t="shared" si="258"/>
        <v>417.96910112359552</v>
      </c>
      <c r="Q1285" s="58">
        <f t="shared" si="259"/>
        <v>278.64606741573033</v>
      </c>
      <c r="R1285" s="66">
        <f t="shared" si="260"/>
        <v>29.511405000000007</v>
      </c>
      <c r="S1285" s="64">
        <f t="shared" si="261"/>
        <v>127.5</v>
      </c>
      <c r="T1285" s="66">
        <f t="shared" si="262"/>
        <v>1843.3774050000002</v>
      </c>
      <c r="U1285" s="68">
        <f t="shared" si="263"/>
        <v>54.216982500000007</v>
      </c>
      <c r="V1285" s="68">
        <f t="shared" si="264"/>
        <v>456.8846839887641</v>
      </c>
      <c r="W1285" s="68">
        <f t="shared" si="265"/>
        <v>304.58978932584273</v>
      </c>
    </row>
    <row r="1286" spans="1:23" x14ac:dyDescent="0.25">
      <c r="A1286" s="1" t="s">
        <v>890</v>
      </c>
      <c r="B1286" s="61" t="s">
        <v>396</v>
      </c>
      <c r="C1286" s="1" t="s">
        <v>591</v>
      </c>
      <c r="D1286" s="1" t="s">
        <v>595</v>
      </c>
      <c r="E1286" s="1" t="s">
        <v>874</v>
      </c>
      <c r="F1286" s="62" t="str">
        <f t="shared" si="266"/>
        <v>64600</v>
      </c>
      <c r="G1286" s="1">
        <v>10620004</v>
      </c>
      <c r="H1286" s="1" t="s">
        <v>388</v>
      </c>
      <c r="I1286" s="61">
        <v>75</v>
      </c>
      <c r="J1286" s="61">
        <v>3.4</v>
      </c>
      <c r="K1286" s="61">
        <v>8.1</v>
      </c>
      <c r="L1286" s="69">
        <f t="shared" si="255"/>
        <v>2.5499999999999998</v>
      </c>
      <c r="M1286" s="69">
        <f t="shared" si="256"/>
        <v>6.0750000000000002</v>
      </c>
      <c r="N1286" s="56">
        <f>INDEX(Rate_Chart!$A$1:$AK$127,MATCH(Data!J1286,Rate_Chart!$A$1:$A$127,0),MATCH(Data!K1286,Rate_Chart!$A$1:$AK$1,0))</f>
        <v>36.697125900000003</v>
      </c>
      <c r="O1286" s="57">
        <f t="shared" si="257"/>
        <v>2752.2844425000003</v>
      </c>
      <c r="P1286" s="58">
        <f t="shared" si="258"/>
        <v>417.01279431818188</v>
      </c>
      <c r="Q1286" s="58">
        <f t="shared" si="259"/>
        <v>278.00852954545456</v>
      </c>
      <c r="R1286" s="66">
        <f t="shared" si="260"/>
        <v>48.164977743750008</v>
      </c>
      <c r="S1286" s="64">
        <f t="shared" si="261"/>
        <v>281.25</v>
      </c>
      <c r="T1286" s="66">
        <f t="shared" si="262"/>
        <v>3081.6994202437504</v>
      </c>
      <c r="U1286" s="68">
        <f t="shared" si="263"/>
        <v>41.089325603250003</v>
      </c>
      <c r="V1286" s="68">
        <f t="shared" si="264"/>
        <v>466.92415458238645</v>
      </c>
      <c r="W1286" s="68">
        <f t="shared" si="265"/>
        <v>311.28276972159097</v>
      </c>
    </row>
    <row r="1287" spans="1:23" x14ac:dyDescent="0.25">
      <c r="A1287" s="1" t="s">
        <v>890</v>
      </c>
      <c r="B1287" s="61" t="s">
        <v>397</v>
      </c>
      <c r="C1287" s="1" t="s">
        <v>591</v>
      </c>
      <c r="D1287" s="1" t="s">
        <v>595</v>
      </c>
      <c r="E1287" s="1" t="s">
        <v>874</v>
      </c>
      <c r="F1287" s="62" t="str">
        <f t="shared" si="266"/>
        <v>64600</v>
      </c>
      <c r="G1287" s="1">
        <v>10620004</v>
      </c>
      <c r="H1287" s="1" t="s">
        <v>387</v>
      </c>
      <c r="I1287" s="61">
        <v>25</v>
      </c>
      <c r="J1287" s="61">
        <v>5.6</v>
      </c>
      <c r="K1287" s="61">
        <v>8.6</v>
      </c>
      <c r="L1287" s="69">
        <f t="shared" si="255"/>
        <v>1.4</v>
      </c>
      <c r="M1287" s="69">
        <f t="shared" si="256"/>
        <v>2.15</v>
      </c>
      <c r="N1287" s="56">
        <f>INDEX(Rate_Chart!$A$1:$AK$127,MATCH(Data!J1287,Rate_Chart!$A$1:$A$127,0),MATCH(Data!K1287,Rate_Chart!$A$1:$AK$1,0))</f>
        <v>45.824799999999996</v>
      </c>
      <c r="O1287" s="57">
        <f t="shared" si="257"/>
        <v>1145.6199999999999</v>
      </c>
      <c r="P1287" s="58">
        <f t="shared" si="258"/>
        <v>404.33647058823533</v>
      </c>
      <c r="Q1287" s="58">
        <f t="shared" si="259"/>
        <v>269.55764705882353</v>
      </c>
      <c r="R1287" s="66">
        <f t="shared" si="260"/>
        <v>20.048349999999999</v>
      </c>
      <c r="S1287" s="64">
        <f t="shared" si="261"/>
        <v>93.75</v>
      </c>
      <c r="T1287" s="66">
        <f t="shared" si="262"/>
        <v>1259.4183499999999</v>
      </c>
      <c r="U1287" s="68">
        <f t="shared" si="263"/>
        <v>50.376733999999999</v>
      </c>
      <c r="V1287" s="68">
        <f t="shared" si="264"/>
        <v>444.50059411764715</v>
      </c>
      <c r="W1287" s="68">
        <f t="shared" si="265"/>
        <v>296.33372941176475</v>
      </c>
    </row>
    <row r="1288" spans="1:23" x14ac:dyDescent="0.25">
      <c r="A1288" s="1" t="s">
        <v>890</v>
      </c>
      <c r="B1288" s="61" t="s">
        <v>397</v>
      </c>
      <c r="C1288" s="1" t="s">
        <v>591</v>
      </c>
      <c r="D1288" s="1" t="s">
        <v>595</v>
      </c>
      <c r="E1288" s="1" t="s">
        <v>874</v>
      </c>
      <c r="F1288" s="62" t="str">
        <f t="shared" si="266"/>
        <v>64600</v>
      </c>
      <c r="G1288" s="1">
        <v>10620004</v>
      </c>
      <c r="H1288" s="1" t="s">
        <v>388</v>
      </c>
      <c r="I1288" s="61">
        <v>59</v>
      </c>
      <c r="J1288" s="61">
        <v>3</v>
      </c>
      <c r="K1288" s="61">
        <v>8</v>
      </c>
      <c r="L1288" s="69">
        <f t="shared" si="255"/>
        <v>1.77</v>
      </c>
      <c r="M1288" s="69">
        <f t="shared" si="256"/>
        <v>4.72</v>
      </c>
      <c r="N1288" s="56">
        <f>INDEX(Rate_Chart!$A$1:$AK$127,MATCH(Data!J1288,Rate_Chart!$A$1:$A$127,0),MATCH(Data!K1288,Rate_Chart!$A$1:$AK$1,0))</f>
        <v>34.751112000000006</v>
      </c>
      <c r="O1288" s="57">
        <f t="shared" si="257"/>
        <v>2050.3156080000003</v>
      </c>
      <c r="P1288" s="58">
        <f t="shared" si="258"/>
        <v>417.01334400000002</v>
      </c>
      <c r="Q1288" s="58">
        <f t="shared" si="259"/>
        <v>278.00889599999999</v>
      </c>
      <c r="R1288" s="66">
        <f t="shared" si="260"/>
        <v>35.880523140000008</v>
      </c>
      <c r="S1288" s="64">
        <f t="shared" si="261"/>
        <v>221.25</v>
      </c>
      <c r="T1288" s="66">
        <f t="shared" si="262"/>
        <v>2307.4461311400005</v>
      </c>
      <c r="U1288" s="68">
        <f t="shared" si="263"/>
        <v>39.109256460000012</v>
      </c>
      <c r="V1288" s="68">
        <f t="shared" si="264"/>
        <v>469.31107752000008</v>
      </c>
      <c r="W1288" s="68">
        <f t="shared" si="265"/>
        <v>312.87405168000004</v>
      </c>
    </row>
    <row r="1289" spans="1:23" x14ac:dyDescent="0.25">
      <c r="A1289" s="1" t="s">
        <v>891</v>
      </c>
      <c r="B1289" s="61" t="s">
        <v>396</v>
      </c>
      <c r="C1289" s="1" t="s">
        <v>591</v>
      </c>
      <c r="D1289" s="1" t="s">
        <v>595</v>
      </c>
      <c r="E1289" s="1" t="s">
        <v>874</v>
      </c>
      <c r="F1289" s="62" t="str">
        <f t="shared" si="266"/>
        <v>64600</v>
      </c>
      <c r="G1289" s="1">
        <v>10620004</v>
      </c>
      <c r="H1289" s="1" t="s">
        <v>387</v>
      </c>
      <c r="I1289" s="61">
        <v>8</v>
      </c>
      <c r="J1289" s="61">
        <v>7.1</v>
      </c>
      <c r="K1289" s="61">
        <v>8.8000000000000007</v>
      </c>
      <c r="L1289" s="69">
        <f t="shared" ref="L1289:L1301" si="267">J1289*I1289/100</f>
        <v>0.56799999999999995</v>
      </c>
      <c r="M1289" s="69">
        <f t="shared" ref="M1289:M1301" si="268">K1289*I1289/100</f>
        <v>0.70400000000000007</v>
      </c>
      <c r="N1289" s="56">
        <f>INDEX(Rate_Chart!$A$1:$AK$127,MATCH(Data!J1289,Rate_Chart!$A$1:$A$127,0),MATCH(Data!K1289,Rate_Chart!$A$1:$AK$1,0))</f>
        <v>58.692149999999998</v>
      </c>
      <c r="O1289" s="57">
        <f t="shared" ref="O1289:O1301" si="269">N1289*I1289</f>
        <v>469.53719999999998</v>
      </c>
      <c r="P1289" s="58">
        <f t="shared" ref="P1289:P1301" si="270">N1289/(J1289%+K1289%*2/3)</f>
        <v>452.63868894601546</v>
      </c>
      <c r="Q1289" s="58">
        <f t="shared" ref="Q1289:Q1301" si="271">P1289*2/3</f>
        <v>301.75912596401031</v>
      </c>
      <c r="R1289" s="66">
        <f t="shared" ref="R1289:R1301" si="272">O1289*1.75%</f>
        <v>8.216901</v>
      </c>
      <c r="S1289" s="64">
        <f t="shared" ref="S1289:S1301" si="273">I1289*3.75</f>
        <v>30</v>
      </c>
      <c r="T1289" s="66">
        <f t="shared" ref="T1289:T1301" si="274">R1289+S1289+O1289</f>
        <v>507.75410099999999</v>
      </c>
      <c r="U1289" s="68">
        <f t="shared" ref="U1289:U1301" si="275">T1289/I1289</f>
        <v>63.469262624999999</v>
      </c>
      <c r="V1289" s="68">
        <f t="shared" ref="V1289:V1301" si="276">U1289/(J1289%+K1289%*2/3)</f>
        <v>489.48017448586126</v>
      </c>
      <c r="W1289" s="68">
        <f t="shared" ref="W1289:W1301" si="277">V1289*2/3</f>
        <v>326.32011632390748</v>
      </c>
    </row>
    <row r="1290" spans="1:23" x14ac:dyDescent="0.25">
      <c r="A1290" s="1" t="s">
        <v>891</v>
      </c>
      <c r="B1290" s="61" t="s">
        <v>396</v>
      </c>
      <c r="C1290" s="1" t="s">
        <v>591</v>
      </c>
      <c r="D1290" s="1" t="s">
        <v>595</v>
      </c>
      <c r="E1290" s="1" t="s">
        <v>874</v>
      </c>
      <c r="F1290" s="62" t="str">
        <f t="shared" si="266"/>
        <v>64600</v>
      </c>
      <c r="G1290" s="1">
        <v>10620004</v>
      </c>
      <c r="H1290" s="1" t="s">
        <v>388</v>
      </c>
      <c r="I1290" s="61">
        <v>58</v>
      </c>
      <c r="J1290" s="61">
        <v>3.4</v>
      </c>
      <c r="K1290" s="61">
        <v>8.1</v>
      </c>
      <c r="L1290" s="69">
        <f t="shared" si="267"/>
        <v>1.972</v>
      </c>
      <c r="M1290" s="69">
        <f t="shared" si="268"/>
        <v>4.6979999999999995</v>
      </c>
      <c r="N1290" s="56">
        <f>INDEX(Rate_Chart!$A$1:$AK$127,MATCH(Data!J1290,Rate_Chart!$A$1:$A$127,0),MATCH(Data!K1290,Rate_Chart!$A$1:$AK$1,0))</f>
        <v>36.697125900000003</v>
      </c>
      <c r="O1290" s="57">
        <f t="shared" si="269"/>
        <v>2128.4333022000001</v>
      </c>
      <c r="P1290" s="58">
        <f t="shared" si="270"/>
        <v>417.01279431818188</v>
      </c>
      <c r="Q1290" s="58">
        <f t="shared" si="271"/>
        <v>278.00852954545456</v>
      </c>
      <c r="R1290" s="66">
        <f t="shared" si="272"/>
        <v>37.247582788500004</v>
      </c>
      <c r="S1290" s="64">
        <f t="shared" si="273"/>
        <v>217.5</v>
      </c>
      <c r="T1290" s="66">
        <f t="shared" si="274"/>
        <v>2383.1808849885001</v>
      </c>
      <c r="U1290" s="68">
        <f t="shared" si="275"/>
        <v>41.089325603250003</v>
      </c>
      <c r="V1290" s="68">
        <f t="shared" si="276"/>
        <v>466.92415458238645</v>
      </c>
      <c r="W1290" s="68">
        <f t="shared" si="277"/>
        <v>311.28276972159097</v>
      </c>
    </row>
    <row r="1291" spans="1:23" x14ac:dyDescent="0.25">
      <c r="A1291" s="1" t="s">
        <v>891</v>
      </c>
      <c r="B1291" s="61" t="s">
        <v>397</v>
      </c>
      <c r="C1291" s="1" t="s">
        <v>591</v>
      </c>
      <c r="D1291" s="1" t="s">
        <v>595</v>
      </c>
      <c r="E1291" s="1" t="s">
        <v>874</v>
      </c>
      <c r="F1291" s="62" t="str">
        <f t="shared" si="266"/>
        <v>64600</v>
      </c>
      <c r="G1291" s="1">
        <v>10620004</v>
      </c>
      <c r="H1291" s="1" t="s">
        <v>387</v>
      </c>
      <c r="I1291" s="61">
        <v>30</v>
      </c>
      <c r="J1291" s="61">
        <v>5.8</v>
      </c>
      <c r="K1291" s="61">
        <v>8.6</v>
      </c>
      <c r="L1291" s="69">
        <f t="shared" si="267"/>
        <v>1.74</v>
      </c>
      <c r="M1291" s="69">
        <f t="shared" si="268"/>
        <v>2.58</v>
      </c>
      <c r="N1291" s="56">
        <f>INDEX(Rate_Chart!$A$1:$AK$127,MATCH(Data!J1291,Rate_Chart!$A$1:$A$127,0),MATCH(Data!K1291,Rate_Chart!$A$1:$AK$1,0))</f>
        <v>47.461399999999998</v>
      </c>
      <c r="O1291" s="57">
        <f t="shared" si="269"/>
        <v>1423.8419999999999</v>
      </c>
      <c r="P1291" s="58">
        <f t="shared" si="270"/>
        <v>411.51502890173413</v>
      </c>
      <c r="Q1291" s="58">
        <f t="shared" si="271"/>
        <v>274.34335260115608</v>
      </c>
      <c r="R1291" s="66">
        <f t="shared" si="272"/>
        <v>24.917235000000002</v>
      </c>
      <c r="S1291" s="64">
        <f t="shared" si="273"/>
        <v>112.5</v>
      </c>
      <c r="T1291" s="66">
        <f t="shared" si="274"/>
        <v>1561.259235</v>
      </c>
      <c r="U1291" s="68">
        <f t="shared" si="275"/>
        <v>52.041974500000002</v>
      </c>
      <c r="V1291" s="68">
        <f t="shared" si="276"/>
        <v>451.23099277456657</v>
      </c>
      <c r="W1291" s="68">
        <f t="shared" si="277"/>
        <v>300.82066184971103</v>
      </c>
    </row>
    <row r="1292" spans="1:23" x14ac:dyDescent="0.25">
      <c r="A1292" s="1" t="s">
        <v>891</v>
      </c>
      <c r="B1292" s="61" t="s">
        <v>397</v>
      </c>
      <c r="C1292" s="1" t="s">
        <v>591</v>
      </c>
      <c r="D1292" s="1" t="s">
        <v>595</v>
      </c>
      <c r="E1292" s="1" t="s">
        <v>874</v>
      </c>
      <c r="F1292" s="62" t="str">
        <f t="shared" si="266"/>
        <v>64600</v>
      </c>
      <c r="G1292" s="1">
        <v>10620004</v>
      </c>
      <c r="H1292" s="1" t="s">
        <v>388</v>
      </c>
      <c r="I1292" s="61">
        <v>72</v>
      </c>
      <c r="J1292" s="61">
        <v>3</v>
      </c>
      <c r="K1292" s="61">
        <v>8</v>
      </c>
      <c r="L1292" s="69">
        <f t="shared" si="267"/>
        <v>2.16</v>
      </c>
      <c r="M1292" s="69">
        <f t="shared" si="268"/>
        <v>5.76</v>
      </c>
      <c r="N1292" s="56">
        <f>INDEX(Rate_Chart!$A$1:$AK$127,MATCH(Data!J1292,Rate_Chart!$A$1:$A$127,0),MATCH(Data!K1292,Rate_Chart!$A$1:$AK$1,0))</f>
        <v>34.751112000000006</v>
      </c>
      <c r="O1292" s="57">
        <f t="shared" si="269"/>
        <v>2502.0800640000007</v>
      </c>
      <c r="P1292" s="58">
        <f t="shared" si="270"/>
        <v>417.01334400000002</v>
      </c>
      <c r="Q1292" s="58">
        <f t="shared" si="271"/>
        <v>278.00889599999999</v>
      </c>
      <c r="R1292" s="66">
        <f t="shared" si="272"/>
        <v>43.786401120000015</v>
      </c>
      <c r="S1292" s="64">
        <f t="shared" si="273"/>
        <v>270</v>
      </c>
      <c r="T1292" s="66">
        <f t="shared" si="274"/>
        <v>2815.8664651200006</v>
      </c>
      <c r="U1292" s="68">
        <f t="shared" si="275"/>
        <v>39.109256460000012</v>
      </c>
      <c r="V1292" s="68">
        <f t="shared" si="276"/>
        <v>469.31107752000008</v>
      </c>
      <c r="W1292" s="68">
        <f t="shared" si="277"/>
        <v>312.87405168000004</v>
      </c>
    </row>
    <row r="1293" spans="1:23" x14ac:dyDescent="0.25">
      <c r="A1293" s="1" t="s">
        <v>892</v>
      </c>
      <c r="B1293" s="61" t="s">
        <v>396</v>
      </c>
      <c r="C1293" s="1" t="s">
        <v>591</v>
      </c>
      <c r="D1293" s="1" t="s">
        <v>595</v>
      </c>
      <c r="E1293" s="1" t="s">
        <v>874</v>
      </c>
      <c r="F1293" s="62" t="str">
        <f t="shared" si="266"/>
        <v>64600</v>
      </c>
      <c r="G1293" s="1">
        <v>10620004</v>
      </c>
      <c r="H1293" s="1" t="s">
        <v>387</v>
      </c>
      <c r="I1293" s="61">
        <v>41</v>
      </c>
      <c r="J1293" s="61">
        <v>5.8</v>
      </c>
      <c r="K1293" s="61">
        <v>8.8000000000000007</v>
      </c>
      <c r="L1293" s="69">
        <f t="shared" si="267"/>
        <v>2.3779999999999997</v>
      </c>
      <c r="M1293" s="69">
        <f t="shared" si="268"/>
        <v>3.6080000000000001</v>
      </c>
      <c r="N1293" s="56">
        <f>INDEX(Rate_Chart!$A$1:$AK$127,MATCH(Data!J1293,Rate_Chart!$A$1:$A$127,0),MATCH(Data!K1293,Rate_Chart!$A$1:$AK$1,0))</f>
        <v>47.945700000000002</v>
      </c>
      <c r="O1293" s="57">
        <f t="shared" si="269"/>
        <v>1965.7737000000002</v>
      </c>
      <c r="P1293" s="58">
        <f t="shared" si="270"/>
        <v>410.96314285714288</v>
      </c>
      <c r="Q1293" s="58">
        <f t="shared" si="271"/>
        <v>273.97542857142861</v>
      </c>
      <c r="R1293" s="66">
        <f t="shared" si="272"/>
        <v>34.40103975000001</v>
      </c>
      <c r="S1293" s="64">
        <f t="shared" si="273"/>
        <v>153.75</v>
      </c>
      <c r="T1293" s="66">
        <f t="shared" si="274"/>
        <v>2153.9247397500003</v>
      </c>
      <c r="U1293" s="68">
        <f t="shared" si="275"/>
        <v>52.53474975000001</v>
      </c>
      <c r="V1293" s="68">
        <f t="shared" si="276"/>
        <v>450.29785500000008</v>
      </c>
      <c r="W1293" s="68">
        <f t="shared" si="277"/>
        <v>300.19857000000007</v>
      </c>
    </row>
    <row r="1294" spans="1:23" x14ac:dyDescent="0.25">
      <c r="A1294" s="1" t="s">
        <v>892</v>
      </c>
      <c r="B1294" s="61" t="s">
        <v>396</v>
      </c>
      <c r="C1294" s="1" t="s">
        <v>591</v>
      </c>
      <c r="D1294" s="1" t="s">
        <v>595</v>
      </c>
      <c r="E1294" s="1" t="s">
        <v>874</v>
      </c>
      <c r="F1294" s="62" t="str">
        <f t="shared" si="266"/>
        <v>64600</v>
      </c>
      <c r="G1294" s="1">
        <v>10620004</v>
      </c>
      <c r="H1294" s="1" t="s">
        <v>388</v>
      </c>
      <c r="I1294" s="61">
        <v>72</v>
      </c>
      <c r="J1294" s="61">
        <v>3.2</v>
      </c>
      <c r="K1294" s="61">
        <v>8.1</v>
      </c>
      <c r="L1294" s="69">
        <f t="shared" si="267"/>
        <v>2.3040000000000003</v>
      </c>
      <c r="M1294" s="69">
        <f t="shared" si="268"/>
        <v>5.831999999999999</v>
      </c>
      <c r="N1294" s="56">
        <f>INDEX(Rate_Chart!$A$1:$AK$127,MATCH(Data!J1294,Rate_Chart!$A$1:$A$127,0),MATCH(Data!K1294,Rate_Chart!$A$1:$AK$1,0))</f>
        <v>35.8631259</v>
      </c>
      <c r="O1294" s="57">
        <f t="shared" si="269"/>
        <v>2582.1450648</v>
      </c>
      <c r="P1294" s="58">
        <f t="shared" si="270"/>
        <v>417.01309186046512</v>
      </c>
      <c r="Q1294" s="58">
        <f t="shared" si="271"/>
        <v>278.00872790697673</v>
      </c>
      <c r="R1294" s="66">
        <f t="shared" si="272"/>
        <v>45.187538634000006</v>
      </c>
      <c r="S1294" s="64">
        <f t="shared" si="273"/>
        <v>270</v>
      </c>
      <c r="T1294" s="66">
        <f t="shared" si="274"/>
        <v>2897.3326034339998</v>
      </c>
      <c r="U1294" s="68">
        <f t="shared" si="275"/>
        <v>40.24073060325</v>
      </c>
      <c r="V1294" s="68">
        <f t="shared" si="276"/>
        <v>467.91547213081401</v>
      </c>
      <c r="W1294" s="68">
        <f t="shared" si="277"/>
        <v>311.94364808720934</v>
      </c>
    </row>
    <row r="1295" spans="1:23" x14ac:dyDescent="0.25">
      <c r="A1295" s="1" t="s">
        <v>892</v>
      </c>
      <c r="B1295" s="61" t="s">
        <v>397</v>
      </c>
      <c r="C1295" s="1" t="s">
        <v>591</v>
      </c>
      <c r="D1295" s="1" t="s">
        <v>595</v>
      </c>
      <c r="E1295" s="1" t="s">
        <v>874</v>
      </c>
      <c r="F1295" s="62" t="str">
        <f t="shared" si="266"/>
        <v>64600</v>
      </c>
      <c r="G1295" s="1">
        <v>10620004</v>
      </c>
      <c r="H1295" s="1" t="s">
        <v>387</v>
      </c>
      <c r="I1295" s="61">
        <v>16</v>
      </c>
      <c r="J1295" s="61">
        <v>6.2</v>
      </c>
      <c r="K1295" s="61">
        <v>8.8000000000000007</v>
      </c>
      <c r="L1295" s="69">
        <f t="shared" si="267"/>
        <v>0.99199999999999999</v>
      </c>
      <c r="M1295" s="69">
        <f t="shared" si="268"/>
        <v>1.4080000000000001</v>
      </c>
      <c r="N1295" s="56">
        <f>INDEX(Rate_Chart!$A$1:$AK$127,MATCH(Data!J1295,Rate_Chart!$A$1:$A$127,0),MATCH(Data!K1295,Rate_Chart!$A$1:$AK$1,0))</f>
        <v>51.252300000000005</v>
      </c>
      <c r="O1295" s="57">
        <f t="shared" si="269"/>
        <v>820.03680000000008</v>
      </c>
      <c r="P1295" s="58">
        <f t="shared" si="270"/>
        <v>424.74281767955802</v>
      </c>
      <c r="Q1295" s="58">
        <f t="shared" si="271"/>
        <v>283.1618784530387</v>
      </c>
      <c r="R1295" s="66">
        <f t="shared" si="272"/>
        <v>14.350644000000003</v>
      </c>
      <c r="S1295" s="64">
        <f t="shared" si="273"/>
        <v>60</v>
      </c>
      <c r="T1295" s="66">
        <f t="shared" si="274"/>
        <v>894.38744400000007</v>
      </c>
      <c r="U1295" s="68">
        <f t="shared" si="275"/>
        <v>55.899215250000005</v>
      </c>
      <c r="V1295" s="68">
        <f t="shared" si="276"/>
        <v>463.25316505524864</v>
      </c>
      <c r="W1295" s="68">
        <f t="shared" si="277"/>
        <v>308.83544337016576</v>
      </c>
    </row>
    <row r="1296" spans="1:23" x14ac:dyDescent="0.25">
      <c r="A1296" s="1" t="s">
        <v>892</v>
      </c>
      <c r="B1296" s="61" t="s">
        <v>397</v>
      </c>
      <c r="C1296" s="1" t="s">
        <v>591</v>
      </c>
      <c r="D1296" s="1" t="s">
        <v>595</v>
      </c>
      <c r="E1296" s="1" t="s">
        <v>874</v>
      </c>
      <c r="F1296" s="62" t="str">
        <f t="shared" si="266"/>
        <v>64600</v>
      </c>
      <c r="G1296" s="1">
        <v>10620004</v>
      </c>
      <c r="H1296" s="1" t="s">
        <v>388</v>
      </c>
      <c r="I1296" s="61">
        <v>75</v>
      </c>
      <c r="J1296" s="61">
        <v>3.1</v>
      </c>
      <c r="K1296" s="61">
        <v>8.1</v>
      </c>
      <c r="L1296" s="69">
        <f t="shared" si="267"/>
        <v>2.3250000000000002</v>
      </c>
      <c r="M1296" s="69">
        <f t="shared" si="268"/>
        <v>6.0750000000000002</v>
      </c>
      <c r="N1296" s="56">
        <f>INDEX(Rate_Chart!$A$1:$AK$127,MATCH(Data!J1296,Rate_Chart!$A$1:$A$127,0),MATCH(Data!K1296,Rate_Chart!$A$1:$AK$1,0))</f>
        <v>35.446125899999998</v>
      </c>
      <c r="O1296" s="57">
        <f t="shared" si="269"/>
        <v>2658.4594425</v>
      </c>
      <c r="P1296" s="58">
        <f t="shared" si="270"/>
        <v>417.01324588235298</v>
      </c>
      <c r="Q1296" s="58">
        <f t="shared" si="271"/>
        <v>278.0088305882353</v>
      </c>
      <c r="R1296" s="66">
        <f t="shared" si="272"/>
        <v>46.523040243750003</v>
      </c>
      <c r="S1296" s="64">
        <f t="shared" si="273"/>
        <v>281.25</v>
      </c>
      <c r="T1296" s="66">
        <f t="shared" si="274"/>
        <v>2986.2324827437501</v>
      </c>
      <c r="U1296" s="68">
        <f t="shared" si="275"/>
        <v>39.816433103249999</v>
      </c>
      <c r="V1296" s="68">
        <f t="shared" si="276"/>
        <v>468.42862474411766</v>
      </c>
      <c r="W1296" s="68">
        <f t="shared" si="277"/>
        <v>312.28574982941177</v>
      </c>
    </row>
    <row r="1297" spans="1:23" x14ac:dyDescent="0.25">
      <c r="A1297" s="1" t="s">
        <v>893</v>
      </c>
      <c r="B1297" s="61" t="s">
        <v>397</v>
      </c>
      <c r="C1297" s="1" t="s">
        <v>591</v>
      </c>
      <c r="D1297" s="1" t="s">
        <v>595</v>
      </c>
      <c r="E1297" s="1" t="s">
        <v>874</v>
      </c>
      <c r="F1297" s="62" t="str">
        <f t="shared" si="266"/>
        <v>64600</v>
      </c>
      <c r="G1297" s="1">
        <v>10620004</v>
      </c>
      <c r="H1297" s="1" t="s">
        <v>387</v>
      </c>
      <c r="I1297" s="61">
        <v>30</v>
      </c>
      <c r="J1297" s="61">
        <v>6.1</v>
      </c>
      <c r="K1297" s="61">
        <v>8.8000000000000007</v>
      </c>
      <c r="L1297" s="69">
        <f t="shared" si="267"/>
        <v>1.83</v>
      </c>
      <c r="M1297" s="69">
        <f t="shared" si="268"/>
        <v>2.64</v>
      </c>
      <c r="N1297" s="56">
        <f>INDEX(Rate_Chart!$A$1:$AK$127,MATCH(Data!J1297,Rate_Chart!$A$1:$A$127,0),MATCH(Data!K1297,Rate_Chart!$A$1:$AK$1,0))</f>
        <v>50.425650000000005</v>
      </c>
      <c r="O1297" s="57">
        <f t="shared" si="269"/>
        <v>1512.7695000000001</v>
      </c>
      <c r="P1297" s="58">
        <f t="shared" si="270"/>
        <v>421.38426183844012</v>
      </c>
      <c r="Q1297" s="58">
        <f t="shared" si="271"/>
        <v>280.92284122562677</v>
      </c>
      <c r="R1297" s="66">
        <f t="shared" si="272"/>
        <v>26.473466250000005</v>
      </c>
      <c r="S1297" s="64">
        <f t="shared" si="273"/>
        <v>112.5</v>
      </c>
      <c r="T1297" s="66">
        <f t="shared" si="274"/>
        <v>1651.7429662500001</v>
      </c>
      <c r="U1297" s="68">
        <f t="shared" si="275"/>
        <v>55.058098875000006</v>
      </c>
      <c r="V1297" s="68">
        <f t="shared" si="276"/>
        <v>460.09553377437328</v>
      </c>
      <c r="W1297" s="68">
        <f t="shared" si="277"/>
        <v>306.73035584958217</v>
      </c>
    </row>
    <row r="1298" spans="1:23" x14ac:dyDescent="0.25">
      <c r="A1298" s="1" t="s">
        <v>893</v>
      </c>
      <c r="B1298" s="61" t="s">
        <v>397</v>
      </c>
      <c r="C1298" s="1" t="s">
        <v>591</v>
      </c>
      <c r="D1298" s="1" t="s">
        <v>595</v>
      </c>
      <c r="E1298" s="1" t="s">
        <v>874</v>
      </c>
      <c r="F1298" s="62" t="str">
        <f t="shared" si="266"/>
        <v>64600</v>
      </c>
      <c r="G1298" s="1">
        <v>10620004</v>
      </c>
      <c r="H1298" s="1" t="s">
        <v>388</v>
      </c>
      <c r="I1298" s="61">
        <v>64</v>
      </c>
      <c r="J1298" s="61">
        <v>3</v>
      </c>
      <c r="K1298" s="61">
        <v>8.1</v>
      </c>
      <c r="L1298" s="69">
        <f t="shared" si="267"/>
        <v>1.92</v>
      </c>
      <c r="M1298" s="69">
        <f t="shared" si="268"/>
        <v>5.1840000000000002</v>
      </c>
      <c r="N1298" s="56">
        <f>INDEX(Rate_Chart!$A$1:$AK$127,MATCH(Data!J1298,Rate_Chart!$A$1:$A$127,0),MATCH(Data!K1298,Rate_Chart!$A$1:$AK$1,0))</f>
        <v>35.029125900000004</v>
      </c>
      <c r="O1298" s="57">
        <f t="shared" si="269"/>
        <v>2241.8640576000003</v>
      </c>
      <c r="P1298" s="58">
        <f t="shared" si="270"/>
        <v>417.01340357142868</v>
      </c>
      <c r="Q1298" s="58">
        <f t="shared" si="271"/>
        <v>278.00893571428577</v>
      </c>
      <c r="R1298" s="66">
        <f t="shared" si="272"/>
        <v>39.23262100800001</v>
      </c>
      <c r="S1298" s="64">
        <f t="shared" si="273"/>
        <v>240</v>
      </c>
      <c r="T1298" s="66">
        <f t="shared" si="274"/>
        <v>2521.0966786080003</v>
      </c>
      <c r="U1298" s="68">
        <f t="shared" si="275"/>
        <v>39.392135603250004</v>
      </c>
      <c r="V1298" s="68">
        <f t="shared" si="276"/>
        <v>468.9539952767858</v>
      </c>
      <c r="W1298" s="68">
        <f t="shared" si="277"/>
        <v>312.63599685119055</v>
      </c>
    </row>
    <row r="1299" spans="1:23" x14ac:dyDescent="0.25">
      <c r="A1299" s="1" t="s">
        <v>894</v>
      </c>
      <c r="B1299" s="61" t="s">
        <v>396</v>
      </c>
      <c r="C1299" s="1" t="s">
        <v>591</v>
      </c>
      <c r="D1299" s="1" t="s">
        <v>595</v>
      </c>
      <c r="E1299" s="1" t="s">
        <v>874</v>
      </c>
      <c r="F1299" s="62" t="str">
        <f t="shared" si="266"/>
        <v>64600</v>
      </c>
      <c r="G1299" s="1">
        <v>10620004</v>
      </c>
      <c r="H1299" s="1" t="s">
        <v>388</v>
      </c>
      <c r="I1299" s="61">
        <v>73</v>
      </c>
      <c r="J1299" s="61">
        <v>3.2</v>
      </c>
      <c r="K1299" s="61">
        <v>8.1</v>
      </c>
      <c r="L1299" s="69">
        <f t="shared" si="267"/>
        <v>2.3360000000000003</v>
      </c>
      <c r="M1299" s="69">
        <f t="shared" si="268"/>
        <v>5.9129999999999994</v>
      </c>
      <c r="N1299" s="56">
        <f>INDEX(Rate_Chart!$A$1:$AK$127,MATCH(Data!J1299,Rate_Chart!$A$1:$A$127,0),MATCH(Data!K1299,Rate_Chart!$A$1:$AK$1,0))</f>
        <v>35.8631259</v>
      </c>
      <c r="O1299" s="57">
        <f t="shared" si="269"/>
        <v>2618.0081906999999</v>
      </c>
      <c r="P1299" s="58">
        <f t="shared" si="270"/>
        <v>417.01309186046512</v>
      </c>
      <c r="Q1299" s="58">
        <f t="shared" si="271"/>
        <v>278.00872790697673</v>
      </c>
      <c r="R1299" s="66">
        <f t="shared" si="272"/>
        <v>45.815143337249999</v>
      </c>
      <c r="S1299" s="64">
        <f t="shared" si="273"/>
        <v>273.75</v>
      </c>
      <c r="T1299" s="66">
        <f t="shared" si="274"/>
        <v>2937.5733340372499</v>
      </c>
      <c r="U1299" s="68">
        <f t="shared" si="275"/>
        <v>40.24073060325</v>
      </c>
      <c r="V1299" s="68">
        <f t="shared" si="276"/>
        <v>467.91547213081401</v>
      </c>
      <c r="W1299" s="68">
        <f t="shared" si="277"/>
        <v>311.94364808720934</v>
      </c>
    </row>
    <row r="1300" spans="1:23" x14ac:dyDescent="0.25">
      <c r="A1300" s="1" t="s">
        <v>894</v>
      </c>
      <c r="B1300" s="61" t="s">
        <v>397</v>
      </c>
      <c r="C1300" s="1" t="s">
        <v>591</v>
      </c>
      <c r="D1300" s="1" t="s">
        <v>595</v>
      </c>
      <c r="E1300" s="1" t="s">
        <v>874</v>
      </c>
      <c r="F1300" s="62" t="str">
        <f t="shared" si="266"/>
        <v>64600</v>
      </c>
      <c r="G1300" s="1">
        <v>10620004</v>
      </c>
      <c r="H1300" s="1" t="s">
        <v>387</v>
      </c>
      <c r="I1300" s="61">
        <v>19</v>
      </c>
      <c r="J1300" s="61">
        <v>5.6</v>
      </c>
      <c r="K1300" s="61">
        <v>8.6</v>
      </c>
      <c r="L1300" s="69">
        <f t="shared" si="267"/>
        <v>1.0639999999999998</v>
      </c>
      <c r="M1300" s="69">
        <f t="shared" si="268"/>
        <v>1.6340000000000001</v>
      </c>
      <c r="N1300" s="56">
        <f>INDEX(Rate_Chart!$A$1:$AK$127,MATCH(Data!J1300,Rate_Chart!$A$1:$A$127,0),MATCH(Data!K1300,Rate_Chart!$A$1:$AK$1,0))</f>
        <v>45.824799999999996</v>
      </c>
      <c r="O1300" s="57">
        <f t="shared" si="269"/>
        <v>870.67119999999989</v>
      </c>
      <c r="P1300" s="58">
        <f t="shared" si="270"/>
        <v>404.33647058823533</v>
      </c>
      <c r="Q1300" s="58">
        <f t="shared" si="271"/>
        <v>269.55764705882353</v>
      </c>
      <c r="R1300" s="66">
        <f t="shared" si="272"/>
        <v>15.236746</v>
      </c>
      <c r="S1300" s="64">
        <f t="shared" si="273"/>
        <v>71.25</v>
      </c>
      <c r="T1300" s="66">
        <f t="shared" si="274"/>
        <v>957.15794599999992</v>
      </c>
      <c r="U1300" s="68">
        <f t="shared" si="275"/>
        <v>50.376733999999999</v>
      </c>
      <c r="V1300" s="68">
        <f t="shared" si="276"/>
        <v>444.50059411764715</v>
      </c>
      <c r="W1300" s="68">
        <f t="shared" si="277"/>
        <v>296.33372941176475</v>
      </c>
    </row>
    <row r="1301" spans="1:23" x14ac:dyDescent="0.25">
      <c r="A1301" s="1" t="s">
        <v>894</v>
      </c>
      <c r="B1301" s="61" t="s">
        <v>397</v>
      </c>
      <c r="C1301" s="1" t="s">
        <v>591</v>
      </c>
      <c r="D1301" s="1" t="s">
        <v>595</v>
      </c>
      <c r="E1301" s="1" t="s">
        <v>874</v>
      </c>
      <c r="F1301" s="62" t="str">
        <f t="shared" si="266"/>
        <v>64600</v>
      </c>
      <c r="G1301" s="1">
        <v>10620004</v>
      </c>
      <c r="H1301" s="1" t="s">
        <v>388</v>
      </c>
      <c r="I1301" s="61">
        <v>58</v>
      </c>
      <c r="J1301" s="61">
        <v>3</v>
      </c>
      <c r="K1301" s="61">
        <v>8</v>
      </c>
      <c r="L1301" s="69">
        <f t="shared" si="267"/>
        <v>1.74</v>
      </c>
      <c r="M1301" s="69">
        <f t="shared" si="268"/>
        <v>4.6399999999999997</v>
      </c>
      <c r="N1301" s="56">
        <f>INDEX(Rate_Chart!$A$1:$AK$127,MATCH(Data!J1301,Rate_Chart!$A$1:$A$127,0),MATCH(Data!K1301,Rate_Chart!$A$1:$AK$1,0))</f>
        <v>34.751112000000006</v>
      </c>
      <c r="O1301" s="57">
        <f t="shared" si="269"/>
        <v>2015.5644960000004</v>
      </c>
      <c r="P1301" s="58">
        <f t="shared" si="270"/>
        <v>417.01334400000002</v>
      </c>
      <c r="Q1301" s="58">
        <f t="shared" si="271"/>
        <v>278.00889599999999</v>
      </c>
      <c r="R1301" s="66">
        <f t="shared" si="272"/>
        <v>35.27237868000001</v>
      </c>
      <c r="S1301" s="64">
        <f t="shared" si="273"/>
        <v>217.5</v>
      </c>
      <c r="T1301" s="66">
        <f t="shared" si="274"/>
        <v>2268.3368746800006</v>
      </c>
      <c r="U1301" s="68">
        <f t="shared" si="275"/>
        <v>39.109256460000012</v>
      </c>
      <c r="V1301" s="68">
        <f t="shared" si="276"/>
        <v>469.31107752000008</v>
      </c>
      <c r="W1301" s="68">
        <f t="shared" si="277"/>
        <v>312.87405168000004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2026-06-12T09:57:13Z</dcterms:modified>
  <cp:category/>
</cp:coreProperties>
</file>