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4-30-Apr\"/>
    </mc:Choice>
  </mc:AlternateContent>
  <xr:revisionPtr revIDLastSave="0" documentId="13_ncr:1_{116BF44C-0C94-48F7-B28C-E30934B247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4" i="1"/>
  <c r="H19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F18" i="1"/>
  <c r="F19" i="1" s="1"/>
  <c r="G19" i="1" l="1"/>
</calcChain>
</file>

<file path=xl/sharedStrings.xml><?xml version="1.0" encoding="utf-8"?>
<sst xmlns="http://schemas.openxmlformats.org/spreadsheetml/2006/main" count="43" uniqueCount="34">
  <si>
    <t>ITC DAIRY LTD MUNGHER CAN RECORD (125)</t>
  </si>
  <si>
    <t>DATE</t>
  </si>
  <si>
    <t>ROUTE</t>
  </si>
  <si>
    <t>Soc.Code</t>
  </si>
  <si>
    <t>SOCIETY NAME</t>
  </si>
  <si>
    <t>CAN QTY</t>
  </si>
  <si>
    <t>MOBILE NO.</t>
  </si>
  <si>
    <t>10.03.2026</t>
  </si>
  <si>
    <t>KALANI DSK</t>
  </si>
  <si>
    <t>MACHHANATA DSK</t>
  </si>
  <si>
    <t>DANDAWASH DSK</t>
  </si>
  <si>
    <t>11.03.2026</t>
  </si>
  <si>
    <t>KAMHARI DSK</t>
  </si>
  <si>
    <t>13.03.2026</t>
  </si>
  <si>
    <t>ASUDHA DSK</t>
  </si>
  <si>
    <t>17.03.2026</t>
  </si>
  <si>
    <t>TIYARA DSK</t>
  </si>
  <si>
    <t>18.03.2026</t>
  </si>
  <si>
    <t>MANSURPUR DSK</t>
  </si>
  <si>
    <t>BAMBHOOR DSK</t>
  </si>
  <si>
    <t>28.03.2026</t>
  </si>
  <si>
    <t>KAJARIYA DSK</t>
  </si>
  <si>
    <t>31.03.2026</t>
  </si>
  <si>
    <t>NOUAN DSK</t>
  </si>
  <si>
    <t>SUHWAL DSK</t>
  </si>
  <si>
    <t>SATOAWANTI DSK</t>
  </si>
  <si>
    <t>YOURAJPUR DSK</t>
  </si>
  <si>
    <t xml:space="preserve">Cans In Society </t>
  </si>
  <si>
    <t>Avilable In Stock</t>
  </si>
  <si>
    <t>SAP Code</t>
  </si>
  <si>
    <t>PANAOUR PURVY DSK</t>
  </si>
  <si>
    <t>AMOUNT</t>
  </si>
  <si>
    <t>DEDUCTION (24-30 Payment Cycle)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</si>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</sst>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"/>
    <numFmt numFmtId="166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8"/>
      <color rgb="FFFFFFFF"/>
      <name val="Arial"/>
      <family val="2"/>
    </font>
    <font>
      <sz val="14"/>
      <color rgb="FFFFFFFF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124D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3">
    <xf numFmtId="0" fontId="0" fillId="0" borderId="0" xfId="0"/>
    <xf numFmtId="164" fontId="5" fillId="0" borderId="7" xfId="0" applyNumberFormat="1" applyFont="1" applyBorder="1" applyAlignment="1">
      <alignment wrapText="1"/>
    </xf>
    <xf numFmtId="0" fontId="6" fillId="0" borderId="4" xfId="0" applyFont="1" applyBorder="1"/>
    <xf numFmtId="0" fontId="6" fillId="3" borderId="4" xfId="0" applyFont="1" applyFill="1" applyBorder="1"/>
    <xf numFmtId="0" fontId="5" fillId="3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  <xf numFmtId="0" fontId="3" fillId="0" borderId="9" xfId="0" applyFont="1" applyBorder="1" applyAlignment="1">
      <alignment wrapText="1"/>
    </xf>
    <xf numFmtId="164" fontId="3" fillId="0" borderId="9" xfId="0" applyNumberFormat="1" applyFont="1" applyBorder="1" applyAlignment="1">
      <alignment horizontal="right" wrapText="1"/>
    </xf>
    <xf numFmtId="0" fontId="4" fillId="0" borderId="9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164" fontId="3" fillId="0" borderId="4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164" fontId="6" fillId="0" borderId="4" xfId="0" applyNumberFormat="1" applyFont="1" applyBorder="1"/>
    <xf numFmtId="166" fontId="3" fillId="0" borderId="4" xfId="1" applyNumberFormat="1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hul\Desktop\Rahul%20Backup\Farmer%20Payment\FYI-26-27\Ramgarh\Farmer%20payment%2024-30-Apr\Ramgarh,%20Kaimur_Farmer%20Payment_24-30%20Apr.xlsx" TargetMode="External"/><Relationship Id="rId1" Type="http://schemas.openxmlformats.org/officeDocument/2006/relationships/externalLinkPath" Target="Ramgarh,%20Kaimur_Farmer%20Payment_24-30%20Ap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G Payment"/>
      <sheetName val="Sheet1"/>
      <sheetName val="TS Loss Gain"/>
      <sheetName val="DSC_Master"/>
      <sheetName val="Rate_Chart"/>
      <sheetName val="Data"/>
    </sheetNames>
    <sheetDataSet>
      <sheetData sheetId="0">
        <row r="2">
          <cell r="C2" t="str">
            <v xml:space="preserve">Code </v>
          </cell>
          <cell r="D2" t="str">
            <v>Old Code</v>
          </cell>
          <cell r="E2" t="str">
            <v xml:space="preserve">MPG NAME </v>
          </cell>
          <cell r="F2" t="str">
            <v>Type</v>
          </cell>
          <cell r="G2" t="str">
            <v>Farmer Payment</v>
          </cell>
          <cell r="H2" t="str">
            <v>BMC Volume</v>
          </cell>
          <cell r="I2" t="str">
            <v>BMC Amount</v>
          </cell>
          <cell r="J2" t="str">
            <v>Payable</v>
          </cell>
          <cell r="K2" t="str">
            <v>Vet Deduction</v>
          </cell>
          <cell r="L2" t="str">
            <v>CF Deduction</v>
          </cell>
          <cell r="M2" t="str">
            <v>Other</v>
          </cell>
        </row>
        <row r="3">
          <cell r="C3">
            <v>10620002</v>
          </cell>
          <cell r="D3">
            <v>64592</v>
          </cell>
          <cell r="E3" t="str">
            <v>UDHAPURA DSK</v>
          </cell>
          <cell r="F3" t="str">
            <v>MPG</v>
          </cell>
          <cell r="G3" t="str">
            <v>Indirect</v>
          </cell>
          <cell r="H3">
            <v>166</v>
          </cell>
          <cell r="I3">
            <v>7426.5797735999986</v>
          </cell>
          <cell r="J3">
            <v>7426.5797735999986</v>
          </cell>
          <cell r="M3">
            <v>0</v>
          </cell>
        </row>
        <row r="4">
          <cell r="C4">
            <v>10620004</v>
          </cell>
          <cell r="D4">
            <v>64600</v>
          </cell>
          <cell r="E4" t="str">
            <v>BHAMBHHOR DSK</v>
          </cell>
          <cell r="F4" t="str">
            <v>MPG</v>
          </cell>
          <cell r="G4" t="str">
            <v>Indirect</v>
          </cell>
          <cell r="H4">
            <v>60</v>
          </cell>
          <cell r="I4">
            <v>3223.9349999999999</v>
          </cell>
          <cell r="J4">
            <v>3223.9349999999999</v>
          </cell>
          <cell r="M4">
            <v>3224</v>
          </cell>
        </row>
        <row r="5">
          <cell r="C5">
            <v>10620005</v>
          </cell>
          <cell r="D5">
            <v>64505</v>
          </cell>
          <cell r="E5" t="str">
            <v>MAHUWARIYA DSK</v>
          </cell>
          <cell r="F5" t="str">
            <v>MPG</v>
          </cell>
          <cell r="G5" t="str">
            <v>Indirect</v>
          </cell>
          <cell r="H5">
            <v>637</v>
          </cell>
          <cell r="I5">
            <v>40488.680470400002</v>
          </cell>
          <cell r="J5">
            <v>40488.680470400002</v>
          </cell>
          <cell r="M5">
            <v>0</v>
          </cell>
        </row>
        <row r="6">
          <cell r="C6">
            <v>10620008</v>
          </cell>
          <cell r="D6">
            <v>64544</v>
          </cell>
          <cell r="E6" t="str">
            <v>ASHUDHA DSK</v>
          </cell>
          <cell r="F6" t="str">
            <v>MPG</v>
          </cell>
          <cell r="G6" t="str">
            <v>Indirect</v>
          </cell>
          <cell r="H6">
            <v>261</v>
          </cell>
          <cell r="I6">
            <v>13483.337849999996</v>
          </cell>
          <cell r="J6">
            <v>13483.337849999996</v>
          </cell>
          <cell r="M6">
            <v>13483</v>
          </cell>
        </row>
        <row r="7">
          <cell r="C7">
            <v>10620009</v>
          </cell>
          <cell r="D7">
            <v>64571</v>
          </cell>
          <cell r="E7" t="str">
            <v>JAVRI DSK</v>
          </cell>
          <cell r="F7" t="str">
            <v>MPG</v>
          </cell>
          <cell r="G7" t="str">
            <v>Indirect</v>
          </cell>
          <cell r="H7">
            <v>507</v>
          </cell>
          <cell r="I7">
            <v>26756.109085600001</v>
          </cell>
          <cell r="J7">
            <v>26756.109085600001</v>
          </cell>
          <cell r="M7">
            <v>0</v>
          </cell>
        </row>
        <row r="8">
          <cell r="C8">
            <v>10620011</v>
          </cell>
          <cell r="D8">
            <v>64556</v>
          </cell>
          <cell r="E8" t="str">
            <v>KABILASPUR DSK</v>
          </cell>
          <cell r="F8" t="str">
            <v>MPG</v>
          </cell>
          <cell r="G8" t="str">
            <v>Indirect</v>
          </cell>
          <cell r="H8">
            <v>551</v>
          </cell>
          <cell r="I8">
            <v>28482.327531200004</v>
          </cell>
          <cell r="J8">
            <v>28482.327531200004</v>
          </cell>
          <cell r="M8">
            <v>0</v>
          </cell>
        </row>
        <row r="9">
          <cell r="C9">
            <v>10620012</v>
          </cell>
          <cell r="D9">
            <v>64515</v>
          </cell>
          <cell r="E9" t="str">
            <v>DHARHARA DSK</v>
          </cell>
          <cell r="F9" t="str">
            <v>MPG</v>
          </cell>
          <cell r="G9" t="str">
            <v>Indirect</v>
          </cell>
          <cell r="H9">
            <v>140</v>
          </cell>
          <cell r="I9">
            <v>6218.2020928000002</v>
          </cell>
          <cell r="J9">
            <v>6218.2020928000002</v>
          </cell>
          <cell r="M9">
            <v>0</v>
          </cell>
        </row>
        <row r="10">
          <cell r="C10">
            <v>10620013</v>
          </cell>
          <cell r="D10">
            <v>64523</v>
          </cell>
          <cell r="E10" t="str">
            <v>KHADSARA DSK</v>
          </cell>
          <cell r="F10" t="str">
            <v>MPG</v>
          </cell>
          <cell r="G10" t="str">
            <v>Indirect</v>
          </cell>
          <cell r="H10">
            <v>327</v>
          </cell>
          <cell r="I10">
            <v>16531.637526800005</v>
          </cell>
          <cell r="J10">
            <v>16531.637526800005</v>
          </cell>
          <cell r="M10">
            <v>0</v>
          </cell>
        </row>
        <row r="11">
          <cell r="C11">
            <v>10620014</v>
          </cell>
          <cell r="D11">
            <v>60628</v>
          </cell>
          <cell r="E11" t="str">
            <v>BAIJNATH DSK</v>
          </cell>
          <cell r="F11" t="str">
            <v>MPG</v>
          </cell>
          <cell r="G11" t="str">
            <v>Indirect</v>
          </cell>
          <cell r="H11">
            <v>340</v>
          </cell>
          <cell r="I11">
            <v>15040.671265600002</v>
          </cell>
          <cell r="J11">
            <v>15040.671265600002</v>
          </cell>
          <cell r="M11">
            <v>0</v>
          </cell>
        </row>
        <row r="12">
          <cell r="C12">
            <v>10620015</v>
          </cell>
          <cell r="D12">
            <v>64537</v>
          </cell>
          <cell r="E12" t="str">
            <v>KASTHARI DSK</v>
          </cell>
          <cell r="F12" t="str">
            <v>MPG</v>
          </cell>
          <cell r="G12" t="str">
            <v>Indirect</v>
          </cell>
          <cell r="H12">
            <v>124</v>
          </cell>
          <cell r="I12">
            <v>5893.9114212000004</v>
          </cell>
          <cell r="J12">
            <v>5893.9114212000004</v>
          </cell>
          <cell r="M12">
            <v>0</v>
          </cell>
        </row>
        <row r="13">
          <cell r="C13">
            <v>10620016</v>
          </cell>
          <cell r="D13">
            <v>64522</v>
          </cell>
          <cell r="E13" t="str">
            <v>MADANPURA DSK</v>
          </cell>
          <cell r="F13" t="str">
            <v>MPG</v>
          </cell>
          <cell r="G13" t="str">
            <v>Indirect</v>
          </cell>
          <cell r="H13">
            <v>64</v>
          </cell>
          <cell r="I13">
            <v>3759.1282500000002</v>
          </cell>
          <cell r="J13">
            <v>3759.1282500000002</v>
          </cell>
          <cell r="M13">
            <v>0</v>
          </cell>
        </row>
        <row r="14">
          <cell r="C14">
            <v>10620017</v>
          </cell>
          <cell r="D14">
            <v>64555</v>
          </cell>
          <cell r="E14" t="str">
            <v>DEHWALIYA DSK</v>
          </cell>
          <cell r="F14" t="str">
            <v>MPG</v>
          </cell>
          <cell r="G14" t="str">
            <v>Indirect</v>
          </cell>
          <cell r="H14">
            <v>224</v>
          </cell>
          <cell r="I14">
            <v>7614.788544</v>
          </cell>
          <cell r="J14">
            <v>7614.788544</v>
          </cell>
          <cell r="M14">
            <v>0</v>
          </cell>
        </row>
        <row r="15">
          <cell r="C15">
            <v>10620019</v>
          </cell>
          <cell r="D15">
            <v>64569</v>
          </cell>
          <cell r="E15" t="str">
            <v>BICCHIYA DSK</v>
          </cell>
          <cell r="F15" t="str">
            <v>MPG</v>
          </cell>
          <cell r="G15" t="str">
            <v>Indirect</v>
          </cell>
          <cell r="H15">
            <v>700</v>
          </cell>
          <cell r="I15">
            <v>35940.177929200006</v>
          </cell>
          <cell r="J15">
            <v>35940.177929200006</v>
          </cell>
          <cell r="M15">
            <v>0</v>
          </cell>
        </row>
        <row r="16">
          <cell r="C16">
            <v>10620020</v>
          </cell>
          <cell r="D16">
            <v>64552</v>
          </cell>
          <cell r="E16" t="str">
            <v>KRAPALPUR DSK</v>
          </cell>
          <cell r="F16" t="str">
            <v>MPG</v>
          </cell>
          <cell r="G16" t="str">
            <v>Indirect</v>
          </cell>
          <cell r="H16">
            <v>164</v>
          </cell>
          <cell r="I16">
            <v>8786.8135500000008</v>
          </cell>
          <cell r="J16">
            <v>8786.8135500000008</v>
          </cell>
          <cell r="M16">
            <v>0</v>
          </cell>
        </row>
        <row r="17">
          <cell r="C17">
            <v>10620023</v>
          </cell>
          <cell r="D17">
            <v>60606</v>
          </cell>
          <cell r="E17" t="str">
            <v>SISODA DSK</v>
          </cell>
          <cell r="F17" t="str">
            <v>MPG</v>
          </cell>
          <cell r="G17" t="str">
            <v>Indirect</v>
          </cell>
          <cell r="H17">
            <v>466</v>
          </cell>
          <cell r="I17">
            <v>22368.431466000005</v>
          </cell>
          <cell r="J17">
            <v>22368.431466000005</v>
          </cell>
          <cell r="M17">
            <v>0</v>
          </cell>
        </row>
        <row r="18">
          <cell r="C18">
            <v>10620024</v>
          </cell>
          <cell r="D18">
            <v>60610</v>
          </cell>
          <cell r="E18" t="str">
            <v>KARIRAM DSK</v>
          </cell>
          <cell r="F18" t="str">
            <v>MPG</v>
          </cell>
          <cell r="G18" t="str">
            <v>Indirect</v>
          </cell>
          <cell r="H18">
            <v>73</v>
          </cell>
          <cell r="I18">
            <v>2642.3210879999997</v>
          </cell>
          <cell r="J18">
            <v>2642.3210879999997</v>
          </cell>
          <cell r="M18">
            <v>0</v>
          </cell>
        </row>
        <row r="19">
          <cell r="C19">
            <v>10620025</v>
          </cell>
          <cell r="D19">
            <v>60612</v>
          </cell>
          <cell r="E19" t="str">
            <v>DAVWARIYA DSK</v>
          </cell>
          <cell r="F19" t="str">
            <v>MPG</v>
          </cell>
          <cell r="G19" t="str">
            <v>Indirect</v>
          </cell>
          <cell r="H19">
            <v>601</v>
          </cell>
          <cell r="I19">
            <v>26089.204276800006</v>
          </cell>
          <cell r="J19">
            <v>26089.204276800006</v>
          </cell>
          <cell r="M19">
            <v>0</v>
          </cell>
        </row>
        <row r="20">
          <cell r="C20">
            <v>10620026</v>
          </cell>
          <cell r="D20">
            <v>64528</v>
          </cell>
          <cell r="E20" t="str">
            <v>TARITHA DSK</v>
          </cell>
          <cell r="F20" t="str">
            <v>MPG</v>
          </cell>
          <cell r="G20" t="str">
            <v>Indirect</v>
          </cell>
          <cell r="H20">
            <v>577</v>
          </cell>
          <cell r="I20">
            <v>25823.532266800001</v>
          </cell>
          <cell r="J20">
            <v>25823.532266800001</v>
          </cell>
          <cell r="M20">
            <v>0</v>
          </cell>
        </row>
        <row r="21">
          <cell r="C21">
            <v>10620028</v>
          </cell>
          <cell r="D21">
            <v>60611</v>
          </cell>
          <cell r="E21" t="str">
            <v>AKHOLI DSK</v>
          </cell>
          <cell r="F21" t="str">
            <v>MPG</v>
          </cell>
          <cell r="G21" t="str">
            <v>Indirect</v>
          </cell>
          <cell r="H21">
            <v>32</v>
          </cell>
          <cell r="I21">
            <v>1216.5462144000003</v>
          </cell>
          <cell r="J21">
            <v>1216.5462144000003</v>
          </cell>
          <cell r="M21">
            <v>0</v>
          </cell>
        </row>
        <row r="22">
          <cell r="C22">
            <v>10620029</v>
          </cell>
          <cell r="D22">
            <v>64547</v>
          </cell>
          <cell r="E22" t="str">
            <v>TIWAY DSK</v>
          </cell>
          <cell r="F22" t="str">
            <v>MPG</v>
          </cell>
          <cell r="G22" t="str">
            <v>Indirect</v>
          </cell>
          <cell r="H22">
            <v>1265</v>
          </cell>
          <cell r="I22">
            <v>55944.6848732</v>
          </cell>
          <cell r="J22">
            <v>55944.6848732</v>
          </cell>
          <cell r="M22">
            <v>0</v>
          </cell>
        </row>
        <row r="23">
          <cell r="C23">
            <v>10620030</v>
          </cell>
          <cell r="D23">
            <v>64514</v>
          </cell>
          <cell r="E23" t="str">
            <v>PAJRAWN DSK</v>
          </cell>
          <cell r="F23" t="str">
            <v>MPG</v>
          </cell>
          <cell r="G23" t="str">
            <v>Indirect</v>
          </cell>
          <cell r="H23">
            <v>242</v>
          </cell>
          <cell r="I23">
            <v>11845.741168</v>
          </cell>
          <cell r="J23">
            <v>11845.741168</v>
          </cell>
          <cell r="M23">
            <v>0</v>
          </cell>
        </row>
        <row r="24">
          <cell r="C24">
            <v>10620031</v>
          </cell>
          <cell r="D24">
            <v>64553</v>
          </cell>
          <cell r="E24" t="str">
            <v>GAJDHARA DSK</v>
          </cell>
          <cell r="F24" t="str">
            <v>MPG</v>
          </cell>
          <cell r="G24" t="str">
            <v>Indirect</v>
          </cell>
          <cell r="H24">
            <v>237</v>
          </cell>
          <cell r="I24">
            <v>8961.0372884000008</v>
          </cell>
          <cell r="J24">
            <v>8961.0372884000008</v>
          </cell>
          <cell r="M24">
            <v>0</v>
          </cell>
        </row>
        <row r="25">
          <cell r="C25">
            <v>10620032</v>
          </cell>
          <cell r="D25">
            <v>64594</v>
          </cell>
          <cell r="E25" t="str">
            <v>AKHOLI DSK</v>
          </cell>
          <cell r="F25" t="str">
            <v>MPG</v>
          </cell>
          <cell r="G25" t="str">
            <v>Indirect</v>
          </cell>
          <cell r="H25">
            <v>65</v>
          </cell>
          <cell r="I25">
            <v>2514.0103560000002</v>
          </cell>
          <cell r="J25">
            <v>2514.0103560000002</v>
          </cell>
          <cell r="M25">
            <v>0</v>
          </cell>
        </row>
        <row r="26">
          <cell r="C26">
            <v>10620034</v>
          </cell>
          <cell r="D26">
            <v>64509</v>
          </cell>
          <cell r="E26" t="str">
            <v>CHHOTKI KULHARIYA</v>
          </cell>
          <cell r="F26" t="str">
            <v>MPG</v>
          </cell>
          <cell r="G26" t="str">
            <v>Indirect</v>
          </cell>
          <cell r="H26">
            <v>457</v>
          </cell>
          <cell r="I26">
            <v>17036.411808400004</v>
          </cell>
          <cell r="J26">
            <v>17036.411808400004</v>
          </cell>
          <cell r="M26">
            <v>0</v>
          </cell>
        </row>
        <row r="27">
          <cell r="C27">
            <v>10620037</v>
          </cell>
          <cell r="D27">
            <v>64506</v>
          </cell>
          <cell r="E27" t="str">
            <v>KRESOPUR DSK</v>
          </cell>
          <cell r="F27" t="str">
            <v>MPG</v>
          </cell>
          <cell r="G27" t="str">
            <v>Indirect</v>
          </cell>
          <cell r="H27">
            <v>414</v>
          </cell>
          <cell r="I27">
            <v>19816.423945999999</v>
          </cell>
          <cell r="J27">
            <v>19816.423945999999</v>
          </cell>
          <cell r="M27">
            <v>0</v>
          </cell>
        </row>
        <row r="28">
          <cell r="C28">
            <v>10620038</v>
          </cell>
          <cell r="D28">
            <v>64534</v>
          </cell>
          <cell r="E28" t="str">
            <v>MIRCHA DSK</v>
          </cell>
          <cell r="F28" t="str">
            <v>MPG</v>
          </cell>
          <cell r="G28" t="str">
            <v>Indirect</v>
          </cell>
          <cell r="H28">
            <v>420</v>
          </cell>
          <cell r="I28">
            <v>17408.017564000005</v>
          </cell>
          <cell r="J28">
            <v>17408.017564000005</v>
          </cell>
          <cell r="M28">
            <v>0</v>
          </cell>
        </row>
        <row r="29">
          <cell r="C29">
            <v>10620042</v>
          </cell>
          <cell r="D29">
            <v>64559</v>
          </cell>
          <cell r="E29" t="str">
            <v>MUJAN DSK</v>
          </cell>
          <cell r="F29" t="str">
            <v>MPG</v>
          </cell>
          <cell r="G29" t="str">
            <v>Indirect</v>
          </cell>
          <cell r="H29">
            <v>512</v>
          </cell>
          <cell r="I29">
            <v>26891.913520000002</v>
          </cell>
          <cell r="J29">
            <v>26891.913520000002</v>
          </cell>
          <cell r="M29">
            <v>0</v>
          </cell>
        </row>
        <row r="30">
          <cell r="C30">
            <v>10620043</v>
          </cell>
          <cell r="D30">
            <v>64510</v>
          </cell>
          <cell r="E30" t="str">
            <v>BHIRKHIRA DSK</v>
          </cell>
          <cell r="F30" t="str">
            <v>MPG</v>
          </cell>
          <cell r="G30" t="str">
            <v>Indirect</v>
          </cell>
          <cell r="H30">
            <v>446</v>
          </cell>
          <cell r="I30">
            <v>21257.660757600002</v>
          </cell>
          <cell r="J30">
            <v>21257.660757600002</v>
          </cell>
          <cell r="M30">
            <v>0</v>
          </cell>
        </row>
        <row r="31">
          <cell r="C31">
            <v>10620044</v>
          </cell>
          <cell r="D31">
            <v>64513</v>
          </cell>
          <cell r="E31" t="str">
            <v>BHOKARI DSK</v>
          </cell>
          <cell r="F31" t="str">
            <v>MPG</v>
          </cell>
          <cell r="G31" t="str">
            <v>Indirect</v>
          </cell>
          <cell r="H31">
            <v>262</v>
          </cell>
          <cell r="I31">
            <v>9170.8463484000022</v>
          </cell>
          <cell r="J31">
            <v>9170.8463484000022</v>
          </cell>
          <cell r="M31">
            <v>0</v>
          </cell>
        </row>
        <row r="32">
          <cell r="C32">
            <v>10620048</v>
          </cell>
          <cell r="D32">
            <v>64560</v>
          </cell>
          <cell r="E32" t="str">
            <v>SAHDULLAPUR DSK</v>
          </cell>
          <cell r="F32" t="str">
            <v>MPG</v>
          </cell>
          <cell r="G32" t="str">
            <v>Indirect</v>
          </cell>
          <cell r="H32">
            <v>90</v>
          </cell>
          <cell r="I32">
            <v>4051.8334120000004</v>
          </cell>
          <cell r="J32">
            <v>4051.8334120000004</v>
          </cell>
          <cell r="M32">
            <v>0</v>
          </cell>
        </row>
        <row r="33">
          <cell r="C33">
            <v>10620049</v>
          </cell>
          <cell r="D33">
            <v>64517</v>
          </cell>
          <cell r="E33" t="str">
            <v>BHALUHI DSK</v>
          </cell>
          <cell r="F33" t="str">
            <v>MPG</v>
          </cell>
          <cell r="G33" t="str">
            <v>Indirect</v>
          </cell>
          <cell r="H33">
            <v>195</v>
          </cell>
          <cell r="I33">
            <v>8084.5330991999999</v>
          </cell>
          <cell r="J33">
            <v>8084.5330991999999</v>
          </cell>
          <cell r="M33">
            <v>0</v>
          </cell>
        </row>
        <row r="34">
          <cell r="C34">
            <v>10620050</v>
          </cell>
          <cell r="D34">
            <v>60553</v>
          </cell>
          <cell r="E34" t="str">
            <v>PARASIYA DSK</v>
          </cell>
          <cell r="F34" t="str">
            <v>MPG</v>
          </cell>
          <cell r="G34" t="str">
            <v>Indirect</v>
          </cell>
          <cell r="H34">
            <v>87</v>
          </cell>
          <cell r="I34">
            <v>2902.7720303999999</v>
          </cell>
          <cell r="J34">
            <v>2902.7720303999999</v>
          </cell>
          <cell r="M34">
            <v>0</v>
          </cell>
        </row>
        <row r="35">
          <cell r="C35">
            <v>10620051</v>
          </cell>
          <cell r="D35">
            <v>64543</v>
          </cell>
          <cell r="E35" t="str">
            <v>SUHWAL DSK</v>
          </cell>
          <cell r="F35" t="str">
            <v>MPG</v>
          </cell>
          <cell r="G35" t="str">
            <v>Indirect</v>
          </cell>
          <cell r="H35">
            <v>3720</v>
          </cell>
          <cell r="I35">
            <v>162132.60640000002</v>
          </cell>
          <cell r="J35">
            <v>162132.60640000002</v>
          </cell>
          <cell r="M35">
            <v>14240</v>
          </cell>
        </row>
        <row r="36">
          <cell r="C36">
            <v>10620052</v>
          </cell>
          <cell r="D36">
            <v>60614</v>
          </cell>
          <cell r="E36" t="str">
            <v>BAHPURA DSK</v>
          </cell>
          <cell r="F36" t="str">
            <v>MPG</v>
          </cell>
          <cell r="G36" t="str">
            <v>Indirect</v>
          </cell>
          <cell r="H36">
            <v>15</v>
          </cell>
          <cell r="I36">
            <v>692.50725</v>
          </cell>
          <cell r="J36">
            <v>692.50725</v>
          </cell>
          <cell r="M36">
            <v>0</v>
          </cell>
        </row>
        <row r="37">
          <cell r="C37">
            <v>10620053</v>
          </cell>
          <cell r="D37">
            <v>64573</v>
          </cell>
          <cell r="E37" t="str">
            <v>KAMHARI DSK</v>
          </cell>
          <cell r="F37" t="str">
            <v>MPG</v>
          </cell>
          <cell r="G37" t="str">
            <v>Indirect</v>
          </cell>
          <cell r="H37">
            <v>579</v>
          </cell>
          <cell r="I37">
            <v>19919.566054800001</v>
          </cell>
          <cell r="J37">
            <v>19919.566054800001</v>
          </cell>
          <cell r="M37">
            <v>7120</v>
          </cell>
        </row>
        <row r="38">
          <cell r="C38">
            <v>10620054</v>
          </cell>
          <cell r="D38">
            <v>64562</v>
          </cell>
          <cell r="E38" t="str">
            <v>KAJARIYA DSK</v>
          </cell>
          <cell r="F38" t="str">
            <v>MPG</v>
          </cell>
          <cell r="G38" t="str">
            <v>Indirect</v>
          </cell>
          <cell r="H38">
            <v>904</v>
          </cell>
          <cell r="I38">
            <v>37854.00010640001</v>
          </cell>
          <cell r="J38">
            <v>37854.00010640001</v>
          </cell>
          <cell r="M38">
            <v>3560</v>
          </cell>
        </row>
        <row r="39">
          <cell r="C39">
            <v>10620056</v>
          </cell>
          <cell r="D39">
            <v>64501</v>
          </cell>
          <cell r="E39" t="str">
            <v>SAHUKA DSK</v>
          </cell>
          <cell r="F39" t="str">
            <v>MPG</v>
          </cell>
          <cell r="G39" t="str">
            <v>Indirect</v>
          </cell>
          <cell r="H39">
            <v>305</v>
          </cell>
          <cell r="I39">
            <v>11297.943399600003</v>
          </cell>
          <cell r="J39">
            <v>11297.943399600003</v>
          </cell>
          <cell r="M39">
            <v>0</v>
          </cell>
        </row>
        <row r="40">
          <cell r="C40">
            <v>10620057</v>
          </cell>
          <cell r="D40">
            <v>64511</v>
          </cell>
          <cell r="E40" t="str">
            <v>DAROLI DSK</v>
          </cell>
          <cell r="F40" t="str">
            <v>MPG</v>
          </cell>
          <cell r="G40" t="str">
            <v>Indirect</v>
          </cell>
          <cell r="H40">
            <v>417</v>
          </cell>
          <cell r="I40">
            <v>23311.191256799997</v>
          </cell>
          <cell r="J40">
            <v>23311.191256799997</v>
          </cell>
          <cell r="M40">
            <v>0</v>
          </cell>
        </row>
        <row r="41">
          <cell r="C41">
            <v>10620058</v>
          </cell>
          <cell r="D41">
            <v>64541</v>
          </cell>
          <cell r="E41" t="str">
            <v>JALDHAH DSK</v>
          </cell>
          <cell r="F41" t="str">
            <v>MPG</v>
          </cell>
          <cell r="G41" t="str">
            <v>Indirect</v>
          </cell>
          <cell r="H41">
            <v>315</v>
          </cell>
          <cell r="I41">
            <v>11139.156864000004</v>
          </cell>
          <cell r="J41">
            <v>11139.156864000004</v>
          </cell>
          <cell r="M41">
            <v>0</v>
          </cell>
        </row>
        <row r="42">
          <cell r="C42">
            <v>10620059</v>
          </cell>
          <cell r="D42">
            <v>60566</v>
          </cell>
          <cell r="E42" t="str">
            <v>BARUNA DSK</v>
          </cell>
          <cell r="F42" t="str">
            <v>MPG</v>
          </cell>
          <cell r="G42" t="str">
            <v>Indirect</v>
          </cell>
          <cell r="H42">
            <v>347</v>
          </cell>
          <cell r="I42">
            <v>15078.050522400003</v>
          </cell>
          <cell r="J42">
            <v>15078.050522400003</v>
          </cell>
          <cell r="M42">
            <v>0</v>
          </cell>
        </row>
        <row r="43">
          <cell r="C43">
            <v>10620061</v>
          </cell>
          <cell r="D43">
            <v>60605</v>
          </cell>
          <cell r="E43" t="str">
            <v>BADORA DSK</v>
          </cell>
          <cell r="F43" t="str">
            <v>MPG</v>
          </cell>
          <cell r="G43" t="str">
            <v>Indirect</v>
          </cell>
          <cell r="H43">
            <v>531</v>
          </cell>
          <cell r="I43">
            <v>23022.782573600001</v>
          </cell>
          <cell r="J43">
            <v>23022.782573600001</v>
          </cell>
          <cell r="M43">
            <v>0</v>
          </cell>
        </row>
        <row r="44">
          <cell r="C44">
            <v>10620062</v>
          </cell>
          <cell r="D44">
            <v>64590</v>
          </cell>
          <cell r="E44" t="str">
            <v>CHATRA DSK</v>
          </cell>
          <cell r="F44" t="str">
            <v>MPG</v>
          </cell>
          <cell r="G44" t="str">
            <v>Indirect</v>
          </cell>
          <cell r="H44">
            <v>292</v>
          </cell>
          <cell r="I44">
            <v>12939.414086800001</v>
          </cell>
          <cell r="J44">
            <v>12939.414086800001</v>
          </cell>
          <cell r="M44">
            <v>0</v>
          </cell>
        </row>
        <row r="45">
          <cell r="C45">
            <v>10620063</v>
          </cell>
          <cell r="D45">
            <v>64532</v>
          </cell>
          <cell r="E45" t="str">
            <v>ASADE DSK</v>
          </cell>
          <cell r="F45" t="str">
            <v>MPG</v>
          </cell>
          <cell r="G45" t="str">
            <v>Indirect</v>
          </cell>
          <cell r="H45">
            <v>378</v>
          </cell>
          <cell r="I45">
            <v>13690.701182400002</v>
          </cell>
          <cell r="J45">
            <v>13690.701182400002</v>
          </cell>
          <cell r="M45">
            <v>0</v>
          </cell>
        </row>
        <row r="46">
          <cell r="C46">
            <v>10620064</v>
          </cell>
          <cell r="D46">
            <v>60617</v>
          </cell>
          <cell r="E46" t="str">
            <v>NARHAN DSK</v>
          </cell>
          <cell r="F46" t="str">
            <v>MPG</v>
          </cell>
          <cell r="G46" t="str">
            <v>Indirect</v>
          </cell>
          <cell r="H46">
            <v>643</v>
          </cell>
          <cell r="I46">
            <v>29605.955705600005</v>
          </cell>
          <cell r="J46">
            <v>29605.955705600005</v>
          </cell>
          <cell r="M46">
            <v>0</v>
          </cell>
        </row>
        <row r="47">
          <cell r="C47">
            <v>10620067</v>
          </cell>
          <cell r="D47">
            <v>60573</v>
          </cell>
          <cell r="E47" t="str">
            <v>PATKHOLIYA DSK</v>
          </cell>
          <cell r="F47" t="str">
            <v>MPG</v>
          </cell>
          <cell r="G47" t="str">
            <v>Indirect</v>
          </cell>
          <cell r="H47">
            <v>681</v>
          </cell>
          <cell r="I47">
            <v>36219.1103</v>
          </cell>
          <cell r="J47">
            <v>36219.1103</v>
          </cell>
          <cell r="M47">
            <v>0</v>
          </cell>
        </row>
        <row r="48">
          <cell r="C48">
            <v>10620068</v>
          </cell>
          <cell r="D48">
            <v>64539</v>
          </cell>
          <cell r="E48" t="str">
            <v>MOHANPUR DSK</v>
          </cell>
          <cell r="F48" t="str">
            <v>MPG</v>
          </cell>
          <cell r="G48" t="str">
            <v>Indirect</v>
          </cell>
          <cell r="H48">
            <v>342</v>
          </cell>
          <cell r="I48">
            <v>14123.0120812</v>
          </cell>
          <cell r="J48">
            <v>14123.0120812</v>
          </cell>
          <cell r="M48">
            <v>0</v>
          </cell>
        </row>
        <row r="49">
          <cell r="C49">
            <v>10620069</v>
          </cell>
          <cell r="D49">
            <v>64567</v>
          </cell>
          <cell r="E49" t="str">
            <v>CHANDDWA DSK</v>
          </cell>
          <cell r="F49" t="str">
            <v>MPG</v>
          </cell>
          <cell r="G49" t="str">
            <v>Indirect</v>
          </cell>
          <cell r="H49">
            <v>321</v>
          </cell>
          <cell r="I49">
            <v>16221.607717999999</v>
          </cell>
          <cell r="J49">
            <v>16221.607717999999</v>
          </cell>
          <cell r="M49">
            <v>0</v>
          </cell>
        </row>
        <row r="50">
          <cell r="C50">
            <v>10620070</v>
          </cell>
          <cell r="D50">
            <v>60616</v>
          </cell>
          <cell r="E50" t="str">
            <v>AKHOLI DSK</v>
          </cell>
          <cell r="F50" t="str">
            <v>MPG</v>
          </cell>
          <cell r="G50" t="str">
            <v>Indirect</v>
          </cell>
          <cell r="H50">
            <v>774</v>
          </cell>
          <cell r="I50">
            <v>31412.7176616</v>
          </cell>
          <cell r="J50">
            <v>31412.7176616</v>
          </cell>
          <cell r="M50">
            <v>0</v>
          </cell>
        </row>
        <row r="51">
          <cell r="C51">
            <v>10620071</v>
          </cell>
          <cell r="D51">
            <v>64586</v>
          </cell>
          <cell r="E51" t="str">
            <v>KUCHHALA DSK</v>
          </cell>
          <cell r="F51" t="str">
            <v>MPG</v>
          </cell>
          <cell r="G51" t="str">
            <v>Indirect</v>
          </cell>
          <cell r="H51">
            <v>757</v>
          </cell>
          <cell r="I51">
            <v>28000.197843200003</v>
          </cell>
          <cell r="J51">
            <v>28000.197843200003</v>
          </cell>
          <cell r="M51">
            <v>0</v>
          </cell>
        </row>
        <row r="52">
          <cell r="C52">
            <v>10620072</v>
          </cell>
          <cell r="D52">
            <v>60526</v>
          </cell>
          <cell r="E52" t="str">
            <v>CHANDESH DSK</v>
          </cell>
          <cell r="F52" t="str">
            <v>MPG</v>
          </cell>
          <cell r="G52" t="str">
            <v>Indirect</v>
          </cell>
          <cell r="H52">
            <v>92</v>
          </cell>
          <cell r="I52">
            <v>5120.6541999999999</v>
          </cell>
          <cell r="J52">
            <v>5120.6541999999999</v>
          </cell>
          <cell r="M52">
            <v>0</v>
          </cell>
        </row>
        <row r="53">
          <cell r="C53">
            <v>10620074</v>
          </cell>
          <cell r="D53">
            <v>60594</v>
          </cell>
          <cell r="E53" t="str">
            <v>SIGHUA DSK</v>
          </cell>
          <cell r="F53" t="str">
            <v>MPG</v>
          </cell>
          <cell r="G53" t="str">
            <v>Indirect</v>
          </cell>
          <cell r="H53">
            <v>505</v>
          </cell>
          <cell r="I53">
            <v>19390.698081600003</v>
          </cell>
          <cell r="J53">
            <v>19390.698081600003</v>
          </cell>
          <cell r="M53">
            <v>0</v>
          </cell>
        </row>
        <row r="54">
          <cell r="C54">
            <v>10620076</v>
          </cell>
          <cell r="D54">
            <v>60604</v>
          </cell>
          <cell r="E54" t="str">
            <v>SANISARAI DSK</v>
          </cell>
          <cell r="F54" t="str">
            <v>MPG</v>
          </cell>
          <cell r="G54" t="str">
            <v>Indirect</v>
          </cell>
          <cell r="H54">
            <v>92</v>
          </cell>
          <cell r="I54">
            <v>4041.4761960000001</v>
          </cell>
          <cell r="J54">
            <v>4041.4761960000001</v>
          </cell>
          <cell r="M54">
            <v>0</v>
          </cell>
        </row>
        <row r="55">
          <cell r="C55">
            <v>10620077</v>
          </cell>
          <cell r="D55">
            <v>60627</v>
          </cell>
          <cell r="E55" t="str">
            <v>KHANATI DSK</v>
          </cell>
          <cell r="F55" t="str">
            <v>MPG</v>
          </cell>
          <cell r="G55" t="str">
            <v>Indirect</v>
          </cell>
          <cell r="H55">
            <v>120</v>
          </cell>
          <cell r="I55">
            <v>4846.4663344000001</v>
          </cell>
          <cell r="J55">
            <v>4846.4663344000001</v>
          </cell>
          <cell r="M55">
            <v>0</v>
          </cell>
        </row>
        <row r="56">
          <cell r="C56">
            <v>10620099</v>
          </cell>
          <cell r="D56">
            <v>64504</v>
          </cell>
          <cell r="E56" t="str">
            <v>NONAR DSK</v>
          </cell>
          <cell r="F56" t="str">
            <v>MPG</v>
          </cell>
          <cell r="G56" t="str">
            <v>Indirect</v>
          </cell>
          <cell r="H56">
            <v>93</v>
          </cell>
          <cell r="I56">
            <v>3211.2622080000006</v>
          </cell>
          <cell r="J56">
            <v>3211.2622080000006</v>
          </cell>
          <cell r="M56">
            <v>0</v>
          </cell>
        </row>
        <row r="57">
          <cell r="C57">
            <v>10620100</v>
          </cell>
          <cell r="D57">
            <v>60646</v>
          </cell>
          <cell r="E57" t="str">
            <v>RAMGARH DSK</v>
          </cell>
          <cell r="F57" t="str">
            <v>MPG</v>
          </cell>
          <cell r="G57" t="str">
            <v>Indirect</v>
          </cell>
          <cell r="H57">
            <v>601</v>
          </cell>
          <cell r="I57">
            <v>33407.130900000004</v>
          </cell>
          <cell r="J57">
            <v>33407.130900000004</v>
          </cell>
          <cell r="M57">
            <v>0</v>
          </cell>
        </row>
        <row r="58">
          <cell r="C58">
            <v>10620101</v>
          </cell>
          <cell r="D58">
            <v>20101</v>
          </cell>
          <cell r="E58" t="str">
            <v>JABURNA DSK</v>
          </cell>
          <cell r="F58" t="str">
            <v>MPG</v>
          </cell>
          <cell r="G58" t="str">
            <v>Indirect</v>
          </cell>
          <cell r="H58">
            <v>357</v>
          </cell>
          <cell r="I58">
            <v>17407.630980000002</v>
          </cell>
          <cell r="J58">
            <v>17407.630980000002</v>
          </cell>
          <cell r="M58">
            <v>0</v>
          </cell>
        </row>
        <row r="59">
          <cell r="C59">
            <v>10620102</v>
          </cell>
          <cell r="D59">
            <v>20102</v>
          </cell>
          <cell r="E59" t="str">
            <v>KALANI DSK</v>
          </cell>
          <cell r="F59" t="str">
            <v>MPG</v>
          </cell>
          <cell r="G59" t="str">
            <v>Indirect</v>
          </cell>
          <cell r="H59">
            <v>384</v>
          </cell>
          <cell r="I59">
            <v>20008.236384</v>
          </cell>
          <cell r="J59">
            <v>20008.236384</v>
          </cell>
          <cell r="M59">
            <v>14240</v>
          </cell>
        </row>
        <row r="60">
          <cell r="C60">
            <v>10620104</v>
          </cell>
          <cell r="D60">
            <v>20104</v>
          </cell>
          <cell r="E60" t="str">
            <v>PANAPUR - PURVY DSK</v>
          </cell>
          <cell r="F60" t="str">
            <v>MPG</v>
          </cell>
          <cell r="G60" t="str">
            <v>Indirect</v>
          </cell>
          <cell r="H60">
            <v>211</v>
          </cell>
          <cell r="I60">
            <v>8802.0480308000006</v>
          </cell>
          <cell r="J60">
            <v>8802.0480308000006</v>
          </cell>
          <cell r="M60">
            <v>8802</v>
          </cell>
        </row>
        <row r="61">
          <cell r="C61">
            <v>10620106</v>
          </cell>
          <cell r="D61">
            <v>20106</v>
          </cell>
          <cell r="E61" t="str">
            <v>MACHHANHATA DSK</v>
          </cell>
          <cell r="F61" t="str">
            <v>MPG</v>
          </cell>
          <cell r="G61" t="str">
            <v>Indirect</v>
          </cell>
          <cell r="H61">
            <v>311</v>
          </cell>
          <cell r="I61">
            <v>12476.901750000003</v>
          </cell>
          <cell r="J61">
            <v>12476.901750000003</v>
          </cell>
          <cell r="M61">
            <v>12477</v>
          </cell>
        </row>
        <row r="62">
          <cell r="C62">
            <v>10620107</v>
          </cell>
          <cell r="D62">
            <v>20107</v>
          </cell>
          <cell r="E62" t="str">
            <v>DANDAWAS DSK</v>
          </cell>
          <cell r="F62" t="str">
            <v>MPG</v>
          </cell>
          <cell r="G62" t="str">
            <v>Indirect</v>
          </cell>
          <cell r="H62">
            <v>110</v>
          </cell>
          <cell r="I62">
            <v>4198.2474600000005</v>
          </cell>
          <cell r="J62">
            <v>4198.2474600000005</v>
          </cell>
          <cell r="M62">
            <v>4198</v>
          </cell>
        </row>
        <row r="63">
          <cell r="C63">
            <v>10620109</v>
          </cell>
          <cell r="D63">
            <v>20109</v>
          </cell>
          <cell r="E63" t="str">
            <v>YUVRAJPUR DSK</v>
          </cell>
          <cell r="F63" t="str">
            <v>MPG</v>
          </cell>
          <cell r="G63" t="str">
            <v>Indirect</v>
          </cell>
          <cell r="H63">
            <v>2920</v>
          </cell>
          <cell r="I63">
            <v>127363.37224</v>
          </cell>
          <cell r="J63">
            <v>127363.37224</v>
          </cell>
          <cell r="M63">
            <v>14240</v>
          </cell>
        </row>
        <row r="64">
          <cell r="C64">
            <v>10620111</v>
          </cell>
          <cell r="D64">
            <v>20111</v>
          </cell>
          <cell r="E64" t="str">
            <v>SUHWAL</v>
          </cell>
          <cell r="F64" t="str">
            <v>MPG</v>
          </cell>
          <cell r="G64" t="str">
            <v>Indirect</v>
          </cell>
          <cell r="H64">
            <v>12509</v>
          </cell>
          <cell r="I64">
            <v>493935.27830400027</v>
          </cell>
          <cell r="J64">
            <v>493935.27830400027</v>
          </cell>
          <cell r="M64">
            <v>14240</v>
          </cell>
        </row>
        <row r="65">
          <cell r="C65">
            <v>10620112</v>
          </cell>
          <cell r="D65">
            <v>20112</v>
          </cell>
          <cell r="E65" t="str">
            <v>PARSATHUA DSK</v>
          </cell>
          <cell r="F65" t="str">
            <v>MPG</v>
          </cell>
          <cell r="G65" t="str">
            <v>Indirect</v>
          </cell>
          <cell r="H65">
            <v>251</v>
          </cell>
          <cell r="I65">
            <v>11770.823202799998</v>
          </cell>
          <cell r="J65">
            <v>11770.823202799998</v>
          </cell>
          <cell r="M65">
            <v>0</v>
          </cell>
        </row>
        <row r="66">
          <cell r="C66">
            <v>10620115</v>
          </cell>
          <cell r="D66">
            <v>20115</v>
          </cell>
          <cell r="E66" t="str">
            <v>BADAKI KULHARIA DSK</v>
          </cell>
          <cell r="F66" t="str">
            <v>MPG</v>
          </cell>
          <cell r="G66" t="str">
            <v>Indirect</v>
          </cell>
          <cell r="H66">
            <v>546</v>
          </cell>
          <cell r="I66">
            <v>20128.739875200001</v>
          </cell>
          <cell r="J66">
            <v>20128.739875200001</v>
          </cell>
          <cell r="M66">
            <v>0</v>
          </cell>
        </row>
        <row r="67">
          <cell r="C67">
            <v>10620116</v>
          </cell>
          <cell r="D67">
            <v>20116</v>
          </cell>
          <cell r="E67" t="str">
            <v>ARANG DSK</v>
          </cell>
          <cell r="F67" t="str">
            <v>MPG</v>
          </cell>
          <cell r="G67" t="str">
            <v>Indirect</v>
          </cell>
          <cell r="H67">
            <v>2000</v>
          </cell>
          <cell r="I67">
            <v>82106.244000000006</v>
          </cell>
          <cell r="J67">
            <v>82106.244000000006</v>
          </cell>
          <cell r="M67">
            <v>0</v>
          </cell>
        </row>
        <row r="68">
          <cell r="C68">
            <v>10620119</v>
          </cell>
          <cell r="D68">
            <v>20119</v>
          </cell>
          <cell r="E68" t="str">
            <v>KURRA NEW DSK</v>
          </cell>
          <cell r="F68" t="str">
            <v>MPG</v>
          </cell>
          <cell r="G68" t="str">
            <v>Indirect</v>
          </cell>
          <cell r="H68">
            <v>4210</v>
          </cell>
          <cell r="I68">
            <v>176057.01471600001</v>
          </cell>
          <cell r="J68">
            <v>176057.01471600001</v>
          </cell>
          <cell r="M68">
            <v>0</v>
          </cell>
        </row>
        <row r="69">
          <cell r="C69">
            <v>10620120</v>
          </cell>
          <cell r="D69">
            <v>20120</v>
          </cell>
          <cell r="E69" t="str">
            <v>TIYARA DSK</v>
          </cell>
          <cell r="F69" t="str">
            <v>MPG</v>
          </cell>
          <cell r="G69" t="str">
            <v>Indirect</v>
          </cell>
          <cell r="H69">
            <v>305</v>
          </cell>
          <cell r="I69">
            <v>14645.932864400003</v>
          </cell>
          <cell r="J69">
            <v>14645.932864400003</v>
          </cell>
          <cell r="M69">
            <v>14240</v>
          </cell>
        </row>
        <row r="70">
          <cell r="C70">
            <v>10620122</v>
          </cell>
          <cell r="D70">
            <v>20122</v>
          </cell>
          <cell r="E70" t="str">
            <v xml:space="preserve"> NOUAN DSK</v>
          </cell>
          <cell r="F70" t="str">
            <v>MPG</v>
          </cell>
          <cell r="G70" t="str">
            <v>Indirect</v>
          </cell>
          <cell r="H70">
            <v>282</v>
          </cell>
          <cell r="I70">
            <v>9306.297792000003</v>
          </cell>
          <cell r="J70">
            <v>9306.297792000003</v>
          </cell>
          <cell r="M70">
            <v>7120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J21" sqref="J21"/>
    </sheetView>
  </sheetViews>
  <sheetFormatPr defaultRowHeight="15" x14ac:dyDescent="0.25"/>
  <cols>
    <col min="1" max="1" width="11.28515625" customWidth="1"/>
    <col min="2" max="2" width="12.28515625" customWidth="1"/>
    <col min="3" max="4" width="15.42578125" customWidth="1"/>
    <col min="5" max="5" width="23.140625" customWidth="1"/>
    <col min="6" max="7" width="15" customWidth="1"/>
    <col min="8" max="8" width="27.28515625" customWidth="1"/>
    <col min="9" max="9" width="9.85546875" bestFit="1" customWidth="1"/>
    <col min="10" max="10" width="25.7109375" customWidth="1"/>
  </cols>
  <sheetData>
    <row r="1" spans="1:10" ht="24" thickBot="1" x14ac:dyDescent="0.4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36" x14ac:dyDescent="0.25">
      <c r="A2" s="5" t="s">
        <v>1</v>
      </c>
      <c r="B2" s="6" t="s">
        <v>2</v>
      </c>
      <c r="C2" s="6" t="s">
        <v>3</v>
      </c>
      <c r="D2" s="6" t="s">
        <v>29</v>
      </c>
      <c r="E2" s="6" t="s">
        <v>4</v>
      </c>
      <c r="F2" s="6" t="s">
        <v>5</v>
      </c>
      <c r="G2" s="6" t="s">
        <v>31</v>
      </c>
      <c r="H2" s="6" t="s">
        <v>32</v>
      </c>
      <c r="I2" s="6" t="s">
        <v>33</v>
      </c>
      <c r="J2" s="6" t="s">
        <v>6</v>
      </c>
    </row>
    <row r="3" spans="1:10" ht="15.75" x14ac:dyDescent="0.25">
      <c r="A3" s="12" t="s">
        <v>7</v>
      </c>
      <c r="B3" s="13">
        <v>8404</v>
      </c>
      <c r="C3" s="13">
        <v>10620102</v>
      </c>
      <c r="D3" s="13">
        <v>20102</v>
      </c>
      <c r="E3" s="12" t="s">
        <v>8</v>
      </c>
      <c r="F3" s="14">
        <v>4</v>
      </c>
      <c r="G3" s="14">
        <f>3560*F3</f>
        <v>14240</v>
      </c>
      <c r="H3" s="14">
        <f>IFERROR(VLOOKUP(C3,'[1]MPG Payment'!$C$2:$M$70,11,0),0)</f>
        <v>14240</v>
      </c>
      <c r="I3" s="22">
        <f>G3-H3</f>
        <v>0</v>
      </c>
      <c r="J3" s="13">
        <v>8102125083</v>
      </c>
    </row>
    <row r="4" spans="1:10" ht="15.75" x14ac:dyDescent="0.25">
      <c r="A4" s="12" t="s">
        <v>7</v>
      </c>
      <c r="B4" s="13">
        <v>8404</v>
      </c>
      <c r="C4" s="13">
        <v>10620106</v>
      </c>
      <c r="D4" s="13">
        <v>20106</v>
      </c>
      <c r="E4" s="12" t="s">
        <v>9</v>
      </c>
      <c r="F4" s="14">
        <v>4</v>
      </c>
      <c r="G4" s="14">
        <f t="shared" ref="G4:G17" si="0">3560*F4</f>
        <v>14240</v>
      </c>
      <c r="H4" s="14">
        <f>IFERROR(VLOOKUP(C4,'[1]MPG Payment'!$C$2:$M$70,11,0),0)</f>
        <v>12477</v>
      </c>
      <c r="I4" s="22">
        <f t="shared" ref="I4:I17" si="1">G4-H4</f>
        <v>1763</v>
      </c>
      <c r="J4" s="13">
        <v>9934804000</v>
      </c>
    </row>
    <row r="5" spans="1:10" ht="15.75" x14ac:dyDescent="0.25">
      <c r="A5" s="12" t="s">
        <v>7</v>
      </c>
      <c r="B5" s="13">
        <v>8403</v>
      </c>
      <c r="C5" s="13">
        <v>10620107</v>
      </c>
      <c r="D5" s="13">
        <v>20107</v>
      </c>
      <c r="E5" s="12" t="s">
        <v>10</v>
      </c>
      <c r="F5" s="14">
        <v>2</v>
      </c>
      <c r="G5" s="14">
        <f t="shared" si="0"/>
        <v>7120</v>
      </c>
      <c r="H5" s="14">
        <f>IFERROR(VLOOKUP(C5,'[1]MPG Payment'!$C$2:$M$70,11,0),0)</f>
        <v>4198</v>
      </c>
      <c r="I5" s="22">
        <f t="shared" si="1"/>
        <v>2922</v>
      </c>
      <c r="J5" s="13">
        <v>7258987113</v>
      </c>
    </row>
    <row r="6" spans="1:10" ht="15.75" x14ac:dyDescent="0.25">
      <c r="A6" s="12" t="s">
        <v>11</v>
      </c>
      <c r="B6" s="13">
        <v>8404</v>
      </c>
      <c r="C6" s="13">
        <v>10620053</v>
      </c>
      <c r="D6" s="13">
        <v>64573</v>
      </c>
      <c r="E6" s="12" t="s">
        <v>12</v>
      </c>
      <c r="F6" s="14">
        <v>2</v>
      </c>
      <c r="G6" s="14">
        <f t="shared" si="0"/>
        <v>7120</v>
      </c>
      <c r="H6" s="14">
        <f>IFERROR(VLOOKUP(C6,'[1]MPG Payment'!$C$2:$M$70,11,0),0)</f>
        <v>7120</v>
      </c>
      <c r="I6" s="22">
        <f t="shared" si="1"/>
        <v>0</v>
      </c>
      <c r="J6" s="13">
        <v>9709639799</v>
      </c>
    </row>
    <row r="7" spans="1:10" ht="15.75" x14ac:dyDescent="0.25">
      <c r="A7" s="12" t="s">
        <v>13</v>
      </c>
      <c r="B7" s="13">
        <v>8404</v>
      </c>
      <c r="C7" s="13">
        <v>10620104</v>
      </c>
      <c r="D7" s="13">
        <v>20104</v>
      </c>
      <c r="E7" s="12" t="s">
        <v>30</v>
      </c>
      <c r="F7" s="14">
        <v>4</v>
      </c>
      <c r="G7" s="14">
        <f t="shared" si="0"/>
        <v>14240</v>
      </c>
      <c r="H7" s="14">
        <f>IFERROR(VLOOKUP(C7,'[1]MPG Payment'!$C$2:$M$70,11,0),0)</f>
        <v>8802</v>
      </c>
      <c r="I7" s="22">
        <f t="shared" si="1"/>
        <v>5438</v>
      </c>
      <c r="J7" s="13">
        <v>8709578336</v>
      </c>
    </row>
    <row r="8" spans="1:10" ht="15.75" x14ac:dyDescent="0.25">
      <c r="A8" s="12" t="s">
        <v>13</v>
      </c>
      <c r="B8" s="13">
        <v>8401</v>
      </c>
      <c r="C8" s="13">
        <v>10620008</v>
      </c>
      <c r="D8" s="13">
        <v>64544</v>
      </c>
      <c r="E8" s="12" t="s">
        <v>14</v>
      </c>
      <c r="F8" s="14">
        <v>4</v>
      </c>
      <c r="G8" s="14">
        <f t="shared" si="0"/>
        <v>14240</v>
      </c>
      <c r="H8" s="14">
        <f>IFERROR(VLOOKUP(C8,'[1]MPG Payment'!$C$2:$M$70,11,0),0)</f>
        <v>13483</v>
      </c>
      <c r="I8" s="22">
        <f t="shared" si="1"/>
        <v>757</v>
      </c>
      <c r="J8" s="13">
        <v>6200554595</v>
      </c>
    </row>
    <row r="9" spans="1:10" ht="15.75" x14ac:dyDescent="0.25">
      <c r="A9" s="12" t="s">
        <v>15</v>
      </c>
      <c r="B9" s="13">
        <v>8402</v>
      </c>
      <c r="C9" s="13">
        <v>10620120</v>
      </c>
      <c r="D9" s="13">
        <v>20120</v>
      </c>
      <c r="E9" s="12" t="s">
        <v>16</v>
      </c>
      <c r="F9" s="14">
        <v>4</v>
      </c>
      <c r="G9" s="14">
        <f t="shared" si="0"/>
        <v>14240</v>
      </c>
      <c r="H9" s="14">
        <f>IFERROR(VLOOKUP(C9,'[1]MPG Payment'!$C$2:$M$70,11,0),0)</f>
        <v>14240</v>
      </c>
      <c r="I9" s="22">
        <f t="shared" si="1"/>
        <v>0</v>
      </c>
      <c r="J9" s="13">
        <v>9693008919</v>
      </c>
    </row>
    <row r="10" spans="1:10" ht="15.75" x14ac:dyDescent="0.25">
      <c r="A10" s="12" t="s">
        <v>17</v>
      </c>
      <c r="B10" s="13">
        <v>8403</v>
      </c>
      <c r="C10" s="13">
        <v>10620117</v>
      </c>
      <c r="D10" s="13">
        <v>20117</v>
      </c>
      <c r="E10" s="12" t="s">
        <v>18</v>
      </c>
      <c r="F10" s="14">
        <v>5</v>
      </c>
      <c r="G10" s="14">
        <f t="shared" si="0"/>
        <v>17800</v>
      </c>
      <c r="H10" s="14">
        <f>IFERROR(VLOOKUP(C10,'[1]MPG Payment'!$C$2:$M$70,11,0),0)</f>
        <v>0</v>
      </c>
      <c r="I10" s="22">
        <f t="shared" si="1"/>
        <v>17800</v>
      </c>
      <c r="J10" s="13">
        <v>6204632860</v>
      </c>
    </row>
    <row r="11" spans="1:10" ht="15.75" x14ac:dyDescent="0.25">
      <c r="A11" s="12" t="s">
        <v>17</v>
      </c>
      <c r="B11" s="13">
        <v>8401</v>
      </c>
      <c r="C11" s="13">
        <v>10620004</v>
      </c>
      <c r="D11" s="13">
        <v>64600</v>
      </c>
      <c r="E11" s="12" t="s">
        <v>19</v>
      </c>
      <c r="F11" s="14">
        <v>2</v>
      </c>
      <c r="G11" s="14">
        <f t="shared" si="0"/>
        <v>7120</v>
      </c>
      <c r="H11" s="14">
        <f>IFERROR(VLOOKUP(C11,'[1]MPG Payment'!$C$2:$M$70,11,0),0)</f>
        <v>3224</v>
      </c>
      <c r="I11" s="22">
        <f t="shared" si="1"/>
        <v>3896</v>
      </c>
      <c r="J11" s="13">
        <v>9117283969</v>
      </c>
    </row>
    <row r="12" spans="1:10" ht="15.75" x14ac:dyDescent="0.25">
      <c r="A12" s="12" t="s">
        <v>20</v>
      </c>
      <c r="B12" s="13">
        <v>8402</v>
      </c>
      <c r="C12" s="13">
        <v>10620054</v>
      </c>
      <c r="D12" s="13">
        <v>64562</v>
      </c>
      <c r="E12" s="12" t="s">
        <v>21</v>
      </c>
      <c r="F12" s="14">
        <v>1</v>
      </c>
      <c r="G12" s="14">
        <f t="shared" si="0"/>
        <v>3560</v>
      </c>
      <c r="H12" s="14">
        <f>IFERROR(VLOOKUP(C12,'[1]MPG Payment'!$C$2:$M$70,11,0),0)</f>
        <v>3560</v>
      </c>
      <c r="I12" s="22">
        <f t="shared" si="1"/>
        <v>0</v>
      </c>
      <c r="J12" s="13">
        <v>8825296130</v>
      </c>
    </row>
    <row r="13" spans="1:10" ht="15.75" x14ac:dyDescent="0.25">
      <c r="A13" s="12" t="s">
        <v>22</v>
      </c>
      <c r="B13" s="13">
        <v>8402</v>
      </c>
      <c r="C13" s="13">
        <v>10620122</v>
      </c>
      <c r="D13" s="13">
        <v>20122</v>
      </c>
      <c r="E13" s="12" t="s">
        <v>23</v>
      </c>
      <c r="F13" s="14">
        <v>2</v>
      </c>
      <c r="G13" s="14">
        <f t="shared" si="0"/>
        <v>7120</v>
      </c>
      <c r="H13" s="14">
        <f>IFERROR(VLOOKUP(C13,'[1]MPG Payment'!$C$2:$M$70,11,0),0)</f>
        <v>7120</v>
      </c>
      <c r="I13" s="22">
        <f t="shared" si="1"/>
        <v>0</v>
      </c>
      <c r="J13" s="13">
        <v>9973772302</v>
      </c>
    </row>
    <row r="14" spans="1:10" ht="15.75" x14ac:dyDescent="0.25">
      <c r="A14" s="12" t="s">
        <v>17</v>
      </c>
      <c r="B14" s="13">
        <v>8404</v>
      </c>
      <c r="C14" s="13">
        <v>10620111</v>
      </c>
      <c r="D14" s="13">
        <v>20111</v>
      </c>
      <c r="E14" s="12" t="s">
        <v>24</v>
      </c>
      <c r="F14" s="14">
        <v>4</v>
      </c>
      <c r="G14" s="14">
        <f t="shared" si="0"/>
        <v>14240</v>
      </c>
      <c r="H14" s="14">
        <f>IFERROR(VLOOKUP(C14,'[1]MPG Payment'!$C$2:$M$70,11,0),0)</f>
        <v>14240</v>
      </c>
      <c r="I14" s="22">
        <f t="shared" si="1"/>
        <v>0</v>
      </c>
      <c r="J14" s="15"/>
    </row>
    <row r="15" spans="1:10" ht="15.75" x14ac:dyDescent="0.25">
      <c r="A15" s="12" t="s">
        <v>17</v>
      </c>
      <c r="B15" s="13">
        <v>8404</v>
      </c>
      <c r="C15" s="13">
        <v>10620079</v>
      </c>
      <c r="D15" s="13">
        <v>64568</v>
      </c>
      <c r="E15" s="12" t="s">
        <v>25</v>
      </c>
      <c r="F15" s="14">
        <v>4</v>
      </c>
      <c r="G15" s="14">
        <f t="shared" si="0"/>
        <v>14240</v>
      </c>
      <c r="H15" s="14">
        <f>IFERROR(VLOOKUP(C15,'[1]MPG Payment'!$C$2:$M$70,11,0),0)</f>
        <v>0</v>
      </c>
      <c r="I15" s="22">
        <f t="shared" si="1"/>
        <v>14240</v>
      </c>
      <c r="J15" s="15"/>
    </row>
    <row r="16" spans="1:10" ht="15.75" x14ac:dyDescent="0.25">
      <c r="A16" s="12" t="s">
        <v>17</v>
      </c>
      <c r="B16" s="13">
        <v>8404</v>
      </c>
      <c r="C16" s="13">
        <v>10620051</v>
      </c>
      <c r="D16" s="13">
        <v>64543</v>
      </c>
      <c r="E16" s="12" t="s">
        <v>24</v>
      </c>
      <c r="F16" s="14">
        <v>4</v>
      </c>
      <c r="G16" s="14">
        <f t="shared" si="0"/>
        <v>14240</v>
      </c>
      <c r="H16" s="14">
        <f>IFERROR(VLOOKUP(C16,'[1]MPG Payment'!$C$2:$M$70,11,0),0)</f>
        <v>14240</v>
      </c>
      <c r="I16" s="22">
        <f t="shared" si="1"/>
        <v>0</v>
      </c>
      <c r="J16" s="15"/>
    </row>
    <row r="17" spans="1:10" ht="15.75" x14ac:dyDescent="0.25">
      <c r="A17" s="7" t="s">
        <v>17</v>
      </c>
      <c r="B17" s="8">
        <v>8404</v>
      </c>
      <c r="C17" s="8">
        <v>10620109</v>
      </c>
      <c r="D17" s="8">
        <v>20109</v>
      </c>
      <c r="E17" s="9" t="s">
        <v>26</v>
      </c>
      <c r="F17" s="10">
        <v>4</v>
      </c>
      <c r="G17" s="14">
        <f t="shared" si="0"/>
        <v>14240</v>
      </c>
      <c r="H17" s="14">
        <f>IFERROR(VLOOKUP(C17,'[1]MPG Payment'!$C$2:$M$70,11,0),0)</f>
        <v>14240</v>
      </c>
      <c r="I17" s="22">
        <f t="shared" si="1"/>
        <v>0</v>
      </c>
      <c r="J17" s="11"/>
    </row>
    <row r="18" spans="1:10" ht="18.75" x14ac:dyDescent="0.3">
      <c r="A18" s="19" t="s">
        <v>27</v>
      </c>
      <c r="B18" s="19"/>
      <c r="C18" s="19"/>
      <c r="D18" s="19"/>
      <c r="E18" s="19"/>
      <c r="F18" s="1">
        <f>SUM(F3:F17)</f>
        <v>50</v>
      </c>
      <c r="G18" s="1"/>
      <c r="H18" s="1"/>
      <c r="I18" s="1"/>
      <c r="J18" s="4"/>
    </row>
    <row r="19" spans="1:10" ht="23.25" x14ac:dyDescent="0.35">
      <c r="A19" s="20" t="s">
        <v>28</v>
      </c>
      <c r="B19" s="20"/>
      <c r="C19" s="20"/>
      <c r="D19" s="20"/>
      <c r="E19" s="20"/>
      <c r="F19" s="2">
        <f>125-F18</f>
        <v>75</v>
      </c>
      <c r="G19" s="21">
        <f>SUM(G3:G17)</f>
        <v>178000</v>
      </c>
      <c r="H19" s="21">
        <f>SUM(H3:H17)</f>
        <v>131184</v>
      </c>
      <c r="I19" s="21">
        <f>SUM(I3:I17)</f>
        <v>46816</v>
      </c>
      <c r="J19" s="3"/>
    </row>
  </sheetData>
  <mergeCells count="3">
    <mergeCell ref="A1:J1"/>
    <mergeCell ref="A18:E18"/>
    <mergeCell ref="A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Shyam Dairy</dc:creator>
  <cp:lastModifiedBy>RAHUL PANDIT</cp:lastModifiedBy>
  <dcterms:created xsi:type="dcterms:W3CDTF">2015-06-05T18:17:20Z</dcterms:created>
  <dcterms:modified xsi:type="dcterms:W3CDTF">2026-05-02T04:41:35Z</dcterms:modified>
</cp:coreProperties>
</file>