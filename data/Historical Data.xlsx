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ahul\Documents\GitHub\mpg-commission-dashboard\data\"/>
    </mc:Choice>
  </mc:AlternateContent>
  <xr:revisionPtr revIDLastSave="0" documentId="13_ncr:1_{51D6A307-3E03-406F-9F62-53EEF9CF6DB2}" xr6:coauthVersionLast="47" xr6:coauthVersionMax="47" xr10:uidLastSave="{00000000-0000-0000-0000-000000000000}"/>
  <bookViews>
    <workbookView xWindow="-120" yWindow="-120" windowWidth="29040" windowHeight="15720" tabRatio="674" activeTab="6" xr2:uid="{00000000-000D-0000-FFFF-FFFF00000000}"/>
  </bookViews>
  <sheets>
    <sheet name="Charts" sheetId="23" r:id="rId1"/>
    <sheet name="Volume Summary" sheetId="6" r:id="rId2"/>
    <sheet name="BR Slide SCC and Cost" sheetId="15" state="hidden" r:id="rId3"/>
    <sheet name="BR Slide Volume" sheetId="7" state="hidden" r:id="rId4"/>
    <sheet name="Consolidate" sheetId="24" state="hidden" r:id="rId5"/>
    <sheet name="BIHAR" sheetId="1" r:id="rId6"/>
    <sheet name="WEST BENGAL" sheetId="21" r:id="rId7"/>
    <sheet name="JHARKHAND" sheetId="10" r:id="rId8"/>
    <sheet name="JH Slide 1" sheetId="19" state="hidden" r:id="rId9"/>
    <sheet name="JH Slide 2" sheetId="20" state="hidden" r:id="rId10"/>
  </sheets>
  <definedNames>
    <definedName name="_xlnm._FilterDatabase" localSheetId="5" hidden="1">BIHAR!$A$33:$AF$79</definedName>
    <definedName name="Proposed_Rate" localSheetId="0">#REF!</definedName>
    <definedName name="Proposed_Rate" localSheetId="6">#REF!</definedName>
    <definedName name="Proposed_Rate">#REF!</definedName>
    <definedName name="Sudha_rate" localSheetId="0">#REF!</definedName>
    <definedName name="Sudha_rate" localSheetId="6">#REF!</definedName>
    <definedName name="Sudha_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3" i="21" l="1"/>
  <c r="N53" i="21"/>
  <c r="M53" i="21"/>
  <c r="L53" i="21"/>
  <c r="K53" i="21"/>
  <c r="J53" i="21"/>
  <c r="I53" i="21"/>
  <c r="H53" i="21"/>
  <c r="G53" i="21"/>
  <c r="F53" i="21"/>
  <c r="E53" i="21"/>
  <c r="D53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Q5" i="1"/>
  <c r="U44" i="1"/>
  <c r="T44" i="1"/>
  <c r="S44" i="1"/>
  <c r="R44" i="1"/>
  <c r="Q44" i="1"/>
  <c r="Q43" i="1"/>
  <c r="R43" i="1"/>
  <c r="W43" i="1" s="1"/>
  <c r="S43" i="1"/>
  <c r="V43" i="1" s="1"/>
  <c r="T43" i="1"/>
  <c r="Y43" i="1" s="1"/>
  <c r="U43" i="1"/>
  <c r="Q41" i="1"/>
  <c r="R41" i="1"/>
  <c r="S41" i="1"/>
  <c r="T41" i="1"/>
  <c r="U41" i="1"/>
  <c r="Q39" i="1"/>
  <c r="R39" i="1"/>
  <c r="W39" i="1" s="1"/>
  <c r="S39" i="1"/>
  <c r="T39" i="1"/>
  <c r="U39" i="1"/>
  <c r="Q37" i="1"/>
  <c r="R37" i="1"/>
  <c r="S37" i="1"/>
  <c r="T37" i="1"/>
  <c r="U37" i="1"/>
  <c r="Q35" i="1"/>
  <c r="R35" i="1"/>
  <c r="W35" i="1" s="1"/>
  <c r="S35" i="1"/>
  <c r="T35" i="1"/>
  <c r="U35" i="1"/>
  <c r="D50" i="23"/>
  <c r="E50" i="23"/>
  <c r="G50" i="23"/>
  <c r="F50" i="23"/>
  <c r="U31" i="10"/>
  <c r="V37" i="1" l="1"/>
  <c r="W41" i="1"/>
  <c r="V41" i="1"/>
  <c r="Y41" i="1"/>
  <c r="X43" i="1"/>
  <c r="Y37" i="1"/>
  <c r="X35" i="1"/>
  <c r="W37" i="1"/>
  <c r="Y35" i="1"/>
  <c r="X41" i="1"/>
  <c r="V35" i="1"/>
  <c r="V39" i="1"/>
  <c r="Y39" i="1"/>
  <c r="X39" i="1"/>
  <c r="X37" i="1"/>
  <c r="Q7" i="10"/>
  <c r="I33" i="6" l="1"/>
  <c r="V11" i="21" l="1"/>
  <c r="Y17" i="1" s="1"/>
  <c r="V10" i="21"/>
  <c r="Y16" i="1" s="1"/>
  <c r="V9" i="21"/>
  <c r="Y15" i="1" s="1"/>
  <c r="Z17" i="1"/>
  <c r="Z16" i="1"/>
  <c r="Z15" i="1"/>
  <c r="C28" i="1"/>
  <c r="P12" i="10" l="1"/>
  <c r="X21" i="21" s="1"/>
  <c r="P10" i="10"/>
  <c r="X19" i="21" s="1"/>
  <c r="P9" i="10"/>
  <c r="X18" i="21" s="1"/>
  <c r="P11" i="10"/>
  <c r="X20" i="21" s="1"/>
  <c r="Q73" i="21" l="1"/>
  <c r="U72" i="21"/>
  <c r="T72" i="21"/>
  <c r="S72" i="21"/>
  <c r="R72" i="21"/>
  <c r="Q72" i="21"/>
  <c r="C73" i="21" l="1"/>
  <c r="C83" i="21" s="1"/>
  <c r="U62" i="21"/>
  <c r="T62" i="21"/>
  <c r="S62" i="21"/>
  <c r="R62" i="21"/>
  <c r="Q62" i="21"/>
  <c r="Q63" i="21"/>
  <c r="Q83" i="21" l="1"/>
  <c r="Q82" i="21"/>
  <c r="Q75" i="1"/>
  <c r="R75" i="1"/>
  <c r="S75" i="1"/>
  <c r="T75" i="1"/>
  <c r="U75" i="1"/>
  <c r="U45" i="10" l="1"/>
  <c r="T45" i="10"/>
  <c r="S45" i="10"/>
  <c r="R45" i="10"/>
  <c r="Q45" i="10"/>
  <c r="U40" i="10"/>
  <c r="T40" i="10"/>
  <c r="S40" i="10"/>
  <c r="R40" i="10"/>
  <c r="Q40" i="10"/>
  <c r="O34" i="10" l="1"/>
  <c r="N34" i="10"/>
  <c r="M34" i="10"/>
  <c r="L34" i="10"/>
  <c r="K34" i="10"/>
  <c r="J34" i="10"/>
  <c r="I34" i="10"/>
  <c r="H34" i="10"/>
  <c r="G34" i="10"/>
  <c r="F34" i="10"/>
  <c r="E34" i="10"/>
  <c r="D34" i="10"/>
  <c r="U33" i="10"/>
  <c r="T33" i="10"/>
  <c r="S33" i="10"/>
  <c r="R33" i="10"/>
  <c r="Q33" i="10"/>
  <c r="U32" i="10"/>
  <c r="T32" i="10"/>
  <c r="S32" i="10"/>
  <c r="R32" i="10"/>
  <c r="Q32" i="10"/>
  <c r="T31" i="10"/>
  <c r="S31" i="10"/>
  <c r="R31" i="10"/>
  <c r="Q31" i="10"/>
  <c r="U30" i="10"/>
  <c r="T30" i="10"/>
  <c r="S30" i="10"/>
  <c r="R30" i="10"/>
  <c r="Q30" i="10"/>
  <c r="Z12" i="10"/>
  <c r="Y12" i="10"/>
  <c r="U12" i="10"/>
  <c r="T12" i="10"/>
  <c r="S12" i="10"/>
  <c r="R12" i="10"/>
  <c r="Q12" i="10"/>
  <c r="C12" i="10"/>
  <c r="C45" i="10" s="1"/>
  <c r="C50" i="10" s="1"/>
  <c r="U7" i="10"/>
  <c r="S7" i="10"/>
  <c r="R7" i="10"/>
  <c r="T7" i="10"/>
  <c r="U101" i="1"/>
  <c r="T101" i="1"/>
  <c r="S101" i="1"/>
  <c r="R101" i="1"/>
  <c r="Q101" i="1"/>
  <c r="C101" i="1"/>
  <c r="C112" i="1" s="1"/>
  <c r="U90" i="1"/>
  <c r="T90" i="1"/>
  <c r="S90" i="1"/>
  <c r="R90" i="1"/>
  <c r="Q90" i="1"/>
  <c r="M79" i="1"/>
  <c r="L79" i="1"/>
  <c r="K79" i="1"/>
  <c r="J79" i="1"/>
  <c r="I79" i="1"/>
  <c r="H79" i="1"/>
  <c r="G79" i="1"/>
  <c r="F79" i="1"/>
  <c r="E79" i="1"/>
  <c r="D79" i="1"/>
  <c r="U78" i="1"/>
  <c r="T78" i="1"/>
  <c r="S78" i="1"/>
  <c r="R78" i="1"/>
  <c r="Q78" i="1"/>
  <c r="U77" i="1"/>
  <c r="T77" i="1"/>
  <c r="S77" i="1"/>
  <c r="R77" i="1"/>
  <c r="Q77" i="1"/>
  <c r="U76" i="1"/>
  <c r="T76" i="1"/>
  <c r="S76" i="1"/>
  <c r="R76" i="1"/>
  <c r="Q76" i="1"/>
  <c r="U74" i="1"/>
  <c r="S74" i="1"/>
  <c r="R74" i="1"/>
  <c r="Q74" i="1"/>
  <c r="O79" i="1"/>
  <c r="T74" i="1"/>
  <c r="C31" i="1"/>
  <c r="U31" i="1"/>
  <c r="T31" i="1"/>
  <c r="S31" i="1"/>
  <c r="R31" i="1"/>
  <c r="Q31" i="1"/>
  <c r="P31" i="1"/>
  <c r="W21" i="21" s="1"/>
  <c r="U17" i="1"/>
  <c r="S17" i="1"/>
  <c r="R17" i="1"/>
  <c r="Q17" i="1"/>
  <c r="T17" i="1"/>
  <c r="T34" i="10" l="1"/>
  <c r="S34" i="10"/>
  <c r="Q79" i="1"/>
  <c r="U34" i="10"/>
  <c r="Q34" i="10"/>
  <c r="R34" i="10"/>
  <c r="R79" i="1"/>
  <c r="S79" i="1"/>
  <c r="N79" i="1"/>
  <c r="U79" i="1" s="1"/>
  <c r="P17" i="1"/>
  <c r="O69" i="1"/>
  <c r="N69" i="1"/>
  <c r="T79" i="1" l="1"/>
  <c r="AA17" i="1"/>
  <c r="AA16" i="1"/>
  <c r="AA15" i="1"/>
  <c r="G69" i="23"/>
  <c r="G68" i="23"/>
  <c r="G67" i="23"/>
  <c r="G66" i="23"/>
  <c r="G65" i="23"/>
  <c r="G64" i="23"/>
  <c r="D49" i="23" l="1"/>
  <c r="E49" i="23"/>
  <c r="F49" i="23"/>
  <c r="G49" i="23"/>
  <c r="D51" i="23"/>
  <c r="E51" i="23"/>
  <c r="D52" i="23"/>
  <c r="E52" i="23"/>
  <c r="F52" i="23"/>
  <c r="D53" i="23"/>
  <c r="E53" i="23"/>
  <c r="F53" i="23"/>
  <c r="K47" i="23" l="1"/>
  <c r="G53" i="23" s="1"/>
  <c r="K44" i="23"/>
  <c r="G44" i="23"/>
  <c r="G47" i="23" l="1"/>
  <c r="U50" i="1"/>
  <c r="U6" i="10"/>
  <c r="S6" i="10"/>
  <c r="R6" i="10"/>
  <c r="Q6" i="10"/>
  <c r="U5" i="10"/>
  <c r="T5" i="10"/>
  <c r="S5" i="10"/>
  <c r="R5" i="10"/>
  <c r="Q5" i="10"/>
  <c r="U16" i="1"/>
  <c r="S16" i="1"/>
  <c r="R16" i="1"/>
  <c r="Q16" i="1"/>
  <c r="U15" i="1"/>
  <c r="T15" i="1"/>
  <c r="S15" i="1"/>
  <c r="R15" i="1"/>
  <c r="Q15" i="1"/>
  <c r="T14" i="1"/>
  <c r="S14" i="1"/>
  <c r="R14" i="1"/>
  <c r="Q14" i="1"/>
  <c r="U14" i="1"/>
  <c r="U13" i="1"/>
  <c r="N6" i="10"/>
  <c r="T6" i="10" s="1"/>
  <c r="N16" i="1" l="1"/>
  <c r="T16" i="1" l="1"/>
  <c r="U69" i="1"/>
  <c r="M73" i="1"/>
  <c r="L73" i="1"/>
  <c r="D46" i="23" l="1"/>
  <c r="Z13" i="10"/>
  <c r="Y13" i="10"/>
  <c r="Z11" i="10"/>
  <c r="Y11" i="10"/>
  <c r="L22" i="24" l="1"/>
  <c r="O22" i="24"/>
  <c r="N22" i="24"/>
  <c r="M22" i="24"/>
  <c r="K22" i="24"/>
  <c r="J22" i="24"/>
  <c r="I22" i="24"/>
  <c r="H22" i="24"/>
  <c r="G22" i="24"/>
  <c r="F22" i="24"/>
  <c r="E22" i="24"/>
  <c r="O21" i="24"/>
  <c r="N21" i="24"/>
  <c r="M21" i="24"/>
  <c r="L21" i="24"/>
  <c r="K21" i="24"/>
  <c r="J21" i="24"/>
  <c r="I21" i="24"/>
  <c r="H21" i="24"/>
  <c r="G21" i="24"/>
  <c r="F21" i="24"/>
  <c r="E21" i="24"/>
  <c r="O20" i="24"/>
  <c r="N20" i="24"/>
  <c r="M20" i="24"/>
  <c r="L20" i="24"/>
  <c r="K20" i="24"/>
  <c r="J20" i="24"/>
  <c r="I20" i="24"/>
  <c r="H20" i="24"/>
  <c r="G20" i="24"/>
  <c r="F20" i="24"/>
  <c r="E20" i="24"/>
  <c r="O19" i="24"/>
  <c r="N19" i="24"/>
  <c r="M19" i="24"/>
  <c r="L19" i="24"/>
  <c r="K19" i="24"/>
  <c r="J19" i="24"/>
  <c r="I19" i="24"/>
  <c r="H19" i="24"/>
  <c r="G19" i="24"/>
  <c r="F19" i="24"/>
  <c r="E19" i="24"/>
  <c r="D22" i="24"/>
  <c r="D21" i="24"/>
  <c r="D20" i="24"/>
  <c r="D19" i="24"/>
  <c r="O17" i="24"/>
  <c r="N17" i="24"/>
  <c r="M17" i="24"/>
  <c r="L17" i="24"/>
  <c r="K17" i="24"/>
  <c r="J17" i="24"/>
  <c r="I17" i="24"/>
  <c r="H17" i="24"/>
  <c r="G17" i="24"/>
  <c r="F17" i="24"/>
  <c r="E17" i="24"/>
  <c r="O16" i="24"/>
  <c r="N16" i="24"/>
  <c r="M16" i="24"/>
  <c r="L16" i="24"/>
  <c r="K16" i="24"/>
  <c r="J16" i="24"/>
  <c r="I16" i="24"/>
  <c r="H16" i="24"/>
  <c r="G16" i="24"/>
  <c r="F16" i="24"/>
  <c r="E16" i="24"/>
  <c r="O15" i="24"/>
  <c r="N15" i="24"/>
  <c r="M15" i="24"/>
  <c r="L15" i="24"/>
  <c r="K15" i="24"/>
  <c r="J15" i="24"/>
  <c r="I15" i="24"/>
  <c r="H15" i="24"/>
  <c r="G15" i="24"/>
  <c r="F15" i="24"/>
  <c r="E15" i="24"/>
  <c r="O14" i="24"/>
  <c r="O26" i="24" s="1"/>
  <c r="N14" i="24"/>
  <c r="N26" i="24" s="1"/>
  <c r="M14" i="24"/>
  <c r="M26" i="24" s="1"/>
  <c r="L14" i="24"/>
  <c r="L26" i="24" s="1"/>
  <c r="K14" i="24"/>
  <c r="K26" i="24" s="1"/>
  <c r="J14" i="24"/>
  <c r="J26" i="24" s="1"/>
  <c r="I14" i="24"/>
  <c r="I26" i="24" s="1"/>
  <c r="H14" i="24"/>
  <c r="G14" i="24"/>
  <c r="G26" i="24" s="1"/>
  <c r="F14" i="24"/>
  <c r="F26" i="24" s="1"/>
  <c r="E14" i="24"/>
  <c r="E26" i="24" s="1"/>
  <c r="D17" i="24"/>
  <c r="D16" i="24"/>
  <c r="D15" i="24"/>
  <c r="D14" i="24"/>
  <c r="O12" i="24"/>
  <c r="N12" i="24"/>
  <c r="M12" i="24"/>
  <c r="L12" i="24"/>
  <c r="K12" i="24"/>
  <c r="J12" i="24"/>
  <c r="I12" i="24"/>
  <c r="H12" i="24"/>
  <c r="G12" i="24"/>
  <c r="F12" i="24"/>
  <c r="E12" i="24"/>
  <c r="O11" i="24"/>
  <c r="N11" i="24"/>
  <c r="M11" i="24"/>
  <c r="L11" i="24"/>
  <c r="K11" i="24"/>
  <c r="J11" i="24"/>
  <c r="I11" i="24"/>
  <c r="H11" i="24"/>
  <c r="G11" i="24"/>
  <c r="F11" i="24"/>
  <c r="E11" i="24"/>
  <c r="O10" i="24"/>
  <c r="N10" i="24"/>
  <c r="M10" i="24"/>
  <c r="L10" i="24"/>
  <c r="K10" i="24"/>
  <c r="J10" i="24"/>
  <c r="I10" i="24"/>
  <c r="H10" i="24"/>
  <c r="G10" i="24"/>
  <c r="F10" i="24"/>
  <c r="E10" i="24"/>
  <c r="O9" i="24"/>
  <c r="N9" i="24"/>
  <c r="N25" i="24" s="1"/>
  <c r="M9" i="24"/>
  <c r="M25" i="24" s="1"/>
  <c r="L9" i="24"/>
  <c r="K9" i="24"/>
  <c r="K25" i="24" s="1"/>
  <c r="J9" i="24"/>
  <c r="J25" i="24" s="1"/>
  <c r="I9" i="24"/>
  <c r="I25" i="24" s="1"/>
  <c r="H9" i="24"/>
  <c r="H25" i="24" s="1"/>
  <c r="G9" i="24"/>
  <c r="G25" i="24" s="1"/>
  <c r="F9" i="24"/>
  <c r="F25" i="24" s="1"/>
  <c r="E9" i="24"/>
  <c r="E25" i="24" s="1"/>
  <c r="D12" i="24"/>
  <c r="D11" i="24"/>
  <c r="D10" i="24"/>
  <c r="D9" i="24"/>
  <c r="O7" i="24"/>
  <c r="U7" i="24" s="1"/>
  <c r="N7" i="24"/>
  <c r="M7" i="24"/>
  <c r="L7" i="24"/>
  <c r="K7" i="24"/>
  <c r="J7" i="24"/>
  <c r="I7" i="24"/>
  <c r="H7" i="24"/>
  <c r="G7" i="24"/>
  <c r="F7" i="24"/>
  <c r="E7" i="24"/>
  <c r="D7" i="24"/>
  <c r="O6" i="24"/>
  <c r="U6" i="24" s="1"/>
  <c r="N6" i="24"/>
  <c r="M6" i="24"/>
  <c r="L6" i="24"/>
  <c r="K6" i="24"/>
  <c r="J6" i="24"/>
  <c r="I6" i="24"/>
  <c r="H6" i="24"/>
  <c r="G6" i="24"/>
  <c r="F6" i="24"/>
  <c r="E6" i="24"/>
  <c r="D6" i="24"/>
  <c r="O5" i="24"/>
  <c r="U5" i="24" s="1"/>
  <c r="N5" i="24"/>
  <c r="M5" i="24"/>
  <c r="L5" i="24"/>
  <c r="K5" i="24"/>
  <c r="J5" i="24"/>
  <c r="I5" i="24"/>
  <c r="H5" i="24"/>
  <c r="G5" i="24"/>
  <c r="F5" i="24"/>
  <c r="E5" i="24"/>
  <c r="D5" i="24"/>
  <c r="C32" i="24"/>
  <c r="C37" i="24" s="1"/>
  <c r="C31" i="24"/>
  <c r="C36" i="24" s="1"/>
  <c r="C30" i="24"/>
  <c r="C35" i="24" s="1"/>
  <c r="U3" i="24"/>
  <c r="U2" i="24"/>
  <c r="U28" i="10"/>
  <c r="AA15" i="10" s="1"/>
  <c r="U27" i="10"/>
  <c r="U26" i="10"/>
  <c r="U25" i="10"/>
  <c r="G18" i="24" l="1"/>
  <c r="S12" i="24"/>
  <c r="AA16" i="10"/>
  <c r="AA17" i="10" s="1"/>
  <c r="S7" i="24"/>
  <c r="T11" i="24"/>
  <c r="S5" i="24"/>
  <c r="Q7" i="24"/>
  <c r="E23" i="24"/>
  <c r="T5" i="24"/>
  <c r="D23" i="24"/>
  <c r="Q21" i="24"/>
  <c r="J23" i="24"/>
  <c r="T15" i="24"/>
  <c r="R17" i="24"/>
  <c r="T30" i="24"/>
  <c r="S10" i="24"/>
  <c r="R11" i="24"/>
  <c r="T12" i="24"/>
  <c r="L18" i="24"/>
  <c r="R16" i="24"/>
  <c r="V17" i="24"/>
  <c r="G23" i="24"/>
  <c r="S20" i="24"/>
  <c r="Q22" i="24"/>
  <c r="T20" i="24"/>
  <c r="S22" i="24"/>
  <c r="Q30" i="24"/>
  <c r="S11" i="24"/>
  <c r="V14" i="24"/>
  <c r="Q19" i="24"/>
  <c r="K23" i="24"/>
  <c r="R22" i="24"/>
  <c r="D25" i="24"/>
  <c r="Q25" i="24" s="1"/>
  <c r="Q9" i="24"/>
  <c r="R5" i="24"/>
  <c r="Q6" i="24"/>
  <c r="T6" i="24"/>
  <c r="R7" i="24"/>
  <c r="Q20" i="24"/>
  <c r="S17" i="24"/>
  <c r="I18" i="24"/>
  <c r="R31" i="24"/>
  <c r="R32" i="24"/>
  <c r="S16" i="24"/>
  <c r="S21" i="24"/>
  <c r="U12" i="24"/>
  <c r="I23" i="24"/>
  <c r="T26" i="24"/>
  <c r="F13" i="24"/>
  <c r="P7" i="24"/>
  <c r="G13" i="24"/>
  <c r="V16" i="24"/>
  <c r="R15" i="24"/>
  <c r="E18" i="24"/>
  <c r="M18" i="24"/>
  <c r="D26" i="24"/>
  <c r="Q26" i="24" s="1"/>
  <c r="H26" i="24"/>
  <c r="R26" i="24" s="1"/>
  <c r="O18" i="24"/>
  <c r="E13" i="24"/>
  <c r="Q5" i="24"/>
  <c r="S6" i="24"/>
  <c r="T7" i="24"/>
  <c r="D13" i="24"/>
  <c r="L13" i="24"/>
  <c r="L23" i="24"/>
  <c r="R20" i="24"/>
  <c r="L25" i="24"/>
  <c r="O25" i="24"/>
  <c r="T25" i="24" s="1"/>
  <c r="N13" i="24"/>
  <c r="Q12" i="24"/>
  <c r="M13" i="24"/>
  <c r="T9" i="24"/>
  <c r="O13" i="24"/>
  <c r="F18" i="24"/>
  <c r="T14" i="24"/>
  <c r="S15" i="24"/>
  <c r="Q17" i="24"/>
  <c r="T17" i="24"/>
  <c r="F23" i="24"/>
  <c r="R21" i="24"/>
  <c r="O23" i="24"/>
  <c r="T21" i="24"/>
  <c r="U21" i="24"/>
  <c r="N23" i="24"/>
  <c r="R25" i="24"/>
  <c r="M23" i="24"/>
  <c r="T22" i="24"/>
  <c r="U22" i="24"/>
  <c r="U20" i="24"/>
  <c r="S19" i="24"/>
  <c r="U19" i="24"/>
  <c r="T19" i="24"/>
  <c r="H23" i="24"/>
  <c r="R19" i="24"/>
  <c r="S14" i="24"/>
  <c r="J18" i="24"/>
  <c r="T32" i="24"/>
  <c r="Q31" i="24"/>
  <c r="T16" i="24"/>
  <c r="S32" i="24"/>
  <c r="K18" i="24"/>
  <c r="S26" i="24"/>
  <c r="U15" i="24"/>
  <c r="S31" i="24"/>
  <c r="U17" i="24"/>
  <c r="R14" i="24"/>
  <c r="N18" i="24"/>
  <c r="T31" i="24"/>
  <c r="H18" i="24"/>
  <c r="U16" i="24"/>
  <c r="Q16" i="24"/>
  <c r="V15" i="24"/>
  <c r="Q15" i="24"/>
  <c r="U32" i="24"/>
  <c r="U31" i="24"/>
  <c r="Q14" i="24"/>
  <c r="D18" i="24"/>
  <c r="Q32" i="24"/>
  <c r="U14" i="24"/>
  <c r="V9" i="24"/>
  <c r="S9" i="24"/>
  <c r="R12" i="24"/>
  <c r="R10" i="24"/>
  <c r="R30" i="24"/>
  <c r="R9" i="24"/>
  <c r="T10" i="24"/>
  <c r="S30" i="24"/>
  <c r="V12" i="24"/>
  <c r="U11" i="24"/>
  <c r="V11" i="24"/>
  <c r="Q11" i="24"/>
  <c r="U10" i="24"/>
  <c r="J13" i="24"/>
  <c r="I13" i="24"/>
  <c r="K13" i="24"/>
  <c r="V10" i="24"/>
  <c r="Q10" i="24"/>
  <c r="U30" i="24"/>
  <c r="U9" i="24"/>
  <c r="H13" i="24"/>
  <c r="R6" i="24"/>
  <c r="P6" i="24"/>
  <c r="P5" i="24"/>
  <c r="T72" i="1"/>
  <c r="T71" i="1"/>
  <c r="T70" i="1"/>
  <c r="T69" i="1"/>
  <c r="T67" i="1"/>
  <c r="T66" i="1"/>
  <c r="T65" i="1"/>
  <c r="T64" i="1"/>
  <c r="U72" i="1"/>
  <c r="U71" i="1"/>
  <c r="U70" i="1"/>
  <c r="R18" i="24" l="1"/>
  <c r="T36" i="24"/>
  <c r="R23" i="24"/>
  <c r="T13" i="24"/>
  <c r="T35" i="24"/>
  <c r="S23" i="24"/>
  <c r="Q23" i="24"/>
  <c r="Q36" i="24"/>
  <c r="S37" i="24"/>
  <c r="U26" i="24"/>
  <c r="U25" i="24"/>
  <c r="W16" i="24"/>
  <c r="Q35" i="24"/>
  <c r="T37" i="24"/>
  <c r="R35" i="24"/>
  <c r="D4" i="23" a="1"/>
  <c r="D4" i="23" s="1"/>
  <c r="S25" i="24"/>
  <c r="T18" i="24"/>
  <c r="S18" i="24"/>
  <c r="T23" i="24"/>
  <c r="F4" i="23" a="1"/>
  <c r="S13" i="24"/>
  <c r="E4" i="23" a="1"/>
  <c r="E4" i="23" s="1"/>
  <c r="U23" i="24"/>
  <c r="R37" i="24"/>
  <c r="S36" i="24"/>
  <c r="R36" i="24"/>
  <c r="Q18" i="24"/>
  <c r="U18" i="24"/>
  <c r="U37" i="24"/>
  <c r="V18" i="24"/>
  <c r="U36" i="24"/>
  <c r="Q37" i="24"/>
  <c r="S35" i="24"/>
  <c r="W11" i="24"/>
  <c r="R13" i="24"/>
  <c r="U35" i="24"/>
  <c r="U13" i="24"/>
  <c r="Q13" i="24"/>
  <c r="V13" i="24"/>
  <c r="K73" i="1"/>
  <c r="J73" i="1"/>
  <c r="G8" i="23" l="1"/>
  <c r="G5" i="23"/>
  <c r="G6" i="23"/>
  <c r="G7" i="23"/>
  <c r="F4" i="23"/>
  <c r="G4" i="23" s="1"/>
  <c r="D23" i="6"/>
  <c r="D21" i="6"/>
  <c r="D20" i="6"/>
  <c r="E20" i="6"/>
  <c r="E23" i="6" l="1"/>
  <c r="E21" i="6"/>
  <c r="F23" i="6" l="1"/>
  <c r="F21" i="6"/>
  <c r="F20" i="6"/>
  <c r="F19" i="6" l="1"/>
  <c r="I73" i="1" l="1"/>
  <c r="V22" i="10" l="1"/>
  <c r="V21" i="10"/>
  <c r="V20" i="10"/>
  <c r="V19" i="10"/>
  <c r="V40" i="21"/>
  <c r="V39" i="21"/>
  <c r="V38" i="21"/>
  <c r="V44" i="21"/>
  <c r="V43" i="21"/>
  <c r="V42" i="21"/>
  <c r="V36" i="21"/>
  <c r="V35" i="21"/>
  <c r="V34" i="21"/>
  <c r="V57" i="1"/>
  <c r="V67" i="1"/>
  <c r="V66" i="1"/>
  <c r="V65" i="1"/>
  <c r="V64" i="1"/>
  <c r="V62" i="1"/>
  <c r="V61" i="1"/>
  <c r="V60" i="1"/>
  <c r="V59" i="1"/>
  <c r="V56" i="1"/>
  <c r="V55" i="1"/>
  <c r="V54" i="1"/>
  <c r="U61" i="21"/>
  <c r="U67" i="1"/>
  <c r="U66" i="1"/>
  <c r="U65" i="1"/>
  <c r="U64" i="1"/>
  <c r="U59" i="1"/>
  <c r="C72" i="21"/>
  <c r="C82" i="21" s="1"/>
  <c r="U71" i="21"/>
  <c r="T71" i="21"/>
  <c r="S71" i="21"/>
  <c r="R71" i="21"/>
  <c r="Q71" i="21"/>
  <c r="C71" i="21"/>
  <c r="C81" i="21" s="1"/>
  <c r="U70" i="21"/>
  <c r="T70" i="21"/>
  <c r="S70" i="21"/>
  <c r="R70" i="21"/>
  <c r="Q70" i="21"/>
  <c r="C70" i="21"/>
  <c r="C80" i="21" s="1"/>
  <c r="C69" i="21"/>
  <c r="C79" i="21" s="1"/>
  <c r="T61" i="21"/>
  <c r="S61" i="21"/>
  <c r="R61" i="21"/>
  <c r="Q61" i="21"/>
  <c r="U60" i="21"/>
  <c r="T60" i="21"/>
  <c r="S60" i="21"/>
  <c r="R60" i="21"/>
  <c r="Q60" i="21"/>
  <c r="T82" i="21"/>
  <c r="S82" i="21"/>
  <c r="Q8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V8" i="21"/>
  <c r="Y14" i="1" s="1"/>
  <c r="AA14" i="1" s="1"/>
  <c r="V7" i="21"/>
  <c r="Y13" i="1" s="1"/>
  <c r="AA13" i="1" s="1"/>
  <c r="V6" i="21"/>
  <c r="Y12" i="1" s="1"/>
  <c r="AA12" i="1" s="1"/>
  <c r="V5" i="21"/>
  <c r="T3" i="21"/>
  <c r="S3" i="21"/>
  <c r="R3" i="21"/>
  <c r="Q3" i="21"/>
  <c r="T2" i="21"/>
  <c r="S2" i="21"/>
  <c r="R2" i="21"/>
  <c r="Q2" i="21"/>
  <c r="R82" i="21" l="1"/>
  <c r="C33" i="6" a="1"/>
  <c r="C33" i="6" s="1"/>
  <c r="U82" i="21"/>
  <c r="Q20" i="21"/>
  <c r="R8" i="21"/>
  <c r="S32" i="21"/>
  <c r="T21" i="21"/>
  <c r="Q14" i="21"/>
  <c r="Q6" i="21"/>
  <c r="Q18" i="21"/>
  <c r="Q26" i="21"/>
  <c r="R79" i="21"/>
  <c r="R81" i="21"/>
  <c r="Q78" i="21"/>
  <c r="S59" i="21"/>
  <c r="T52" i="21"/>
  <c r="T51" i="21"/>
  <c r="T50" i="21"/>
  <c r="T53" i="21"/>
  <c r="Q51" i="21"/>
  <c r="Q50" i="21"/>
  <c r="Q52" i="21"/>
  <c r="Q53" i="21"/>
  <c r="V79" i="1" s="1"/>
  <c r="R21" i="21"/>
  <c r="R52" i="21"/>
  <c r="R51" i="21"/>
  <c r="R50" i="21"/>
  <c r="R53" i="21"/>
  <c r="S51" i="21"/>
  <c r="S52" i="21"/>
  <c r="S50" i="21"/>
  <c r="S53" i="21"/>
  <c r="Q42" i="21"/>
  <c r="Q21" i="21"/>
  <c r="S24" i="21"/>
  <c r="S21" i="21"/>
  <c r="R67" i="21"/>
  <c r="R76" i="21"/>
  <c r="T80" i="21"/>
  <c r="U80" i="21"/>
  <c r="T29" i="21"/>
  <c r="R58" i="21"/>
  <c r="R12" i="21"/>
  <c r="S46" i="21"/>
  <c r="S12" i="21"/>
  <c r="S29" i="21"/>
  <c r="R9" i="21"/>
  <c r="S9" i="21"/>
  <c r="S47" i="21"/>
  <c r="U2" i="21"/>
  <c r="U44" i="21" s="1"/>
  <c r="S36" i="21"/>
  <c r="S81" i="21"/>
  <c r="T12" i="21"/>
  <c r="S28" i="21"/>
  <c r="S5" i="21"/>
  <c r="S11" i="21"/>
  <c r="V37" i="21"/>
  <c r="S19" i="21"/>
  <c r="Q34" i="21"/>
  <c r="Q12" i="21"/>
  <c r="Q30" i="21"/>
  <c r="S58" i="21"/>
  <c r="T37" i="21"/>
  <c r="V45" i="21"/>
  <c r="R49" i="21"/>
  <c r="T44" i="21"/>
  <c r="T48" i="21"/>
  <c r="T47" i="21"/>
  <c r="T43" i="21"/>
  <c r="T46" i="21"/>
  <c r="T42" i="21"/>
  <c r="R56" i="21"/>
  <c r="V41" i="21"/>
  <c r="R14" i="21"/>
  <c r="S76" i="21"/>
  <c r="Q67" i="21"/>
  <c r="Q68" i="21"/>
  <c r="T68" i="21"/>
  <c r="R80" i="21"/>
  <c r="Q45" i="21"/>
  <c r="T81" i="21"/>
  <c r="T45" i="21"/>
  <c r="U69" i="21"/>
  <c r="R7" i="21"/>
  <c r="R15" i="21"/>
  <c r="R25" i="21"/>
  <c r="S7" i="21"/>
  <c r="Q10" i="21"/>
  <c r="S15" i="21"/>
  <c r="S66" i="21"/>
  <c r="Q16" i="21"/>
  <c r="T56" i="21"/>
  <c r="R77" i="21"/>
  <c r="R33" i="21"/>
  <c r="Q38" i="21"/>
  <c r="S80" i="21"/>
  <c r="S69" i="21"/>
  <c r="U57" i="21"/>
  <c r="U56" i="21"/>
  <c r="R37" i="21"/>
  <c r="R41" i="21"/>
  <c r="S44" i="21"/>
  <c r="R48" i="21"/>
  <c r="R5" i="21"/>
  <c r="Q8" i="21"/>
  <c r="R11" i="21"/>
  <c r="S17" i="21"/>
  <c r="R29" i="21"/>
  <c r="S79" i="21"/>
  <c r="S40" i="21"/>
  <c r="U81" i="21"/>
  <c r="W66" i="1"/>
  <c r="T49" i="21"/>
  <c r="S49" i="21"/>
  <c r="T76" i="21"/>
  <c r="R78" i="21"/>
  <c r="T79" i="21"/>
  <c r="T31" i="21"/>
  <c r="T35" i="21"/>
  <c r="U68" i="21"/>
  <c r="T15" i="21"/>
  <c r="R18" i="21"/>
  <c r="T19" i="21"/>
  <c r="S25" i="21"/>
  <c r="R26" i="21"/>
  <c r="R30" i="21"/>
  <c r="R34" i="21"/>
  <c r="R38" i="21"/>
  <c r="R42" i="21"/>
  <c r="R45" i="21"/>
  <c r="S48" i="21"/>
  <c r="R57" i="21"/>
  <c r="U58" i="21"/>
  <c r="S67" i="21"/>
  <c r="U76" i="21"/>
  <c r="S78" i="21"/>
  <c r="U79" i="21"/>
  <c r="T27" i="21"/>
  <c r="T39" i="21"/>
  <c r="T58" i="21"/>
  <c r="T5" i="21"/>
  <c r="T9" i="21"/>
  <c r="Q7" i="21"/>
  <c r="S8" i="21"/>
  <c r="Q11" i="21"/>
  <c r="S14" i="21"/>
  <c r="Q17" i="21"/>
  <c r="S18" i="21"/>
  <c r="Q24" i="21"/>
  <c r="T25" i="21"/>
  <c r="S26" i="21"/>
  <c r="Q28" i="21"/>
  <c r="S30" i="21"/>
  <c r="Q32" i="21"/>
  <c r="S34" i="21"/>
  <c r="Q36" i="21"/>
  <c r="S38" i="21"/>
  <c r="Q40" i="21"/>
  <c r="S42" i="21"/>
  <c r="Q44" i="21"/>
  <c r="S45" i="21"/>
  <c r="Q47" i="21"/>
  <c r="S57" i="21"/>
  <c r="Q59" i="21"/>
  <c r="Q66" i="21"/>
  <c r="T67" i="21"/>
  <c r="Q69" i="21"/>
  <c r="Q77" i="21"/>
  <c r="T78" i="21"/>
  <c r="Q57" i="21"/>
  <c r="T8" i="21"/>
  <c r="T14" i="21"/>
  <c r="R17" i="21"/>
  <c r="T18" i="21"/>
  <c r="R24" i="21"/>
  <c r="T26" i="21"/>
  <c r="R28" i="21"/>
  <c r="Q29" i="21"/>
  <c r="T30" i="21"/>
  <c r="R32" i="21"/>
  <c r="Q33" i="21"/>
  <c r="T34" i="21"/>
  <c r="R36" i="21"/>
  <c r="Q37" i="21"/>
  <c r="T38" i="21"/>
  <c r="R40" i="21"/>
  <c r="Q41" i="21"/>
  <c r="R44" i="21"/>
  <c r="R47" i="21"/>
  <c r="Q56" i="21"/>
  <c r="T57" i="21"/>
  <c r="R59" i="21"/>
  <c r="R66" i="21"/>
  <c r="U67" i="21"/>
  <c r="R69" i="21"/>
  <c r="U78" i="21"/>
  <c r="Q80" i="21"/>
  <c r="S77" i="21"/>
  <c r="U3" i="21"/>
  <c r="R6" i="21"/>
  <c r="T7" i="21"/>
  <c r="R10" i="21"/>
  <c r="T11" i="21"/>
  <c r="R16" i="21"/>
  <c r="T17" i="21"/>
  <c r="R20" i="21"/>
  <c r="T24" i="21"/>
  <c r="Q27" i="21"/>
  <c r="T28" i="21"/>
  <c r="Q31" i="21"/>
  <c r="T32" i="21"/>
  <c r="S33" i="21"/>
  <c r="Q35" i="21"/>
  <c r="T36" i="21"/>
  <c r="S37" i="21"/>
  <c r="Q39" i="21"/>
  <c r="T40" i="21"/>
  <c r="S41" i="21"/>
  <c r="Q43" i="21"/>
  <c r="Q46" i="21"/>
  <c r="Q49" i="21"/>
  <c r="S56" i="21"/>
  <c r="Q58" i="21"/>
  <c r="T59" i="21"/>
  <c r="T66" i="21"/>
  <c r="R68" i="21"/>
  <c r="T69" i="21"/>
  <c r="Q76" i="21"/>
  <c r="T77" i="21"/>
  <c r="Q79" i="21"/>
  <c r="Q5" i="21"/>
  <c r="S6" i="21"/>
  <c r="Q9" i="21"/>
  <c r="S10" i="21"/>
  <c r="Q15" i="21"/>
  <c r="S16" i="21"/>
  <c r="Q19" i="21"/>
  <c r="S20" i="21"/>
  <c r="R27" i="21"/>
  <c r="R31" i="21"/>
  <c r="T33" i="21"/>
  <c r="R35" i="21"/>
  <c r="R39" i="21"/>
  <c r="T41" i="21"/>
  <c r="R43" i="21"/>
  <c r="R46" i="21"/>
  <c r="U59" i="21"/>
  <c r="U66" i="21"/>
  <c r="S68" i="21"/>
  <c r="U77" i="21"/>
  <c r="T6" i="21"/>
  <c r="T10" i="21"/>
  <c r="T16" i="21"/>
  <c r="R19" i="21"/>
  <c r="T20" i="21"/>
  <c r="Q25" i="21"/>
  <c r="S27" i="21"/>
  <c r="S31" i="21"/>
  <c r="S35" i="21"/>
  <c r="S39" i="21"/>
  <c r="S43" i="21"/>
  <c r="Q48" i="21"/>
  <c r="U43" i="21" l="1"/>
  <c r="U50" i="21"/>
  <c r="U51" i="21"/>
  <c r="U52" i="21"/>
  <c r="U53" i="21"/>
  <c r="U30" i="21"/>
  <c r="U21" i="21"/>
  <c r="V21" i="21" s="1"/>
  <c r="Y21" i="21" s="1"/>
  <c r="U46" i="21"/>
  <c r="U45" i="21"/>
  <c r="D11" i="6" s="1"/>
  <c r="U47" i="21"/>
  <c r="U48" i="21"/>
  <c r="U49" i="21"/>
  <c r="D12" i="6" s="1"/>
  <c r="U42" i="21"/>
  <c r="U41" i="21"/>
  <c r="D10" i="6" s="1"/>
  <c r="U37" i="21"/>
  <c r="D9" i="6" s="1"/>
  <c r="U33" i="21"/>
  <c r="D8" i="6" s="1"/>
  <c r="U29" i="21"/>
  <c r="D7" i="6" s="1"/>
  <c r="U26" i="21"/>
  <c r="D6" i="6" s="1"/>
  <c r="U18" i="21"/>
  <c r="V18" i="21" s="1"/>
  <c r="U40" i="21"/>
  <c r="U36" i="21"/>
  <c r="U32" i="21"/>
  <c r="U28" i="21"/>
  <c r="U24" i="21"/>
  <c r="U17" i="21"/>
  <c r="V17" i="21" s="1"/>
  <c r="U14" i="21"/>
  <c r="V14" i="21" s="1"/>
  <c r="U38" i="21"/>
  <c r="U34" i="21"/>
  <c r="U25" i="21"/>
  <c r="U16" i="21"/>
  <c r="V16" i="21" s="1"/>
  <c r="U19" i="21"/>
  <c r="V19" i="21" s="1"/>
  <c r="U15" i="21"/>
  <c r="V15" i="21" s="1"/>
  <c r="U20" i="21"/>
  <c r="V20" i="21" s="1"/>
  <c r="U39" i="21"/>
  <c r="U35" i="21"/>
  <c r="U31" i="21"/>
  <c r="U27" i="21"/>
  <c r="P30" i="1"/>
  <c r="W20" i="21" s="1"/>
  <c r="E34" i="23" l="1" a="1"/>
  <c r="E34" i="23" s="1"/>
  <c r="D34" i="23" a="1"/>
  <c r="D34" i="23" s="1"/>
  <c r="Y20" i="21"/>
  <c r="E46" i="23"/>
  <c r="K46" i="23" s="1"/>
  <c r="G52" i="23" s="1"/>
  <c r="F18" i="6"/>
  <c r="F34" i="23" a="1"/>
  <c r="O49" i="1"/>
  <c r="N49" i="1"/>
  <c r="M49" i="1"/>
  <c r="L49" i="1"/>
  <c r="K49" i="1"/>
  <c r="J49" i="1"/>
  <c r="I49" i="1"/>
  <c r="H49" i="1"/>
  <c r="G49" i="1"/>
  <c r="F49" i="1"/>
  <c r="E49" i="1"/>
  <c r="D49" i="1"/>
  <c r="P29" i="1"/>
  <c r="P28" i="1"/>
  <c r="P27" i="1"/>
  <c r="W17" i="21" s="1"/>
  <c r="Y17" i="21" s="1"/>
  <c r="P26" i="1"/>
  <c r="W16" i="21" s="1"/>
  <c r="Y16" i="21" s="1"/>
  <c r="P25" i="1"/>
  <c r="P16" i="1"/>
  <c r="F17" i="6" s="1"/>
  <c r="P14" i="1"/>
  <c r="D17" i="6" s="1"/>
  <c r="P13" i="1"/>
  <c r="P12" i="1"/>
  <c r="P11" i="1"/>
  <c r="P15" i="1"/>
  <c r="E17" i="6" s="1"/>
  <c r="G35" i="23" l="1"/>
  <c r="D19" i="6"/>
  <c r="W18" i="21"/>
  <c r="Y18" i="21" s="1"/>
  <c r="E19" i="6"/>
  <c r="W19" i="21"/>
  <c r="Y19" i="21" s="1"/>
  <c r="G46" i="23"/>
  <c r="G36" i="23"/>
  <c r="G37" i="23"/>
  <c r="F34" i="23"/>
  <c r="G34" i="23" s="1"/>
  <c r="G38" i="23"/>
  <c r="S44" i="10"/>
  <c r="R44" i="10"/>
  <c r="Q44" i="10"/>
  <c r="U39" i="10"/>
  <c r="T39" i="10"/>
  <c r="S39" i="10"/>
  <c r="R39" i="10"/>
  <c r="Q39" i="10"/>
  <c r="O29" i="10"/>
  <c r="O27" i="24" s="1"/>
  <c r="N29" i="10"/>
  <c r="N27" i="24" s="1"/>
  <c r="M29" i="10"/>
  <c r="M27" i="24" s="1"/>
  <c r="L29" i="10"/>
  <c r="L27" i="24" s="1"/>
  <c r="K29" i="10"/>
  <c r="K27" i="24" s="1"/>
  <c r="J29" i="10"/>
  <c r="J27" i="24" s="1"/>
  <c r="I29" i="10"/>
  <c r="I27" i="24" s="1"/>
  <c r="H29" i="10"/>
  <c r="H27" i="24" s="1"/>
  <c r="G29" i="10"/>
  <c r="G27" i="24" s="1"/>
  <c r="F29" i="10"/>
  <c r="F27" i="24" s="1"/>
  <c r="E29" i="10"/>
  <c r="E27" i="24" s="1"/>
  <c r="D29" i="10"/>
  <c r="T28" i="10"/>
  <c r="S28" i="10"/>
  <c r="R28" i="10"/>
  <c r="Q28" i="10"/>
  <c r="T27" i="10"/>
  <c r="S27" i="10"/>
  <c r="R27" i="10"/>
  <c r="Q27" i="10"/>
  <c r="T26" i="10"/>
  <c r="S26" i="10"/>
  <c r="R26" i="10"/>
  <c r="Q26" i="10"/>
  <c r="T25" i="10"/>
  <c r="S25" i="10"/>
  <c r="R25" i="10"/>
  <c r="Q25" i="10"/>
  <c r="U11" i="10"/>
  <c r="T11" i="10"/>
  <c r="S11" i="10"/>
  <c r="R11" i="10"/>
  <c r="Q11" i="10"/>
  <c r="W24" i="21" s="1"/>
  <c r="C11" i="10"/>
  <c r="C44" i="10" l="1"/>
  <c r="C49" i="10" s="1"/>
  <c r="T27" i="24"/>
  <c r="U29" i="10"/>
  <c r="E12" i="6" s="1"/>
  <c r="D27" i="24"/>
  <c r="Q27" i="24" s="1"/>
  <c r="R27" i="24"/>
  <c r="S27" i="24"/>
  <c r="U44" i="10"/>
  <c r="AA18" i="10" s="1"/>
  <c r="T44" i="10"/>
  <c r="S29" i="10"/>
  <c r="T29" i="10"/>
  <c r="Q29" i="10"/>
  <c r="R29" i="10"/>
  <c r="U27" i="24" l="1"/>
  <c r="U100" i="1"/>
  <c r="T100" i="1"/>
  <c r="S100" i="1"/>
  <c r="R100" i="1"/>
  <c r="Q100" i="1"/>
  <c r="C100" i="1"/>
  <c r="C111" i="1" s="1"/>
  <c r="U89" i="1"/>
  <c r="T89" i="1"/>
  <c r="S89" i="1"/>
  <c r="R89" i="1"/>
  <c r="Q89" i="1"/>
  <c r="O73" i="1"/>
  <c r="N73" i="1"/>
  <c r="H73" i="1"/>
  <c r="G73" i="1"/>
  <c r="F73" i="1"/>
  <c r="E73" i="1"/>
  <c r="D73" i="1"/>
  <c r="S72" i="1"/>
  <c r="R72" i="1"/>
  <c r="Q72" i="1"/>
  <c r="S71" i="1"/>
  <c r="R71" i="1"/>
  <c r="Q71" i="1"/>
  <c r="S70" i="1"/>
  <c r="R70" i="1"/>
  <c r="Q70" i="1"/>
  <c r="S69" i="1"/>
  <c r="R69" i="1"/>
  <c r="Q69" i="1"/>
  <c r="U30" i="1"/>
  <c r="T30" i="1"/>
  <c r="S30" i="1"/>
  <c r="R30" i="1"/>
  <c r="Q30" i="1"/>
  <c r="C30" i="1"/>
  <c r="F18" i="23" l="1" a="1"/>
  <c r="F18" i="23" s="1"/>
  <c r="U73" i="1"/>
  <c r="C12" i="6" s="1"/>
  <c r="F12" i="6" s="1"/>
  <c r="T73" i="1"/>
  <c r="S73" i="1"/>
  <c r="R73" i="1"/>
  <c r="Q73" i="1"/>
  <c r="V73" i="1" s="1"/>
  <c r="M23" i="1" l="1"/>
  <c r="N23" i="1"/>
  <c r="M53" i="1"/>
  <c r="N53" i="1"/>
  <c r="M58" i="1"/>
  <c r="N58" i="1"/>
  <c r="M63" i="1"/>
  <c r="N63" i="1"/>
  <c r="M68" i="1"/>
  <c r="N68" i="1"/>
  <c r="Q47" i="1" l="1"/>
  <c r="R47" i="1"/>
  <c r="S47" i="1"/>
  <c r="T47" i="1"/>
  <c r="U47" i="1"/>
  <c r="U45" i="1"/>
  <c r="T45" i="1"/>
  <c r="E19" i="15" l="1"/>
  <c r="D40" i="20" l="1"/>
  <c r="D39" i="20"/>
  <c r="D38" i="20"/>
  <c r="D33" i="20"/>
  <c r="D32" i="20"/>
  <c r="D31" i="20"/>
  <c r="D30" i="20"/>
  <c r="D29" i="20"/>
  <c r="D27" i="20" s="1"/>
  <c r="D36" i="20" s="1"/>
  <c r="D26" i="20"/>
  <c r="D25" i="20"/>
  <c r="G13" i="20"/>
  <c r="G14" i="20" s="1"/>
  <c r="E14" i="20"/>
  <c r="D14" i="20"/>
  <c r="J13" i="20" l="1"/>
  <c r="J14" i="20" s="1"/>
  <c r="I13" i="20"/>
  <c r="I14" i="20" s="1"/>
  <c r="H13" i="20"/>
  <c r="H14" i="20" s="1"/>
  <c r="H19" i="20" s="1"/>
  <c r="F13" i="20"/>
  <c r="F14" i="20" s="1"/>
  <c r="E13" i="20"/>
  <c r="D13" i="20"/>
  <c r="F49" i="19"/>
  <c r="E49" i="19"/>
  <c r="D49" i="19"/>
  <c r="G48" i="19"/>
  <c r="G47" i="19"/>
  <c r="R39" i="19"/>
  <c r="Q39" i="19"/>
  <c r="P39" i="19"/>
  <c r="O39" i="19"/>
  <c r="R38" i="19"/>
  <c r="Q38" i="19"/>
  <c r="P38" i="19"/>
  <c r="O38" i="19"/>
  <c r="O35" i="19"/>
  <c r="S38" i="19" s="1"/>
  <c r="M23" i="19"/>
  <c r="G49" i="19" l="1"/>
  <c r="S39" i="19"/>
  <c r="I11" i="15" l="1"/>
  <c r="H11" i="15"/>
  <c r="G11" i="15"/>
  <c r="F11" i="15"/>
  <c r="E11" i="15"/>
  <c r="D11" i="15"/>
  <c r="C19" i="7"/>
  <c r="D19" i="7"/>
  <c r="U99" i="1" l="1"/>
  <c r="T99" i="1"/>
  <c r="S99" i="1"/>
  <c r="R99" i="1"/>
  <c r="Q99" i="1"/>
  <c r="U88" i="1"/>
  <c r="T88" i="1"/>
  <c r="S88" i="1"/>
  <c r="R88" i="1"/>
  <c r="Q88" i="1"/>
  <c r="H17" i="7"/>
  <c r="U43" i="10"/>
  <c r="Z18" i="10" s="1"/>
  <c r="T43" i="10"/>
  <c r="S43" i="10"/>
  <c r="R43" i="10"/>
  <c r="Q43" i="10"/>
  <c r="U38" i="10"/>
  <c r="J45" i="23" s="1"/>
  <c r="F51" i="23" s="1"/>
  <c r="T38" i="10"/>
  <c r="S38" i="10"/>
  <c r="R38" i="10"/>
  <c r="Q38" i="10"/>
  <c r="U18" i="10" l="1"/>
  <c r="Y15" i="10" s="1"/>
  <c r="U17" i="10"/>
  <c r="U16" i="10"/>
  <c r="U15" i="10"/>
  <c r="H24" i="10"/>
  <c r="G24" i="10"/>
  <c r="F24" i="10"/>
  <c r="E24" i="10"/>
  <c r="D24" i="10"/>
  <c r="Q50" i="10" l="1"/>
  <c r="D18" i="6"/>
  <c r="Y14" i="10"/>
  <c r="Y17" i="10" s="1"/>
  <c r="Q49" i="10"/>
  <c r="Q48" i="10"/>
  <c r="U19" i="10"/>
  <c r="H20" i="19"/>
  <c r="E10" i="6" l="1"/>
  <c r="Q24" i="10"/>
  <c r="U23" i="10"/>
  <c r="T23" i="10"/>
  <c r="S23" i="10"/>
  <c r="R23" i="10"/>
  <c r="Q23" i="10"/>
  <c r="U22" i="10"/>
  <c r="N20" i="19" s="1"/>
  <c r="T22" i="10"/>
  <c r="S22" i="10"/>
  <c r="R22" i="10"/>
  <c r="Q22" i="10"/>
  <c r="U21" i="10"/>
  <c r="T21" i="10"/>
  <c r="S21" i="10"/>
  <c r="R21" i="10"/>
  <c r="Q21" i="10"/>
  <c r="U20" i="10"/>
  <c r="F45" i="23" s="1"/>
  <c r="T20" i="10"/>
  <c r="S20" i="10"/>
  <c r="R20" i="10"/>
  <c r="Q20" i="10"/>
  <c r="G20" i="19"/>
  <c r="F20" i="19"/>
  <c r="E20" i="19"/>
  <c r="D20" i="19"/>
  <c r="U10" i="10"/>
  <c r="H21" i="19" s="1"/>
  <c r="R9" i="10"/>
  <c r="R10" i="10"/>
  <c r="E21" i="19" s="1"/>
  <c r="Q10" i="10"/>
  <c r="D21" i="19" s="1"/>
  <c r="K45" i="23" l="1"/>
  <c r="G51" i="23" s="1"/>
  <c r="G45" i="23"/>
  <c r="D19" i="19"/>
  <c r="N21" i="19"/>
  <c r="Z15" i="10"/>
  <c r="E19" i="19"/>
  <c r="E22" i="19" s="1"/>
  <c r="Z14" i="10"/>
  <c r="G19" i="19"/>
  <c r="G22" i="19" s="1"/>
  <c r="N19" i="19"/>
  <c r="Z16" i="10"/>
  <c r="E18" i="6"/>
  <c r="D22" i="19"/>
  <c r="H6" i="19" a="1"/>
  <c r="H6" i="19" s="1"/>
  <c r="I6" i="19" a="1"/>
  <c r="I6" i="19" s="1"/>
  <c r="H19" i="19"/>
  <c r="H22" i="19" s="1"/>
  <c r="N18" i="19"/>
  <c r="G6" i="19" a="1"/>
  <c r="F19" i="19"/>
  <c r="F22" i="19" s="1"/>
  <c r="U29" i="1"/>
  <c r="C49" i="7" s="1"/>
  <c r="T29" i="1"/>
  <c r="C99" i="1"/>
  <c r="C110" i="1" s="1"/>
  <c r="O68" i="1"/>
  <c r="T112" i="1" s="1"/>
  <c r="L68" i="1"/>
  <c r="K68" i="1"/>
  <c r="J68" i="1"/>
  <c r="I68" i="1"/>
  <c r="H68" i="1"/>
  <c r="G68" i="1"/>
  <c r="F68" i="1"/>
  <c r="E68" i="1"/>
  <c r="D68" i="1"/>
  <c r="H18" i="7"/>
  <c r="S67" i="1"/>
  <c r="R67" i="1"/>
  <c r="Q67" i="1"/>
  <c r="S66" i="1"/>
  <c r="R66" i="1"/>
  <c r="Q66" i="1"/>
  <c r="H16" i="7"/>
  <c r="D26" i="7" s="1"/>
  <c r="S65" i="1"/>
  <c r="R65" i="1"/>
  <c r="Q65" i="1"/>
  <c r="H15" i="7"/>
  <c r="S64" i="1"/>
  <c r="R64" i="1"/>
  <c r="Q64" i="1"/>
  <c r="C48" i="10"/>
  <c r="S112" i="1" l="1"/>
  <c r="R112" i="1"/>
  <c r="U112" i="1"/>
  <c r="Q112" i="1"/>
  <c r="E18" i="23" a="1"/>
  <c r="T111" i="1"/>
  <c r="T68" i="1"/>
  <c r="V68" i="1"/>
  <c r="U68" i="1"/>
  <c r="C11" i="6" s="1"/>
  <c r="Z17" i="10"/>
  <c r="U111" i="1"/>
  <c r="Q111" i="1"/>
  <c r="S111" i="1"/>
  <c r="R111" i="1"/>
  <c r="T110" i="1"/>
  <c r="G6" i="19"/>
  <c r="K6" i="19" s="1"/>
  <c r="K9" i="19"/>
  <c r="K10" i="19"/>
  <c r="K8" i="19"/>
  <c r="K7" i="19"/>
  <c r="H19" i="7"/>
  <c r="D25" i="7" s="1"/>
  <c r="F39" i="15" a="1"/>
  <c r="F5" i="7" a="1"/>
  <c r="S110" i="1"/>
  <c r="Q110" i="1"/>
  <c r="U110" i="1"/>
  <c r="R110" i="1"/>
  <c r="S68" i="1"/>
  <c r="R68" i="1"/>
  <c r="Q68" i="1"/>
  <c r="E18" i="23" l="1"/>
  <c r="G18" i="23" s="1"/>
  <c r="G22" i="23"/>
  <c r="G19" i="23"/>
  <c r="G20" i="23"/>
  <c r="G21" i="23"/>
  <c r="F5" i="7"/>
  <c r="F39" i="15"/>
  <c r="J39" i="15" s="1"/>
  <c r="J42" i="15"/>
  <c r="J41" i="15"/>
  <c r="J40" i="15"/>
  <c r="J43" i="15"/>
  <c r="O24" i="10"/>
  <c r="N24" i="10"/>
  <c r="M24" i="10"/>
  <c r="L24" i="10"/>
  <c r="K24" i="10"/>
  <c r="J24" i="10"/>
  <c r="S50" i="10" s="1"/>
  <c r="I24" i="10"/>
  <c r="T50" i="10" l="1"/>
  <c r="V23" i="10"/>
  <c r="U50" i="10"/>
  <c r="R50" i="10"/>
  <c r="S49" i="10"/>
  <c r="T49" i="10"/>
  <c r="U49" i="10"/>
  <c r="R49" i="10"/>
  <c r="T24" i="10"/>
  <c r="T48" i="10"/>
  <c r="R48" i="10"/>
  <c r="S48" i="10"/>
  <c r="U48" i="10"/>
  <c r="C35" i="7"/>
  <c r="S24" i="10"/>
  <c r="U24" i="10"/>
  <c r="R24" i="10"/>
  <c r="T10" i="10"/>
  <c r="G21" i="19" s="1"/>
  <c r="S10" i="10"/>
  <c r="F21" i="19" s="1"/>
  <c r="C10" i="10"/>
  <c r="N22" i="19" l="1"/>
  <c r="N23" i="19" s="1"/>
  <c r="E11" i="6"/>
  <c r="C29" i="1"/>
  <c r="S29" i="1"/>
  <c r="R29" i="1"/>
  <c r="Q29" i="1"/>
  <c r="U28" i="1" l="1"/>
  <c r="C48" i="7" s="1"/>
  <c r="D49" i="7" s="1"/>
  <c r="T28" i="1"/>
  <c r="S28" i="1"/>
  <c r="R28" i="1"/>
  <c r="Q28" i="1"/>
  <c r="G15" i="7"/>
  <c r="O63" i="1"/>
  <c r="N19" i="10" l="1"/>
  <c r="O19" i="10"/>
  <c r="O23" i="1"/>
  <c r="O53" i="1"/>
  <c r="O58" i="1"/>
  <c r="U61" i="1" l="1"/>
  <c r="G17" i="7" s="1"/>
  <c r="U62" i="1"/>
  <c r="G18" i="7" s="1"/>
  <c r="T17" i="10" l="1"/>
  <c r="S17" i="10"/>
  <c r="R17" i="10"/>
  <c r="R37" i="10"/>
  <c r="S37" i="10" l="1"/>
  <c r="T37" i="10"/>
  <c r="U42" i="10"/>
  <c r="Y18" i="10" s="1"/>
  <c r="U37" i="10"/>
  <c r="U98" i="1" l="1"/>
  <c r="C7" i="15" l="1"/>
  <c r="C10" i="15"/>
  <c r="C8" i="15"/>
  <c r="C6" i="15"/>
  <c r="C9" i="15"/>
  <c r="R87" i="1"/>
  <c r="U87" i="1"/>
  <c r="C11" i="15" l="1"/>
  <c r="S87" i="1"/>
  <c r="T87" i="1"/>
  <c r="T62" i="1"/>
  <c r="T61" i="1"/>
  <c r="U60" i="1"/>
  <c r="G16" i="7" s="1"/>
  <c r="T60" i="1"/>
  <c r="T59" i="1"/>
  <c r="C26" i="7" l="1"/>
  <c r="G19" i="7"/>
  <c r="C25" i="7" s="1"/>
  <c r="C5" i="15"/>
  <c r="U3" i="1"/>
  <c r="T42" i="10" l="1"/>
  <c r="R42" i="10"/>
  <c r="C42" i="10"/>
  <c r="C47" i="10" s="1"/>
  <c r="M19" i="10"/>
  <c r="T19" i="10" s="1"/>
  <c r="L19" i="10"/>
  <c r="J19" i="10"/>
  <c r="I19" i="10"/>
  <c r="R19" i="10" s="1"/>
  <c r="T18" i="10"/>
  <c r="S18" i="10"/>
  <c r="R18" i="10"/>
  <c r="T16" i="10"/>
  <c r="S16" i="10"/>
  <c r="R16" i="10"/>
  <c r="T15" i="10"/>
  <c r="R15" i="10"/>
  <c r="U9" i="10"/>
  <c r="T9" i="10"/>
  <c r="S9" i="10"/>
  <c r="C9" i="10"/>
  <c r="U4" i="10"/>
  <c r="T4" i="10"/>
  <c r="S4" i="10"/>
  <c r="R4" i="10"/>
  <c r="U2" i="10"/>
  <c r="S42" i="10" l="1"/>
  <c r="S15" i="10"/>
  <c r="K19" i="10"/>
  <c r="S19" i="10" s="1"/>
  <c r="R47" i="10"/>
  <c r="T47" i="10" l="1"/>
  <c r="U47" i="10"/>
  <c r="Y21" i="10" s="1"/>
  <c r="S47" i="10"/>
  <c r="E58" i="1" l="1"/>
  <c r="F58" i="1"/>
  <c r="G58" i="1"/>
  <c r="H58" i="1"/>
  <c r="I58" i="1"/>
  <c r="J58" i="1"/>
  <c r="K58" i="1"/>
  <c r="L58" i="1"/>
  <c r="D58" i="1"/>
  <c r="Q55" i="1"/>
  <c r="R55" i="1"/>
  <c r="S55" i="1"/>
  <c r="T55" i="1"/>
  <c r="U55" i="1"/>
  <c r="F16" i="7" s="1"/>
  <c r="U27" i="1"/>
  <c r="C47" i="7" s="1"/>
  <c r="T27" i="1"/>
  <c r="V58" i="1" l="1"/>
  <c r="U58" i="1"/>
  <c r="C9" i="6" s="1"/>
  <c r="D48" i="7"/>
  <c r="Q51" i="1"/>
  <c r="R51" i="1"/>
  <c r="S51" i="1"/>
  <c r="T51" i="1"/>
  <c r="U51" i="1"/>
  <c r="E16" i="7" s="1"/>
  <c r="Q50" i="1"/>
  <c r="E53" i="1"/>
  <c r="F53" i="1"/>
  <c r="G53" i="1"/>
  <c r="H53" i="1"/>
  <c r="I53" i="1"/>
  <c r="J53" i="1"/>
  <c r="K53" i="1"/>
  <c r="L53" i="1"/>
  <c r="D53" i="1"/>
  <c r="U53" i="1" l="1"/>
  <c r="C8" i="6" s="1"/>
  <c r="Q98" i="1" l="1"/>
  <c r="F8" i="6" l="1"/>
  <c r="F11" i="6"/>
  <c r="G12" i="6" s="1"/>
  <c r="F9" i="6"/>
  <c r="T105" i="1"/>
  <c r="S105" i="1"/>
  <c r="R105" i="1"/>
  <c r="Q105" i="1"/>
  <c r="T104" i="1"/>
  <c r="S104" i="1"/>
  <c r="R104" i="1"/>
  <c r="Q104" i="1"/>
  <c r="U104" i="1"/>
  <c r="U105" i="1"/>
  <c r="U93" i="1"/>
  <c r="T98" i="1"/>
  <c r="S98" i="1"/>
  <c r="R98" i="1"/>
  <c r="T97" i="1"/>
  <c r="S97" i="1"/>
  <c r="R97" i="1"/>
  <c r="Q97" i="1"/>
  <c r="T96" i="1"/>
  <c r="S96" i="1"/>
  <c r="R96" i="1"/>
  <c r="Q96" i="1"/>
  <c r="T95" i="1"/>
  <c r="S95" i="1"/>
  <c r="R95" i="1"/>
  <c r="Q95" i="1"/>
  <c r="Q94" i="1"/>
  <c r="T94" i="1"/>
  <c r="S94" i="1"/>
  <c r="R94" i="1"/>
  <c r="T93" i="1"/>
  <c r="S93" i="1"/>
  <c r="R93" i="1"/>
  <c r="Q93" i="1"/>
  <c r="U97" i="1"/>
  <c r="U96" i="1"/>
  <c r="U95" i="1"/>
  <c r="U94" i="1"/>
  <c r="U82" i="1"/>
  <c r="Q87" i="1"/>
  <c r="T86" i="1"/>
  <c r="S86" i="1"/>
  <c r="R86" i="1"/>
  <c r="Q86" i="1"/>
  <c r="T85" i="1"/>
  <c r="S85" i="1"/>
  <c r="R85" i="1"/>
  <c r="Q85" i="1"/>
  <c r="T84" i="1"/>
  <c r="S84" i="1"/>
  <c r="R84" i="1"/>
  <c r="Q84" i="1"/>
  <c r="T83" i="1"/>
  <c r="S83" i="1"/>
  <c r="R83" i="1"/>
  <c r="Q83" i="1"/>
  <c r="T82" i="1"/>
  <c r="S82" i="1"/>
  <c r="R82" i="1"/>
  <c r="Q82" i="1"/>
  <c r="U86" i="1"/>
  <c r="U85" i="1"/>
  <c r="U84" i="1"/>
  <c r="U83" i="1"/>
  <c r="S62" i="1"/>
  <c r="R62" i="1"/>
  <c r="Q62" i="1"/>
  <c r="S61" i="1"/>
  <c r="R61" i="1"/>
  <c r="Q61" i="1"/>
  <c r="S60" i="1"/>
  <c r="R60" i="1"/>
  <c r="Q60" i="1"/>
  <c r="S59" i="1"/>
  <c r="R59" i="1"/>
  <c r="Q59" i="1"/>
  <c r="T57" i="1"/>
  <c r="S57" i="1"/>
  <c r="R57" i="1"/>
  <c r="Q57" i="1"/>
  <c r="T56" i="1"/>
  <c r="S56" i="1"/>
  <c r="R56" i="1"/>
  <c r="Q56" i="1"/>
  <c r="T54" i="1"/>
  <c r="S54" i="1"/>
  <c r="R54" i="1"/>
  <c r="Q54" i="1"/>
  <c r="T52" i="1"/>
  <c r="S52" i="1"/>
  <c r="R52" i="1"/>
  <c r="Q52" i="1"/>
  <c r="T50" i="1"/>
  <c r="S50" i="1"/>
  <c r="R50" i="1"/>
  <c r="T48" i="1"/>
  <c r="S48" i="1"/>
  <c r="R48" i="1"/>
  <c r="Q48" i="1"/>
  <c r="T46" i="1"/>
  <c r="S46" i="1"/>
  <c r="R46" i="1"/>
  <c r="Q46" i="1"/>
  <c r="S45" i="1"/>
  <c r="R45" i="1"/>
  <c r="Q45" i="1"/>
  <c r="T42" i="1"/>
  <c r="S42" i="1"/>
  <c r="R42" i="1"/>
  <c r="Q42" i="1"/>
  <c r="T40" i="1"/>
  <c r="S40" i="1"/>
  <c r="R40" i="1"/>
  <c r="Q40" i="1"/>
  <c r="T38" i="1"/>
  <c r="S38" i="1"/>
  <c r="R38" i="1"/>
  <c r="Q38" i="1"/>
  <c r="T36" i="1"/>
  <c r="S36" i="1"/>
  <c r="R36" i="1"/>
  <c r="Q36" i="1"/>
  <c r="T34" i="1"/>
  <c r="S34" i="1"/>
  <c r="R34" i="1"/>
  <c r="Q34" i="1"/>
  <c r="S27" i="1"/>
  <c r="R27" i="1"/>
  <c r="Q27" i="1"/>
  <c r="T26" i="1"/>
  <c r="S26" i="1"/>
  <c r="R26" i="1"/>
  <c r="Q26" i="1"/>
  <c r="T25" i="1"/>
  <c r="S25" i="1"/>
  <c r="R25" i="1"/>
  <c r="Q25" i="1"/>
  <c r="T24" i="1"/>
  <c r="R23" i="1"/>
  <c r="Q23" i="1"/>
  <c r="T22" i="1"/>
  <c r="S22" i="1"/>
  <c r="R22" i="1"/>
  <c r="Q22" i="1"/>
  <c r="S21" i="1"/>
  <c r="R21" i="1"/>
  <c r="Q21" i="1"/>
  <c r="T20" i="1"/>
  <c r="S20" i="1"/>
  <c r="R20" i="1"/>
  <c r="Q20" i="1"/>
  <c r="T19" i="1"/>
  <c r="S19" i="1"/>
  <c r="R19" i="1"/>
  <c r="Q19" i="1"/>
  <c r="T13" i="1"/>
  <c r="S13" i="1"/>
  <c r="R13" i="1"/>
  <c r="T12" i="1"/>
  <c r="S12" i="1"/>
  <c r="R12" i="1"/>
  <c r="T11" i="1"/>
  <c r="S11" i="1"/>
  <c r="R11" i="1"/>
  <c r="T10" i="1"/>
  <c r="S10" i="1"/>
  <c r="R10" i="1"/>
  <c r="T9" i="1"/>
  <c r="S9" i="1"/>
  <c r="R9" i="1"/>
  <c r="T8" i="1"/>
  <c r="S8" i="1"/>
  <c r="R8" i="1"/>
  <c r="T7" i="1"/>
  <c r="S7" i="1"/>
  <c r="R7" i="1"/>
  <c r="T6" i="1"/>
  <c r="S6" i="1"/>
  <c r="R6" i="1"/>
  <c r="T5" i="1"/>
  <c r="S5" i="1"/>
  <c r="R5" i="1"/>
  <c r="Q13" i="1"/>
  <c r="Q12" i="1"/>
  <c r="Q11" i="1"/>
  <c r="Q10" i="1"/>
  <c r="Q9" i="1"/>
  <c r="Q8" i="1"/>
  <c r="Q7" i="1"/>
  <c r="Q6" i="1"/>
  <c r="U5" i="1"/>
  <c r="U57" i="1"/>
  <c r="F18" i="7" s="1"/>
  <c r="U56" i="1"/>
  <c r="F17" i="7" s="1"/>
  <c r="U54" i="1"/>
  <c r="U52" i="1"/>
  <c r="E17" i="7" s="1"/>
  <c r="E15" i="7"/>
  <c r="U48" i="1"/>
  <c r="U46" i="1"/>
  <c r="C6" i="6"/>
  <c r="F6" i="6" s="1"/>
  <c r="U42" i="1"/>
  <c r="U40" i="1"/>
  <c r="U34" i="1"/>
  <c r="U26" i="1"/>
  <c r="U25" i="1"/>
  <c r="U22" i="1"/>
  <c r="U20" i="1"/>
  <c r="U12" i="1"/>
  <c r="U11" i="1"/>
  <c r="U10" i="1"/>
  <c r="U9" i="1"/>
  <c r="U8" i="1"/>
  <c r="U7" i="1"/>
  <c r="U6" i="1"/>
  <c r="C4" i="6" l="1"/>
  <c r="F4" i="6" s="1"/>
  <c r="C5" i="6"/>
  <c r="F5" i="6" s="1"/>
  <c r="G5" i="6" s="1"/>
  <c r="W38" i="1"/>
  <c r="W42" i="1"/>
  <c r="W34" i="1"/>
  <c r="D18" i="23" a="1"/>
  <c r="D18" i="23" s="1"/>
  <c r="V42" i="1"/>
  <c r="X42" i="1"/>
  <c r="Y34" i="1"/>
  <c r="Y38" i="1"/>
  <c r="Y42" i="1"/>
  <c r="X34" i="1"/>
  <c r="V34" i="1"/>
  <c r="W36" i="1"/>
  <c r="X36" i="1"/>
  <c r="V36" i="1"/>
  <c r="V40" i="1"/>
  <c r="X40" i="1"/>
  <c r="W40" i="1"/>
  <c r="F15" i="7"/>
  <c r="F19" i="7" s="1"/>
  <c r="B25" i="7" s="1"/>
  <c r="Y36" i="1"/>
  <c r="Y40" i="1"/>
  <c r="V38" i="1"/>
  <c r="X38" i="1"/>
  <c r="G9" i="6"/>
  <c r="E5" i="7" a="1"/>
  <c r="H6" i="7" s="1"/>
  <c r="E19" i="7"/>
  <c r="G6" i="6"/>
  <c r="D5" i="7" a="1"/>
  <c r="D5" i="7" s="1"/>
  <c r="C33" i="7" s="1"/>
  <c r="C5" i="7" a="1"/>
  <c r="C5" i="7" s="1"/>
  <c r="C32" i="7" s="1"/>
  <c r="B26" i="7"/>
  <c r="C46" i="7"/>
  <c r="D47" i="7" s="1"/>
  <c r="D46" i="7"/>
  <c r="D32" i="7"/>
  <c r="H9" i="7" l="1"/>
  <c r="E5" i="7"/>
  <c r="C34" i="7" s="1"/>
  <c r="H8" i="7"/>
  <c r="H7" i="7"/>
  <c r="G8" i="7"/>
  <c r="G7" i="7"/>
  <c r="D33" i="7"/>
  <c r="G6" i="7"/>
  <c r="G9" i="7"/>
  <c r="G5" i="7"/>
  <c r="H5" i="7" l="1"/>
  <c r="D35" i="7"/>
  <c r="D34" i="7"/>
  <c r="C98" i="1"/>
  <c r="C109" i="1" s="1"/>
  <c r="L63" i="1"/>
  <c r="K63" i="1"/>
  <c r="J63" i="1"/>
  <c r="I63" i="1"/>
  <c r="H63" i="1"/>
  <c r="G63" i="1"/>
  <c r="F63" i="1"/>
  <c r="E63" i="1"/>
  <c r="D63" i="1"/>
  <c r="V63" i="1" l="1"/>
  <c r="W41" i="21" s="1"/>
  <c r="U63" i="1"/>
  <c r="C10" i="6" s="1"/>
  <c r="F10" i="6" s="1"/>
  <c r="U109" i="1"/>
  <c r="T109" i="1"/>
  <c r="T63" i="1"/>
  <c r="S109" i="1"/>
  <c r="S63" i="1"/>
  <c r="R109" i="1"/>
  <c r="R63" i="1"/>
  <c r="Q63" i="1"/>
  <c r="Q109" i="1"/>
  <c r="C39" i="15" l="1" a="1"/>
  <c r="C39" i="15" s="1"/>
  <c r="G11" i="6"/>
  <c r="G10" i="6"/>
  <c r="S108" i="1"/>
  <c r="S58" i="1"/>
  <c r="T108" i="1"/>
  <c r="T58" i="1"/>
  <c r="Q108" i="1"/>
  <c r="U108" i="1"/>
  <c r="Q58" i="1"/>
  <c r="R108" i="1"/>
  <c r="R58" i="1"/>
  <c r="C97" i="1"/>
  <c r="C108" i="1" s="1"/>
  <c r="C27" i="1"/>
  <c r="U38" i="1" l="1"/>
  <c r="U36" i="1"/>
  <c r="J24" i="1"/>
  <c r="I24" i="1"/>
  <c r="H24" i="1"/>
  <c r="G24" i="1"/>
  <c r="F24" i="1"/>
  <c r="E24" i="1"/>
  <c r="D24" i="1"/>
  <c r="L23" i="1"/>
  <c r="U19" i="1"/>
  <c r="U2" i="1"/>
  <c r="R106" i="1" l="1"/>
  <c r="R49" i="1"/>
  <c r="S24" i="1"/>
  <c r="S106" i="1"/>
  <c r="S49" i="1"/>
  <c r="R107" i="1"/>
  <c r="R53" i="1"/>
  <c r="U24" i="1"/>
  <c r="Q24" i="1"/>
  <c r="T106" i="1"/>
  <c r="T49" i="1"/>
  <c r="S107" i="1"/>
  <c r="S53" i="1"/>
  <c r="Q49" i="1"/>
  <c r="Q106" i="1"/>
  <c r="U49" i="1"/>
  <c r="C7" i="6" s="1"/>
  <c r="F7" i="6" s="1"/>
  <c r="C34" i="6" s="1" a="1"/>
  <c r="C34" i="6" s="1"/>
  <c r="U106" i="1"/>
  <c r="R24" i="1"/>
  <c r="U23" i="1"/>
  <c r="S23" i="1"/>
  <c r="U107" i="1"/>
  <c r="Q107" i="1"/>
  <c r="Q53" i="1"/>
  <c r="T23" i="1"/>
  <c r="T107" i="1"/>
  <c r="T53" i="1"/>
  <c r="U21" i="1"/>
  <c r="T21" i="1"/>
  <c r="G7" i="6" l="1"/>
  <c r="G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16" authorId="0" shapeId="0" xr:uid="{F15577A6-D886-4D12-9B4B-98B90177E2B1}">
      <text>
        <r>
          <rPr>
            <b/>
            <sz val="9"/>
            <color indexed="81"/>
            <rFont val="Tahoma"/>
            <family val="2"/>
          </rPr>
          <t>DPU Is Not Working. Due to 2G Network not available.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<sst xmlns="http://schemas.openxmlformats.org/spreadsheetml/2006/main" count="1267" uniqueCount="248">
  <si>
    <t>Milk Procurement Historical Data- BIHAR</t>
  </si>
  <si>
    <t>Particulas</t>
  </si>
  <si>
    <t>UOM</t>
  </si>
  <si>
    <t>Months</t>
  </si>
  <si>
    <t>May</t>
  </si>
  <si>
    <t>No. of MPGs</t>
  </si>
  <si>
    <t>Nos</t>
  </si>
  <si>
    <t>FY 14-15</t>
  </si>
  <si>
    <t>FY 15-16</t>
  </si>
  <si>
    <t>FY 16-17</t>
  </si>
  <si>
    <t>FY 17-18</t>
  </si>
  <si>
    <t>FY 18-19</t>
  </si>
  <si>
    <t>FY 19-20</t>
  </si>
  <si>
    <t>FY 20-21</t>
  </si>
  <si>
    <t>FY 21-22</t>
  </si>
  <si>
    <t>Farmers</t>
  </si>
  <si>
    <t>KG</t>
  </si>
  <si>
    <t>Own Network</t>
  </si>
  <si>
    <t>Vendor</t>
  </si>
  <si>
    <t>Pouring/MPG</t>
  </si>
  <si>
    <t>Supply chain Cost</t>
  </si>
  <si>
    <t>Rs/Kg</t>
  </si>
  <si>
    <t>Network Milk @ 4% &amp; 8.5%</t>
  </si>
  <si>
    <t>Landed Cost</t>
  </si>
  <si>
    <t>Overall Milk @ 4% &amp; 8.5%</t>
  </si>
  <si>
    <t>Apr</t>
  </si>
  <si>
    <t>Jun</t>
  </si>
  <si>
    <t>Aug</t>
  </si>
  <si>
    <t>Oct</t>
  </si>
  <si>
    <t>Nov</t>
  </si>
  <si>
    <t>Dec</t>
  </si>
  <si>
    <t>Feb</t>
  </si>
  <si>
    <t>FY 22-23</t>
  </si>
  <si>
    <t>Transfer</t>
  </si>
  <si>
    <t>Q1</t>
  </si>
  <si>
    <t>Q2</t>
  </si>
  <si>
    <t>Q3</t>
  </si>
  <si>
    <t>Q4</t>
  </si>
  <si>
    <t>FY 23-24</t>
  </si>
  <si>
    <t>Moo Mark</t>
  </si>
  <si>
    <t>FY</t>
  </si>
  <si>
    <t>Avg Milk/Day @4%</t>
  </si>
  <si>
    <t>Quarterly</t>
  </si>
  <si>
    <t>Jul</t>
  </si>
  <si>
    <t>Sep</t>
  </si>
  <si>
    <t>Jan</t>
  </si>
  <si>
    <t>Mar</t>
  </si>
  <si>
    <t>Milk Procurement Historical Data_WB</t>
  </si>
  <si>
    <t>Parameters</t>
  </si>
  <si>
    <t>YTD</t>
  </si>
  <si>
    <t>BIHAR: MILK COLLECTION (000 Kg/day)</t>
  </si>
  <si>
    <t>Period</t>
  </si>
  <si>
    <t>Plan</t>
  </si>
  <si>
    <t>Collection</t>
  </si>
  <si>
    <t>BR</t>
  </si>
  <si>
    <t>WB</t>
  </si>
  <si>
    <t>3P</t>
  </si>
  <si>
    <t>Outside</t>
  </si>
  <si>
    <t>Total</t>
  </si>
  <si>
    <t>Q4 OL</t>
  </si>
  <si>
    <t>Reqt</t>
  </si>
  <si>
    <t>Actual</t>
  </si>
  <si>
    <t>Moomark</t>
  </si>
  <si>
    <t>Outside Milk</t>
  </si>
  <si>
    <t>JH</t>
  </si>
  <si>
    <t>GOLY</t>
  </si>
  <si>
    <t>Year</t>
  </si>
  <si>
    <t>2017-18</t>
  </si>
  <si>
    <t>2018-19</t>
  </si>
  <si>
    <t>2019-20</t>
  </si>
  <si>
    <t>2020-21</t>
  </si>
  <si>
    <t>2021-22</t>
  </si>
  <si>
    <t>2022-23</t>
  </si>
  <si>
    <t>21-22</t>
  </si>
  <si>
    <t>22-23</t>
  </si>
  <si>
    <t>23-24</t>
  </si>
  <si>
    <t>Q4 (OL)</t>
  </si>
  <si>
    <t>GOFY23</t>
  </si>
  <si>
    <t>000"kg/day</t>
  </si>
  <si>
    <t>Pouring Farmers</t>
  </si>
  <si>
    <t>*000 Farmers</t>
  </si>
  <si>
    <t>Network</t>
  </si>
  <si>
    <t>Commission</t>
  </si>
  <si>
    <t>Requirement</t>
  </si>
  <si>
    <t>Particulars</t>
  </si>
  <si>
    <t>Network Vol</t>
  </si>
  <si>
    <t>Procurement</t>
  </si>
  <si>
    <t>Inward</t>
  </si>
  <si>
    <t>Chilling</t>
  </si>
  <si>
    <t>Outward</t>
  </si>
  <si>
    <t>NGO Cost</t>
  </si>
  <si>
    <t>Network SCC</t>
  </si>
  <si>
    <t>Total Landed Cost</t>
  </si>
  <si>
    <t>2023-24</t>
  </si>
  <si>
    <t>2024-25</t>
  </si>
  <si>
    <t>WB Transfer</t>
  </si>
  <si>
    <t>Milk Procurement Historical Data- Jharkhand</t>
  </si>
  <si>
    <t xml:space="preserve">Actual </t>
  </si>
  <si>
    <t>FY 24-25</t>
  </si>
  <si>
    <t>Sources</t>
  </si>
  <si>
    <t>24-25</t>
  </si>
  <si>
    <t xml:space="preserve"> BIHAR Network Vol (MT)</t>
  </si>
  <si>
    <t>GOFY24</t>
  </si>
  <si>
    <t>OUTSIDE MILK IN BIHAR</t>
  </si>
  <si>
    <t>25% (34MT/day)</t>
  </si>
  <si>
    <t>20% (29MT/day)</t>
  </si>
  <si>
    <t>Network Volume Growth</t>
  </si>
  <si>
    <t>Outlook</t>
  </si>
  <si>
    <t xml:space="preserve">Network </t>
  </si>
  <si>
    <t>Network Milk</t>
  </si>
  <si>
    <t xml:space="preserve">Moomark </t>
  </si>
  <si>
    <t>Overall Cost</t>
  </si>
  <si>
    <t>Bihar Network Volume Supply Chain Cost</t>
  </si>
  <si>
    <t>Bihar Source wise milk cost FY 24-25</t>
  </si>
  <si>
    <t>Bihar source wise milk cost</t>
  </si>
  <si>
    <t>FY24-25</t>
  </si>
  <si>
    <t>LY 23-24</t>
  </si>
  <si>
    <t>Plan 24-25</t>
  </si>
  <si>
    <t>Collection 24-25</t>
  </si>
  <si>
    <t>JHARKHAND: MILK COLLECTION (000 Kg/day)</t>
  </si>
  <si>
    <t>Transfer In</t>
  </si>
  <si>
    <t>Out sourcing</t>
  </si>
  <si>
    <t>JH Supply to CMU</t>
  </si>
  <si>
    <t>WB, Bihar</t>
  </si>
  <si>
    <t>Moo Mark,</t>
  </si>
  <si>
    <t xml:space="preserve"> Jalgaon</t>
  </si>
  <si>
    <t>OUTSIDE MILK IN JH</t>
  </si>
  <si>
    <t xml:space="preserve"> 77%
(16MT/day)</t>
  </si>
  <si>
    <t>Vol Kg @4%</t>
  </si>
  <si>
    <t>Network Efficiency</t>
  </si>
  <si>
    <t>Network Milk Vol (kg/day)</t>
  </si>
  <si>
    <t>MPGs-Nos</t>
  </si>
  <si>
    <t>Farmers-Nos</t>
  </si>
  <si>
    <t>Outside Milk%</t>
  </si>
  <si>
    <t>Cluster</t>
  </si>
  <si>
    <t>Opening</t>
  </si>
  <si>
    <t>Expansion</t>
  </si>
  <si>
    <t>Closed</t>
  </si>
  <si>
    <t>Out-look</t>
  </si>
  <si>
    <t>Ranchi</t>
  </si>
  <si>
    <t>Lohardaga</t>
  </si>
  <si>
    <t>Plant Requirement : 24-25 (Actual)</t>
  </si>
  <si>
    <t>April</t>
  </si>
  <si>
    <t>June</t>
  </si>
  <si>
    <t>July</t>
  </si>
  <si>
    <t>Nov,</t>
  </si>
  <si>
    <t>25-26</t>
  </si>
  <si>
    <t>Years</t>
  </si>
  <si>
    <t>Milk Volume</t>
  </si>
  <si>
    <t>MPG Number</t>
  </si>
  <si>
    <t>Farmer Number</t>
  </si>
  <si>
    <t>Vol/MPG</t>
  </si>
  <si>
    <t>Growth% from LY</t>
  </si>
  <si>
    <t>Annual</t>
  </si>
  <si>
    <t>Farm Gate</t>
  </si>
  <si>
    <t>Network Plant Gate Cost</t>
  </si>
  <si>
    <t>Moomark Volume</t>
  </si>
  <si>
    <t>Moomark Cost</t>
  </si>
  <si>
    <t>3p Vendor Volume</t>
  </si>
  <si>
    <t>3p Vendor Cost</t>
  </si>
  <si>
    <t>Total Landed Cost (Rs/kg)</t>
  </si>
  <si>
    <t>Only Yellow to be be filled</t>
  </si>
  <si>
    <t>Details</t>
  </si>
  <si>
    <t>ITC</t>
  </si>
  <si>
    <t xml:space="preserve">Sudha </t>
  </si>
  <si>
    <t xml:space="preserve">BR </t>
  </si>
  <si>
    <t xml:space="preserve">JH </t>
  </si>
  <si>
    <t>Volume (Kgs)</t>
  </si>
  <si>
    <t>Price Paid To Farmer (Rs./Kg)</t>
  </si>
  <si>
    <t>Supply Chain Cost (Rs./Kg)</t>
  </si>
  <si>
    <t>Weight Volume Gain</t>
  </si>
  <si>
    <t>Inward Freight</t>
  </si>
  <si>
    <t>Outward Freight</t>
  </si>
  <si>
    <t>Overheads</t>
  </si>
  <si>
    <t>Processing Cost</t>
  </si>
  <si>
    <t>Bihar to Jharkhand (Outward)</t>
  </si>
  <si>
    <t xml:space="preserve"> Network Procurement (Rs./Kg)</t>
  </si>
  <si>
    <t>Milk Transfer Cost (Rs./Kg)</t>
  </si>
  <si>
    <t> Rs 42.80</t>
  </si>
  <si>
    <t>Moomark Cost (Rs./Kg)</t>
  </si>
  <si>
    <t>Outside State Milk (Rs./Kg)</t>
  </si>
  <si>
    <t>Total Raw Milk Cost (Rs./Kg)</t>
  </si>
  <si>
    <t>Savings over Competition</t>
  </si>
  <si>
    <t>Rs/kg</t>
  </si>
  <si>
    <t>61%
(20MT/day)</t>
  </si>
  <si>
    <t>Updated on 31st Dec</t>
  </si>
  <si>
    <t>(YTD Dec'24)</t>
  </si>
  <si>
    <t>Jan Mar: 2024-25 (OL)</t>
  </si>
  <si>
    <t>Sudha Network Milk Cost Comparison - Jharkhand - YTD- Dec'24</t>
  </si>
  <si>
    <t>2024-25 (YTD Dec)</t>
  </si>
  <si>
    <t>Jan Mar: 2024-25</t>
  </si>
  <si>
    <t>30% (48MT/day)</t>
  </si>
  <si>
    <t>Ok</t>
  </si>
  <si>
    <t>FY 25-26</t>
  </si>
  <si>
    <t>No of State</t>
  </si>
  <si>
    <t>No of MPG</t>
  </si>
  <si>
    <t>No of Farmers</t>
  </si>
  <si>
    <t>No of District</t>
  </si>
  <si>
    <t>Total milk procured</t>
  </si>
  <si>
    <t>Network SCC@ 4% &amp; 8.5%</t>
  </si>
  <si>
    <t>UoM</t>
  </si>
  <si>
    <t xml:space="preserve"> Milk Producing Group (MPG)</t>
  </si>
  <si>
    <t>Nos.</t>
  </si>
  <si>
    <t xml:space="preserve"> Milk Volume </t>
  </si>
  <si>
    <t>Kg./Day</t>
  </si>
  <si>
    <t xml:space="preserve"> Farmers </t>
  </si>
  <si>
    <t xml:space="preserve"> Bulk Milk Chiller (BMC)</t>
  </si>
  <si>
    <t xml:space="preserve"> BMC Capacity</t>
  </si>
  <si>
    <t>KL/Day</t>
  </si>
  <si>
    <t xml:space="preserve"> BMC Utilization %</t>
  </si>
  <si>
    <t xml:space="preserve"> Rapid Milk Chiller (RMC) </t>
  </si>
  <si>
    <t xml:space="preserve"> RMC Utilization %</t>
  </si>
  <si>
    <t>YTD Sep’25</t>
  </si>
  <si>
    <t>BIHAR</t>
  </si>
  <si>
    <t>Milk Procurement Historical Data- Overall</t>
  </si>
  <si>
    <t>ALL</t>
  </si>
  <si>
    <t>No of MPGs</t>
  </si>
  <si>
    <t>Oustide Volume</t>
  </si>
  <si>
    <t>Total Volume</t>
  </si>
  <si>
    <t>Network Cost</t>
  </si>
  <si>
    <t>Outside Cost</t>
  </si>
  <si>
    <t>Total Cost</t>
  </si>
  <si>
    <t>Supply Chain Cost</t>
  </si>
  <si>
    <t>Transfer Vol</t>
  </si>
  <si>
    <t>Transfer Cost</t>
  </si>
  <si>
    <t>Total Vol</t>
  </si>
  <si>
    <t>Total SCC</t>
  </si>
  <si>
    <t>PY 25-26</t>
  </si>
  <si>
    <t>Vol Kg/day</t>
  </si>
  <si>
    <t>PY 1</t>
  </si>
  <si>
    <t>PY 3</t>
  </si>
  <si>
    <t>PY 5</t>
  </si>
  <si>
    <t>Capacity Utilization</t>
  </si>
  <si>
    <t>LY</t>
  </si>
  <si>
    <t>CY</t>
  </si>
  <si>
    <t>FY 26-27</t>
  </si>
  <si>
    <t>3P Network</t>
  </si>
  <si>
    <t>2025-26</t>
  </si>
  <si>
    <t>No of Plant</t>
  </si>
  <si>
    <t>2026-27 Plan</t>
  </si>
  <si>
    <t>PY-1</t>
  </si>
  <si>
    <t>PY-2</t>
  </si>
  <si>
    <t>PY-3</t>
  </si>
  <si>
    <t>PY-4</t>
  </si>
  <si>
    <t>PY-5</t>
  </si>
  <si>
    <t>Supply chain Milk @ 4% &amp; 8.5%</t>
  </si>
  <si>
    <t>Network Landed Cost</t>
  </si>
  <si>
    <t>Overall 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</si>
</sst>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mmmmm;@"/>
    <numFmt numFmtId="165" formatCode="0.0"/>
  </numFmts>
  <fonts count="52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2"/>
      <color rgb="FFFFFFFF"/>
      <name val="Calibri"/>
      <family val="2"/>
    </font>
    <font>
      <sz val="12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FF00"/>
      <name val="Arial"/>
      <family val="2"/>
    </font>
    <font>
      <sz val="11"/>
      <color theme="0" tint="-0.499984740745262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rgb="FFFFFF00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rgb="FFFFFFFF"/>
      <name val="Bookman Old Style"/>
      <family val="1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i/>
      <sz val="11"/>
      <color rgb="FF000000"/>
      <name val="Bookman Old Style"/>
      <family val="1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7" borderId="0" applyNumberFormat="0" applyBorder="0" applyAlignment="0" applyProtection="0"/>
    <xf numFmtId="9" fontId="6" fillId="0" borderId="0" applyFont="0" applyFill="0" applyBorder="0" applyAlignment="0" applyProtection="0"/>
  </cellStyleXfs>
  <cellXfs count="281">
    <xf numFmtId="0" fontId="0" fillId="0" borderId="0" xfId="0"/>
    <xf numFmtId="0" fontId="1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left" indent="1"/>
    </xf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2" fontId="3" fillId="4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13" fillId="7" borderId="1" xfId="3" applyFont="1" applyBorder="1" applyAlignment="1">
      <alignment horizontal="center" vertical="center"/>
    </xf>
    <xf numFmtId="0" fontId="13" fillId="7" borderId="1" xfId="3" applyFont="1" applyBorder="1"/>
    <xf numFmtId="0" fontId="3" fillId="8" borderId="1" xfId="0" applyFont="1" applyFill="1" applyBorder="1"/>
    <xf numFmtId="0" fontId="4" fillId="8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3" fillId="0" borderId="1" xfId="0" applyFont="1" applyBorder="1"/>
    <xf numFmtId="1" fontId="3" fillId="5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16" fillId="11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/>
    </xf>
    <xf numFmtId="1" fontId="18" fillId="3" borderId="1" xfId="0" applyNumberFormat="1" applyFont="1" applyFill="1" applyBorder="1" applyAlignment="1">
      <alignment horizontal="center"/>
    </xf>
    <xf numFmtId="1" fontId="3" fillId="12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 readingOrder="1"/>
    </xf>
    <xf numFmtId="9" fontId="0" fillId="0" borderId="1" xfId="4" applyFont="1" applyBorder="1" applyAlignment="1">
      <alignment horizontal="center"/>
    </xf>
    <xf numFmtId="0" fontId="19" fillId="13" borderId="1" xfId="0" applyFont="1" applyFill="1" applyBorder="1" applyAlignment="1">
      <alignment horizontal="center" vertical="center" wrapText="1" readingOrder="1"/>
    </xf>
    <xf numFmtId="165" fontId="0" fillId="0" borderId="1" xfId="0" applyNumberForma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3" fontId="3" fillId="0" borderId="0" xfId="2" applyFont="1" applyAlignment="1">
      <alignment horizontal="left"/>
    </xf>
    <xf numFmtId="0" fontId="23" fillId="9" borderId="17" xfId="0" applyFont="1" applyFill="1" applyBorder="1" applyAlignment="1">
      <alignment horizontal="center" vertical="center" wrapText="1"/>
    </xf>
    <xf numFmtId="0" fontId="23" fillId="9" borderId="16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0" fillId="13" borderId="15" xfId="0" applyFont="1" applyFill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 wrapText="1"/>
    </xf>
    <xf numFmtId="1" fontId="24" fillId="0" borderId="16" xfId="0" applyNumberFormat="1" applyFont="1" applyBorder="1" applyAlignment="1">
      <alignment horizontal="center" vertical="center" wrapText="1"/>
    </xf>
    <xf numFmtId="1" fontId="20" fillId="13" borderId="16" xfId="0" applyNumberFormat="1" applyFont="1" applyFill="1" applyBorder="1" applyAlignment="1">
      <alignment horizontal="center" vertical="center" wrapText="1"/>
    </xf>
    <xf numFmtId="9" fontId="3" fillId="0" borderId="0" xfId="4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4" fillId="6" borderId="1" xfId="0" applyFont="1" applyFill="1" applyBorder="1"/>
    <xf numFmtId="0" fontId="4" fillId="0" borderId="0" xfId="0" applyFont="1" applyAlignment="1">
      <alignment vertical="center"/>
    </xf>
    <xf numFmtId="1" fontId="18" fillId="5" borderId="1" xfId="0" applyNumberFormat="1" applyFont="1" applyFill="1" applyBorder="1" applyAlignment="1">
      <alignment horizontal="center"/>
    </xf>
    <xf numFmtId="1" fontId="17" fillId="4" borderId="1" xfId="0" applyNumberFormat="1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2" fontId="17" fillId="0" borderId="6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9" fontId="0" fillId="0" borderId="0" xfId="4" applyFont="1" applyBorder="1" applyAlignment="1">
      <alignment horizontal="center"/>
    </xf>
    <xf numFmtId="0" fontId="14" fillId="9" borderId="1" xfId="0" applyFont="1" applyFill="1" applyBorder="1" applyAlignment="1">
      <alignment horizontal="left" wrapText="1" readingOrder="1"/>
    </xf>
    <xf numFmtId="0" fontId="14" fillId="9" borderId="1" xfId="0" applyFont="1" applyFill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left" wrapText="1" readingOrder="1"/>
    </xf>
    <xf numFmtId="1" fontId="26" fillId="0" borderId="1" xfId="0" applyNumberFormat="1" applyFont="1" applyBorder="1" applyAlignment="1">
      <alignment horizontal="center" wrapText="1" readingOrder="1"/>
    </xf>
    <xf numFmtId="0" fontId="26" fillId="0" borderId="1" xfId="0" applyFont="1" applyBorder="1" applyAlignment="1">
      <alignment horizontal="center" vertical="center" wrapText="1" readingOrder="1"/>
    </xf>
    <xf numFmtId="0" fontId="26" fillId="13" borderId="1" xfId="0" applyFont="1" applyFill="1" applyBorder="1" applyAlignment="1">
      <alignment horizontal="left" wrapText="1" readingOrder="1"/>
    </xf>
    <xf numFmtId="1" fontId="26" fillId="13" borderId="1" xfId="0" applyNumberFormat="1" applyFont="1" applyFill="1" applyBorder="1" applyAlignment="1">
      <alignment horizontal="center" wrapText="1" readingOrder="1"/>
    </xf>
    <xf numFmtId="9" fontId="27" fillId="0" borderId="1" xfId="4" applyFont="1" applyBorder="1" applyAlignment="1">
      <alignment horizontal="center"/>
    </xf>
    <xf numFmtId="9" fontId="26" fillId="13" borderId="1" xfId="4" applyFont="1" applyFill="1" applyBorder="1" applyAlignment="1">
      <alignment horizontal="center" wrapText="1" readingOrder="1"/>
    </xf>
    <xf numFmtId="0" fontId="15" fillId="9" borderId="20" xfId="0" applyFont="1" applyFill="1" applyBorder="1" applyAlignment="1">
      <alignment horizontal="center" wrapText="1" readingOrder="1"/>
    </xf>
    <xf numFmtId="0" fontId="15" fillId="9" borderId="10" xfId="0" applyFont="1" applyFill="1" applyBorder="1" applyAlignment="1">
      <alignment horizontal="center" wrapText="1" readingOrder="1"/>
    </xf>
    <xf numFmtId="0" fontId="26" fillId="0" borderId="10" xfId="0" applyFont="1" applyBorder="1" applyAlignment="1">
      <alignment horizontal="center" wrapText="1" readingOrder="1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 wrapText="1" readingOrder="1"/>
    </xf>
    <xf numFmtId="0" fontId="21" fillId="9" borderId="1" xfId="0" applyFont="1" applyFill="1" applyBorder="1" applyAlignment="1">
      <alignment horizontal="center" wrapText="1" readingOrder="1"/>
    </xf>
    <xf numFmtId="9" fontId="29" fillId="0" borderId="0" xfId="4" applyFont="1" applyAlignment="1">
      <alignment horizontal="center" wrapText="1"/>
    </xf>
    <xf numFmtId="1" fontId="29" fillId="0" borderId="0" xfId="0" applyNumberFormat="1" applyFont="1" applyAlignment="1">
      <alignment horizontal="center" wrapText="1"/>
    </xf>
    <xf numFmtId="0" fontId="26" fillId="14" borderId="1" xfId="0" applyFont="1" applyFill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left" vertical="center" wrapText="1" readingOrder="1"/>
    </xf>
    <xf numFmtId="1" fontId="26" fillId="0" borderId="1" xfId="0" applyNumberFormat="1" applyFont="1" applyBorder="1" applyAlignment="1">
      <alignment horizontal="center" vertical="center" wrapText="1" readingOrder="1"/>
    </xf>
    <xf numFmtId="2" fontId="26" fillId="0" borderId="1" xfId="0" applyNumberFormat="1" applyFont="1" applyBorder="1" applyAlignment="1">
      <alignment horizontal="center" vertical="center" wrapText="1" readingOrder="1"/>
    </xf>
    <xf numFmtId="0" fontId="26" fillId="15" borderId="1" xfId="0" applyFont="1" applyFill="1" applyBorder="1" applyAlignment="1">
      <alignment horizontal="left" vertical="center" wrapText="1" readingOrder="1"/>
    </xf>
    <xf numFmtId="2" fontId="26" fillId="15" borderId="1" xfId="0" applyNumberFormat="1" applyFont="1" applyFill="1" applyBorder="1" applyAlignment="1">
      <alignment horizontal="center" vertical="center" wrapText="1" readingOrder="1"/>
    </xf>
    <xf numFmtId="0" fontId="32" fillId="9" borderId="10" xfId="0" applyFont="1" applyFill="1" applyBorder="1" applyAlignment="1">
      <alignment horizontal="center" vertical="center" wrapText="1" readingOrder="1"/>
    </xf>
    <xf numFmtId="0" fontId="32" fillId="9" borderId="25" xfId="0" applyFont="1" applyFill="1" applyBorder="1" applyAlignment="1">
      <alignment horizontal="center" vertical="center" wrapText="1" readingOrder="1"/>
    </xf>
    <xf numFmtId="0" fontId="32" fillId="9" borderId="26" xfId="0" applyFont="1" applyFill="1" applyBorder="1" applyAlignment="1">
      <alignment horizontal="center" vertical="center" wrapText="1" readingOrder="1"/>
    </xf>
    <xf numFmtId="165" fontId="33" fillId="0" borderId="10" xfId="0" applyNumberFormat="1" applyFont="1" applyBorder="1" applyAlignment="1">
      <alignment horizontal="center" wrapText="1" readingOrder="1"/>
    </xf>
    <xf numFmtId="0" fontId="33" fillId="0" borderId="20" xfId="0" applyFont="1" applyBorder="1" applyAlignment="1">
      <alignment horizontal="center" wrapText="1" readingOrder="1"/>
    </xf>
    <xf numFmtId="0" fontId="33" fillId="0" borderId="10" xfId="0" applyFont="1" applyBorder="1" applyAlignment="1">
      <alignment horizontal="center" wrapText="1" readingOrder="1"/>
    </xf>
    <xf numFmtId="165" fontId="34" fillId="13" borderId="10" xfId="0" applyNumberFormat="1" applyFont="1" applyFill="1" applyBorder="1" applyAlignment="1">
      <alignment horizontal="center" wrapText="1" readingOrder="1"/>
    </xf>
    <xf numFmtId="0" fontId="34" fillId="13" borderId="10" xfId="0" applyFont="1" applyFill="1" applyBorder="1" applyAlignment="1">
      <alignment horizontal="center" wrapText="1" readingOrder="1"/>
    </xf>
    <xf numFmtId="0" fontId="26" fillId="0" borderId="10" xfId="0" applyFont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left" indent="1"/>
    </xf>
    <xf numFmtId="1" fontId="4" fillId="5" borderId="1" xfId="0" applyNumberFormat="1" applyFont="1" applyFill="1" applyBorder="1" applyAlignment="1">
      <alignment horizontal="center"/>
    </xf>
    <xf numFmtId="0" fontId="35" fillId="14" borderId="1" xfId="0" applyFont="1" applyFill="1" applyBorder="1" applyAlignment="1">
      <alignment horizontal="center" vertical="center" wrapText="1" readingOrder="1"/>
    </xf>
    <xf numFmtId="0" fontId="1" fillId="5" borderId="28" xfId="0" applyFont="1" applyFill="1" applyBorder="1" applyAlignment="1">
      <alignment horizontal="left" indent="1"/>
    </xf>
    <xf numFmtId="9" fontId="0" fillId="0" borderId="0" xfId="4" applyFont="1"/>
    <xf numFmtId="0" fontId="26" fillId="0" borderId="0" xfId="0" applyFont="1" applyAlignment="1">
      <alignment horizontal="left" vertical="center" wrapText="1" readingOrder="1"/>
    </xf>
    <xf numFmtId="0" fontId="36" fillId="14" borderId="30" xfId="0" applyFont="1" applyFill="1" applyBorder="1" applyAlignment="1">
      <alignment horizontal="center" vertical="center" wrapText="1"/>
    </xf>
    <xf numFmtId="17" fontId="34" fillId="14" borderId="15" xfId="0" applyNumberFormat="1" applyFont="1" applyFill="1" applyBorder="1" applyAlignment="1">
      <alignment horizontal="center" vertical="center" wrapText="1" readingOrder="1"/>
    </xf>
    <xf numFmtId="17" fontId="34" fillId="14" borderId="32" xfId="0" applyNumberFormat="1" applyFont="1" applyFill="1" applyBorder="1" applyAlignment="1">
      <alignment horizontal="center" wrapText="1" readingOrder="1"/>
    </xf>
    <xf numFmtId="17" fontId="34" fillId="14" borderId="11" xfId="0" applyNumberFormat="1" applyFont="1" applyFill="1" applyBorder="1" applyAlignment="1">
      <alignment horizontal="center" wrapText="1" readingOrder="1"/>
    </xf>
    <xf numFmtId="0" fontId="33" fillId="0" borderId="32" xfId="0" applyFont="1" applyBorder="1" applyAlignment="1">
      <alignment horizontal="left" wrapText="1" readingOrder="1"/>
    </xf>
    <xf numFmtId="0" fontId="33" fillId="0" borderId="32" xfId="0" applyFont="1" applyBorder="1" applyAlignment="1">
      <alignment horizontal="center" vertical="center" wrapText="1" readingOrder="1"/>
    </xf>
    <xf numFmtId="0" fontId="33" fillId="0" borderId="32" xfId="0" applyFont="1" applyBorder="1" applyAlignment="1">
      <alignment horizontal="center" wrapText="1" readingOrder="1"/>
    </xf>
    <xf numFmtId="0" fontId="33" fillId="0" borderId="19" xfId="0" applyFont="1" applyBorder="1" applyAlignment="1">
      <alignment horizontal="center" wrapText="1" readingOrder="1"/>
    </xf>
    <xf numFmtId="0" fontId="33" fillId="0" borderId="11" xfId="0" applyFont="1" applyBorder="1" applyAlignment="1">
      <alignment horizontal="center" wrapText="1" readingOrder="1"/>
    </xf>
    <xf numFmtId="0" fontId="38" fillId="9" borderId="32" xfId="0" applyFont="1" applyFill="1" applyBorder="1" applyAlignment="1">
      <alignment horizontal="center" wrapText="1" readingOrder="1"/>
    </xf>
    <xf numFmtId="0" fontId="38" fillId="9" borderId="15" xfId="0" applyFont="1" applyFill="1" applyBorder="1" applyAlignment="1">
      <alignment horizontal="center" wrapText="1" readingOrder="1"/>
    </xf>
    <xf numFmtId="0" fontId="39" fillId="16" borderId="33" xfId="0" applyFont="1" applyFill="1" applyBorder="1" applyAlignment="1">
      <alignment horizontal="center" vertical="center"/>
    </xf>
    <xf numFmtId="0" fontId="39" fillId="16" borderId="38" xfId="0" applyFont="1" applyFill="1" applyBorder="1" applyAlignment="1">
      <alignment horizontal="center" vertical="center"/>
    </xf>
    <xf numFmtId="0" fontId="39" fillId="16" borderId="39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9" fillId="0" borderId="33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wrapText="1"/>
    </xf>
    <xf numFmtId="0" fontId="40" fillId="17" borderId="10" xfId="0" applyFont="1" applyFill="1" applyBorder="1" applyAlignment="1">
      <alignment horizontal="center" wrapText="1" readingOrder="1"/>
    </xf>
    <xf numFmtId="0" fontId="35" fillId="0" borderId="10" xfId="0" applyFont="1" applyBorder="1" applyAlignment="1">
      <alignment horizontal="center" wrapText="1" readingOrder="1"/>
    </xf>
    <xf numFmtId="1" fontId="26" fillId="0" borderId="10" xfId="0" applyNumberFormat="1" applyFont="1" applyBorder="1" applyAlignment="1">
      <alignment horizontal="center" wrapText="1" readingOrder="1"/>
    </xf>
    <xf numFmtId="2" fontId="26" fillId="0" borderId="10" xfId="0" applyNumberFormat="1" applyFont="1" applyBorder="1" applyAlignment="1">
      <alignment horizontal="center" wrapText="1" readingOrder="1"/>
    </xf>
    <xf numFmtId="2" fontId="15" fillId="9" borderId="10" xfId="0" applyNumberFormat="1" applyFont="1" applyFill="1" applyBorder="1" applyAlignment="1">
      <alignment horizontal="center" wrapText="1" readingOrder="1"/>
    </xf>
    <xf numFmtId="2" fontId="0" fillId="0" borderId="0" xfId="0" applyNumberFormat="1"/>
    <xf numFmtId="0" fontId="41" fillId="9" borderId="1" xfId="0" applyFont="1" applyFill="1" applyBorder="1" applyAlignment="1">
      <alignment horizontal="center" vertical="center" wrapText="1" readingOrder="1"/>
    </xf>
    <xf numFmtId="0" fontId="42" fillId="0" borderId="1" xfId="0" applyFont="1" applyBorder="1" applyAlignment="1">
      <alignment horizontal="left" vertical="center" wrapText="1" readingOrder="1"/>
    </xf>
    <xf numFmtId="0" fontId="42" fillId="16" borderId="1" xfId="0" applyFont="1" applyFill="1" applyBorder="1" applyAlignment="1">
      <alignment horizontal="center" vertical="center" wrapText="1" readingOrder="1"/>
    </xf>
    <xf numFmtId="0" fontId="42" fillId="0" borderId="1" xfId="0" applyFont="1" applyBorder="1" applyAlignment="1">
      <alignment horizontal="center" vertical="center" wrapText="1" readingOrder="1"/>
    </xf>
    <xf numFmtId="0" fontId="42" fillId="18" borderId="1" xfId="0" applyFont="1" applyFill="1" applyBorder="1" applyAlignment="1">
      <alignment horizontal="left" vertical="center" wrapText="1" readingOrder="1"/>
    </xf>
    <xf numFmtId="0" fontId="43" fillId="16" borderId="1" xfId="0" applyFont="1" applyFill="1" applyBorder="1" applyAlignment="1">
      <alignment horizontal="center" vertical="center" wrapText="1" readingOrder="1"/>
    </xf>
    <xf numFmtId="0" fontId="43" fillId="18" borderId="1" xfId="0" applyFont="1" applyFill="1" applyBorder="1" applyAlignment="1">
      <alignment horizontal="center" vertical="center" wrapText="1" readingOrder="1"/>
    </xf>
    <xf numFmtId="0" fontId="42" fillId="19" borderId="1" xfId="0" applyFont="1" applyFill="1" applyBorder="1" applyAlignment="1">
      <alignment horizontal="left" vertical="center" wrapText="1" readingOrder="1"/>
    </xf>
    <xf numFmtId="0" fontId="44" fillId="18" borderId="1" xfId="0" applyFont="1" applyFill="1" applyBorder="1" applyAlignment="1">
      <alignment horizontal="left" vertical="center" wrapText="1" readingOrder="1"/>
    </xf>
    <xf numFmtId="0" fontId="44" fillId="16" borderId="1" xfId="0" applyFont="1" applyFill="1" applyBorder="1" applyAlignment="1">
      <alignment horizontal="center" vertical="center" wrapText="1" readingOrder="1"/>
    </xf>
    <xf numFmtId="0" fontId="44" fillId="18" borderId="1" xfId="0" applyFont="1" applyFill="1" applyBorder="1" applyAlignment="1">
      <alignment horizontal="center" vertical="center" wrapText="1" readingOrder="1"/>
    </xf>
    <xf numFmtId="0" fontId="45" fillId="0" borderId="0" xfId="0" applyFont="1"/>
    <xf numFmtId="1" fontId="42" fillId="0" borderId="1" xfId="0" applyNumberFormat="1" applyFont="1" applyBorder="1" applyAlignment="1">
      <alignment horizontal="center" vertical="center" wrapText="1" readingOrder="1"/>
    </xf>
    <xf numFmtId="2" fontId="42" fillId="0" borderId="1" xfId="0" applyNumberFormat="1" applyFont="1" applyBorder="1" applyAlignment="1">
      <alignment horizontal="center" vertical="center" wrapText="1" readingOrder="1"/>
    </xf>
    <xf numFmtId="2" fontId="43" fillId="18" borderId="1" xfId="0" applyNumberFormat="1" applyFont="1" applyFill="1" applyBorder="1" applyAlignment="1">
      <alignment horizontal="center" vertical="center" wrapText="1" readingOrder="1"/>
    </xf>
    <xf numFmtId="2" fontId="42" fillId="19" borderId="1" xfId="0" applyNumberFormat="1" applyFont="1" applyFill="1" applyBorder="1" applyAlignment="1">
      <alignment horizontal="center" vertical="center" wrapText="1" readingOrder="1"/>
    </xf>
    <xf numFmtId="1" fontId="3" fillId="0" borderId="0" xfId="0" applyNumberFormat="1" applyFont="1" applyAlignment="1">
      <alignment horizontal="left"/>
    </xf>
    <xf numFmtId="1" fontId="3" fillId="16" borderId="1" xfId="0" applyNumberFormat="1" applyFont="1" applyFill="1" applyBorder="1" applyAlignment="1">
      <alignment horizontal="center"/>
    </xf>
    <xf numFmtId="2" fontId="17" fillId="4" borderId="1" xfId="0" applyNumberFormat="1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/>
    </xf>
    <xf numFmtId="2" fontId="5" fillId="4" borderId="6" xfId="0" applyNumberFormat="1" applyFont="1" applyFill="1" applyBorder="1" applyAlignment="1">
      <alignment horizontal="center"/>
    </xf>
    <xf numFmtId="2" fontId="17" fillId="4" borderId="6" xfId="0" applyNumberFormat="1" applyFont="1" applyFill="1" applyBorder="1" applyAlignment="1">
      <alignment horizontal="center"/>
    </xf>
    <xf numFmtId="2" fontId="3" fillId="12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" fontId="3" fillId="0" borderId="0" xfId="0" applyNumberFormat="1" applyFont="1"/>
    <xf numFmtId="0" fontId="16" fillId="9" borderId="1" xfId="0" applyFont="1" applyFill="1" applyBorder="1" applyAlignment="1">
      <alignment horizontal="center"/>
    </xf>
    <xf numFmtId="0" fontId="3" fillId="20" borderId="1" xfId="0" applyFont="1" applyFill="1" applyBorder="1"/>
    <xf numFmtId="0" fontId="4" fillId="20" borderId="1" xfId="0" applyFont="1" applyFill="1" applyBorder="1" applyAlignment="1">
      <alignment horizontal="center"/>
    </xf>
    <xf numFmtId="1" fontId="3" fillId="20" borderId="1" xfId="0" applyNumberFormat="1" applyFont="1" applyFill="1" applyBorder="1" applyAlignment="1">
      <alignment horizontal="center"/>
    </xf>
    <xf numFmtId="0" fontId="3" fillId="21" borderId="1" xfId="0" applyFont="1" applyFill="1" applyBorder="1"/>
    <xf numFmtId="0" fontId="4" fillId="21" borderId="1" xfId="0" applyFont="1" applyFill="1" applyBorder="1" applyAlignment="1">
      <alignment horizontal="center"/>
    </xf>
    <xf numFmtId="1" fontId="3" fillId="21" borderId="1" xfId="0" applyNumberFormat="1" applyFont="1" applyFill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9" fontId="3" fillId="0" borderId="0" xfId="4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48" fillId="15" borderId="32" xfId="0" applyFont="1" applyFill="1" applyBorder="1" applyAlignment="1">
      <alignment horizontal="center" vertical="center" readingOrder="1"/>
    </xf>
    <xf numFmtId="0" fontId="46" fillId="15" borderId="32" xfId="0" applyFont="1" applyFill="1" applyBorder="1" applyAlignment="1">
      <alignment horizontal="left" vertical="center" readingOrder="1"/>
    </xf>
    <xf numFmtId="0" fontId="46" fillId="15" borderId="32" xfId="0" applyFont="1" applyFill="1" applyBorder="1" applyAlignment="1">
      <alignment horizontal="center" vertical="center" readingOrder="1"/>
    </xf>
    <xf numFmtId="0" fontId="49" fillId="15" borderId="32" xfId="0" applyFont="1" applyFill="1" applyBorder="1" applyAlignment="1">
      <alignment horizontal="center" vertical="center"/>
    </xf>
    <xf numFmtId="1" fontId="46" fillId="15" borderId="32" xfId="0" applyNumberFormat="1" applyFont="1" applyFill="1" applyBorder="1" applyAlignment="1">
      <alignment horizontal="center" vertical="center" readingOrder="1"/>
    </xf>
    <xf numFmtId="1" fontId="4" fillId="0" borderId="1" xfId="0" applyNumberFormat="1" applyFont="1" applyBorder="1" applyAlignment="1">
      <alignment horizontal="center"/>
    </xf>
    <xf numFmtId="0" fontId="50" fillId="15" borderId="32" xfId="0" applyFont="1" applyFill="1" applyBorder="1" applyAlignment="1">
      <alignment horizontal="center" vertical="center" readingOrder="1"/>
    </xf>
    <xf numFmtId="9" fontId="50" fillId="15" borderId="32" xfId="0" applyNumberFormat="1" applyFont="1" applyFill="1" applyBorder="1" applyAlignment="1">
      <alignment horizontal="center" vertical="center" readingOrder="1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3" fontId="0" fillId="0" borderId="1" xfId="2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10" fillId="9" borderId="0" xfId="0" applyFont="1" applyFill="1" applyAlignment="1">
      <alignment horizontal="center"/>
    </xf>
    <xf numFmtId="43" fontId="0" fillId="0" borderId="1" xfId="2" applyFont="1" applyBorder="1" applyAlignment="1"/>
    <xf numFmtId="0" fontId="35" fillId="22" borderId="10" xfId="0" applyFont="1" applyFill="1" applyBorder="1" applyAlignment="1">
      <alignment horizontal="left" wrapText="1" readingOrder="1"/>
    </xf>
    <xf numFmtId="0" fontId="35" fillId="22" borderId="10" xfId="0" applyFont="1" applyFill="1" applyBorder="1" applyAlignment="1">
      <alignment horizontal="center" vertical="center" wrapText="1" readingOrder="1"/>
    </xf>
    <xf numFmtId="0" fontId="35" fillId="22" borderId="1" xfId="0" applyFont="1" applyFill="1" applyBorder="1" applyAlignment="1">
      <alignment horizontal="center" vertical="center" wrapText="1" readingOrder="1"/>
    </xf>
    <xf numFmtId="0" fontId="26" fillId="0" borderId="10" xfId="0" applyFont="1" applyBorder="1" applyAlignment="1">
      <alignment horizontal="left" wrapText="1" readingOrder="1"/>
    </xf>
    <xf numFmtId="0" fontId="26" fillId="13" borderId="10" xfId="0" applyFont="1" applyFill="1" applyBorder="1" applyAlignment="1">
      <alignment horizontal="left" wrapText="1" readingOrder="1"/>
    </xf>
    <xf numFmtId="1" fontId="26" fillId="13" borderId="10" xfId="0" applyNumberFormat="1" applyFont="1" applyFill="1" applyBorder="1" applyAlignment="1">
      <alignment horizontal="center" wrapText="1" readingOrder="1"/>
    </xf>
    <xf numFmtId="9" fontId="26" fillId="13" borderId="1" xfId="0" applyNumberFormat="1" applyFont="1" applyFill="1" applyBorder="1" applyAlignment="1">
      <alignment horizontal="center" vertical="center" wrapText="1" readingOrder="1"/>
    </xf>
    <xf numFmtId="0" fontId="26" fillId="13" borderId="22" xfId="0" applyFont="1" applyFill="1" applyBorder="1" applyAlignment="1">
      <alignment horizontal="center" vertical="center" wrapText="1" readingOrder="1"/>
    </xf>
    <xf numFmtId="1" fontId="26" fillId="13" borderId="22" xfId="0" applyNumberFormat="1" applyFont="1" applyFill="1" applyBorder="1" applyAlignment="1">
      <alignment horizontal="center" vertical="center" wrapText="1" readingOrder="1"/>
    </xf>
    <xf numFmtId="1" fontId="0" fillId="0" borderId="1" xfId="0" applyNumberFormat="1" applyBorder="1"/>
    <xf numFmtId="0" fontId="0" fillId="0" borderId="1" xfId="2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9" fontId="0" fillId="0" borderId="1" xfId="2" applyNumberFormat="1" applyFont="1" applyBorder="1" applyAlignment="1">
      <alignment horizontal="center"/>
    </xf>
    <xf numFmtId="2" fontId="3" fillId="0" borderId="0" xfId="0" applyNumberFormat="1" applyFont="1"/>
    <xf numFmtId="2" fontId="3" fillId="0" borderId="0" xfId="4" applyNumberFormat="1" applyFont="1" applyBorder="1" applyAlignment="1">
      <alignment horizontal="center"/>
    </xf>
    <xf numFmtId="3" fontId="0" fillId="0" borderId="0" xfId="0" applyNumberFormat="1"/>
    <xf numFmtId="0" fontId="47" fillId="0" borderId="1" xfId="0" applyFont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51" fillId="0" borderId="9" xfId="0" applyFont="1" applyBorder="1" applyAlignment="1">
      <alignment horizontal="center"/>
    </xf>
    <xf numFmtId="0" fontId="26" fillId="14" borderId="1" xfId="0" applyFont="1" applyFill="1" applyBorder="1" applyAlignment="1">
      <alignment horizontal="center" vertical="center" wrapText="1" readingOrder="1"/>
    </xf>
    <xf numFmtId="0" fontId="30" fillId="10" borderId="1" xfId="0" applyFont="1" applyFill="1" applyBorder="1" applyAlignment="1">
      <alignment horizontal="center"/>
    </xf>
    <xf numFmtId="0" fontId="25" fillId="9" borderId="11" xfId="0" applyFont="1" applyFill="1" applyBorder="1" applyAlignment="1">
      <alignment horizontal="center" vertical="center" wrapText="1"/>
    </xf>
    <xf numFmtId="0" fontId="25" fillId="9" borderId="12" xfId="0" applyFont="1" applyFill="1" applyBorder="1" applyAlignment="1">
      <alignment horizontal="center" vertical="center" wrapText="1"/>
    </xf>
    <xf numFmtId="0" fontId="25" fillId="9" borderId="13" xfId="0" applyFont="1" applyFill="1" applyBorder="1" applyAlignment="1">
      <alignment horizontal="center" vertical="center" wrapText="1"/>
    </xf>
    <xf numFmtId="0" fontId="23" fillId="9" borderId="14" xfId="0" applyFont="1" applyFill="1" applyBorder="1" applyAlignment="1">
      <alignment horizontal="center" vertical="center" wrapText="1"/>
    </xf>
    <xf numFmtId="0" fontId="23" fillId="9" borderId="15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23" fillId="9" borderId="13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/>
    </xf>
    <xf numFmtId="0" fontId="14" fillId="9" borderId="9" xfId="0" applyFont="1" applyFill="1" applyBorder="1" applyAlignment="1">
      <alignment horizontal="center" wrapText="1" readingOrder="1"/>
    </xf>
    <xf numFmtId="0" fontId="28" fillId="9" borderId="7" xfId="0" applyFont="1" applyFill="1" applyBorder="1" applyAlignment="1">
      <alignment horizontal="center" wrapText="1" readingOrder="1"/>
    </xf>
    <xf numFmtId="0" fontId="28" fillId="9" borderId="8" xfId="0" applyFont="1" applyFill="1" applyBorder="1" applyAlignment="1">
      <alignment horizontal="center" wrapText="1" readingOrder="1"/>
    </xf>
    <xf numFmtId="0" fontId="28" fillId="9" borderId="21" xfId="0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horizontal="center"/>
    </xf>
    <xf numFmtId="0" fontId="31" fillId="9" borderId="22" xfId="0" applyFont="1" applyFill="1" applyBorder="1" applyAlignment="1">
      <alignment horizontal="center" vertical="center" wrapText="1" readingOrder="1"/>
    </xf>
    <xf numFmtId="0" fontId="31" fillId="9" borderId="23" xfId="0" applyFont="1" applyFill="1" applyBorder="1" applyAlignment="1">
      <alignment horizontal="center" vertical="center" wrapText="1" readingOrder="1"/>
    </xf>
    <xf numFmtId="0" fontId="31" fillId="9" borderId="24" xfId="0" applyFont="1" applyFill="1" applyBorder="1" applyAlignment="1">
      <alignment horizontal="center" vertical="center" wrapText="1" readingOrder="1"/>
    </xf>
    <xf numFmtId="0" fontId="32" fillId="9" borderId="25" xfId="0" applyFont="1" applyFill="1" applyBorder="1" applyAlignment="1">
      <alignment horizontal="center" vertical="center" wrapText="1" readingOrder="1"/>
    </xf>
    <xf numFmtId="0" fontId="32" fillId="9" borderId="26" xfId="0" applyFont="1" applyFill="1" applyBorder="1" applyAlignment="1">
      <alignment horizontal="center" vertical="center" wrapText="1" readingOrder="1"/>
    </xf>
    <xf numFmtId="0" fontId="32" fillId="9" borderId="27" xfId="0" applyFont="1" applyFill="1" applyBorder="1" applyAlignment="1">
      <alignment horizontal="center" vertical="center" wrapText="1" readingOrder="1"/>
    </xf>
    <xf numFmtId="0" fontId="39" fillId="16" borderId="35" xfId="0" applyFont="1" applyFill="1" applyBorder="1" applyAlignment="1">
      <alignment horizontal="center" vertical="center"/>
    </xf>
    <xf numFmtId="0" fontId="39" fillId="16" borderId="36" xfId="0" applyFont="1" applyFill="1" applyBorder="1" applyAlignment="1">
      <alignment horizontal="center" vertical="center"/>
    </xf>
    <xf numFmtId="0" fontId="39" fillId="16" borderId="37" xfId="0" applyFont="1" applyFill="1" applyBorder="1" applyAlignment="1">
      <alignment horizontal="center" vertical="center"/>
    </xf>
    <xf numFmtId="0" fontId="28" fillId="9" borderId="7" xfId="0" applyFont="1" applyFill="1" applyBorder="1" applyAlignment="1">
      <alignment horizontal="center" vertical="center" wrapText="1" readingOrder="1"/>
    </xf>
    <xf numFmtId="0" fontId="28" fillId="9" borderId="8" xfId="0" applyFont="1" applyFill="1" applyBorder="1" applyAlignment="1">
      <alignment horizontal="center" vertical="center" wrapText="1" readingOrder="1"/>
    </xf>
    <xf numFmtId="0" fontId="28" fillId="9" borderId="2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34" fillId="14" borderId="14" xfId="0" applyFont="1" applyFill="1" applyBorder="1" applyAlignment="1">
      <alignment horizontal="center" vertical="center" wrapText="1" readingOrder="1"/>
    </xf>
    <xf numFmtId="0" fontId="34" fillId="14" borderId="15" xfId="0" applyFont="1" applyFill="1" applyBorder="1" applyAlignment="1">
      <alignment horizontal="center" vertical="center" wrapText="1" readingOrder="1"/>
    </xf>
    <xf numFmtId="0" fontId="34" fillId="14" borderId="29" xfId="0" applyFont="1" applyFill="1" applyBorder="1" applyAlignment="1">
      <alignment horizontal="center" vertical="center" wrapText="1" readingOrder="1"/>
    </xf>
    <xf numFmtId="0" fontId="37" fillId="14" borderId="12" xfId="0" applyFont="1" applyFill="1" applyBorder="1" applyAlignment="1">
      <alignment horizontal="center" wrapText="1"/>
    </xf>
    <xf numFmtId="0" fontId="34" fillId="14" borderId="31" xfId="0" applyFont="1" applyFill="1" applyBorder="1" applyAlignment="1">
      <alignment horizontal="center" vertical="center" wrapText="1" readingOrder="1"/>
    </xf>
    <xf numFmtId="0" fontId="34" fillId="14" borderId="33" xfId="0" applyFont="1" applyFill="1" applyBorder="1" applyAlignment="1">
      <alignment horizontal="center" vertical="center" wrapText="1" readingOrder="1"/>
    </xf>
    <xf numFmtId="0" fontId="34" fillId="14" borderId="31" xfId="0" applyFont="1" applyFill="1" applyBorder="1" applyAlignment="1">
      <alignment horizontal="center" wrapText="1" readingOrder="1"/>
    </xf>
    <xf numFmtId="0" fontId="34" fillId="14" borderId="34" xfId="0" applyFont="1" applyFill="1" applyBorder="1" applyAlignment="1">
      <alignment horizontal="center" wrapText="1" readingOrder="1"/>
    </xf>
    <xf numFmtId="0" fontId="40" fillId="17" borderId="25" xfId="0" applyFont="1" applyFill="1" applyBorder="1" applyAlignment="1">
      <alignment horizontal="center" wrapText="1" readingOrder="1"/>
    </xf>
    <xf numFmtId="0" fontId="40" fillId="17" borderId="26" xfId="0" applyFont="1" applyFill="1" applyBorder="1" applyAlignment="1">
      <alignment horizontal="center" wrapText="1" readingOrder="1"/>
    </xf>
    <xf numFmtId="0" fontId="40" fillId="17" borderId="22" xfId="0" applyFont="1" applyFill="1" applyBorder="1" applyAlignment="1">
      <alignment horizontal="center" wrapText="1" readingOrder="1"/>
    </xf>
    <xf numFmtId="0" fontId="40" fillId="17" borderId="24" xfId="0" applyFont="1" applyFill="1" applyBorder="1" applyAlignment="1">
      <alignment horizontal="center" wrapText="1" readingOrder="1"/>
    </xf>
    <xf numFmtId="0" fontId="40" fillId="17" borderId="41" xfId="0" applyFont="1" applyFill="1" applyBorder="1" applyAlignment="1">
      <alignment horizontal="center" wrapText="1" readingOrder="1"/>
    </xf>
    <xf numFmtId="0" fontId="40" fillId="17" borderId="7" xfId="0" applyFont="1" applyFill="1" applyBorder="1" applyAlignment="1">
      <alignment horizontal="center" wrapText="1" readingOrder="1"/>
    </xf>
    <xf numFmtId="0" fontId="40" fillId="17" borderId="40" xfId="0" applyFont="1" applyFill="1" applyBorder="1" applyAlignment="1">
      <alignment horizontal="center" wrapText="1" readingOrder="1"/>
    </xf>
    <xf numFmtId="0" fontId="40" fillId="17" borderId="42" xfId="0" applyFont="1" applyFill="1" applyBorder="1" applyAlignment="1">
      <alignment horizontal="center" wrapText="1" readingOrder="1"/>
    </xf>
    <xf numFmtId="0" fontId="40" fillId="17" borderId="43" xfId="0" applyFont="1" applyFill="1" applyBorder="1" applyAlignment="1">
      <alignment horizontal="center" wrapText="1" readingOrder="1"/>
    </xf>
    <xf numFmtId="0" fontId="42" fillId="0" borderId="1" xfId="0" applyFont="1" applyBorder="1" applyAlignment="1">
      <alignment horizontal="center" vertical="center" wrapText="1" readingOrder="1"/>
    </xf>
    <xf numFmtId="0" fontId="0" fillId="0" borderId="18" xfId="0" applyBorder="1" applyAlignment="1">
      <alignment horizontal="center"/>
    </xf>
    <xf numFmtId="0" fontId="41" fillId="9" borderId="29" xfId="0" applyFont="1" applyFill="1" applyBorder="1" applyAlignment="1">
      <alignment horizontal="center" vertical="center" wrapText="1" readingOrder="1"/>
    </xf>
    <xf numFmtId="0" fontId="41" fillId="9" borderId="44" xfId="0" applyFont="1" applyFill="1" applyBorder="1" applyAlignment="1">
      <alignment horizontal="center" vertical="center" wrapText="1" readingOrder="1"/>
    </xf>
    <xf numFmtId="0" fontId="41" fillId="9" borderId="45" xfId="0" applyFont="1" applyFill="1" applyBorder="1" applyAlignment="1">
      <alignment horizontal="center" vertical="center" wrapText="1" readingOrder="1"/>
    </xf>
    <xf numFmtId="0" fontId="41" fillId="9" borderId="1" xfId="0" applyFont="1" applyFill="1" applyBorder="1" applyAlignment="1">
      <alignment horizontal="left" vertical="center" wrapText="1" readingOrder="1"/>
    </xf>
    <xf numFmtId="0" fontId="41" fillId="9" borderId="1" xfId="0" applyFont="1" applyFill="1" applyBorder="1" applyAlignment="1">
      <alignment horizontal="center" vertical="center" wrapText="1" readingOrder="1"/>
    </xf>
    <xf numFmtId="0" fontId="43" fillId="0" borderId="1" xfId="0" applyFont="1" applyBorder="1" applyAlignment="1">
      <alignment horizontal="center" vertical="center" wrapText="1" readingOrder="1"/>
    </xf>
    <xf numFmtId="0" fontId="43" fillId="19" borderId="1" xfId="0" applyFont="1" applyFill="1" applyBorder="1" applyAlignment="1">
      <alignment horizontal="center" vertical="center" wrapText="1" readingOrder="1"/>
    </xf>
    <xf numFmtId="0" fontId="44" fillId="18" borderId="1" xfId="0" applyFont="1" applyFill="1" applyBorder="1" applyAlignment="1">
      <alignment horizontal="center" vertical="center" wrapText="1" readingOrder="1"/>
    </xf>
    <xf numFmtId="0" fontId="43" fillId="18" borderId="1" xfId="0" applyFont="1" applyFill="1" applyBorder="1" applyAlignment="1">
      <alignment horizontal="center" vertical="center" wrapText="1" readingOrder="1"/>
    </xf>
  </cellXfs>
  <cellStyles count="5">
    <cellStyle name="Accent5" xfId="3" builtinId="45"/>
    <cellStyle name="Comma" xfId="2" builtinId="3"/>
    <cellStyle name="Comma 2" xfId="1" xr:uid="{FE339D39-EE9C-484E-BD1C-71F90515136C}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Network Volume: 000'Kg/day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Charts!$D$17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Charts!$C$18:$C$22</c:f>
            </c:multiLvlStrRef>
          </c:cat>
          <c:val>
            <c:numRef>
              <c:f>Charts!$D$18:$D$22</c:f>
            </c:numRef>
          </c:val>
          <c:extLst>
            <c:ext xmlns:c16="http://schemas.microsoft.com/office/drawing/2014/chart" uri="{C3380CC4-5D6E-409C-BE32-E72D297353CC}">
              <c16:uniqueId val="{00000000-A964-40A0-BC47-FAE505EF6338}"/>
            </c:ext>
          </c:extLst>
        </c:ser>
        <c:ser>
          <c:idx val="1"/>
          <c:order val="1"/>
          <c:tx>
            <c:strRef>
              <c:f>Charts!$E$17</c:f>
              <c:strCache>
                <c:ptCount val="1"/>
                <c:pt idx="0">
                  <c:v>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Charts!$C$18:$C$22</c:f>
            </c:multiLvlStrRef>
          </c:cat>
          <c:val>
            <c:numRef>
              <c:f>Charts!$E$18:$E$22</c:f>
            </c:numRef>
          </c:val>
          <c:extLst>
            <c:ext xmlns:c16="http://schemas.microsoft.com/office/drawing/2014/chart" uri="{C3380CC4-5D6E-409C-BE32-E72D297353CC}">
              <c16:uniqueId val="{00000001-A964-40A0-BC47-FAE505EF6338}"/>
            </c:ext>
          </c:extLst>
        </c:ser>
        <c:ser>
          <c:idx val="2"/>
          <c:order val="2"/>
          <c:tx>
            <c:strRef>
              <c:f>Charts!$F$17</c:f>
              <c:strCache>
                <c:ptCount val="1"/>
                <c:pt idx="0">
                  <c:v>25-26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Charts!$C$18:$C$22</c:f>
            </c:multiLvlStrRef>
          </c:cat>
          <c:val>
            <c:numRef>
              <c:f>Charts!$F$18:$F$22</c:f>
            </c:numRef>
          </c:val>
          <c:extLst>
            <c:ext xmlns:c16="http://schemas.microsoft.com/office/drawing/2014/chart" uri="{C3380CC4-5D6E-409C-BE32-E72D297353CC}">
              <c16:uniqueId val="{00000002-A964-40A0-BC47-FAE505EF6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899216"/>
        <c:axId val="1702897968"/>
      </c:barChart>
      <c:lineChart>
        <c:grouping val="standard"/>
        <c:varyColors val="0"/>
        <c:ser>
          <c:idx val="3"/>
          <c:order val="3"/>
          <c:tx>
            <c:strRef>
              <c:f>Charts!$G$17</c:f>
              <c:strCache>
                <c:ptCount val="1"/>
                <c:pt idx="0">
                  <c:v>GOLY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Charts!$C$18:$C$22</c:f>
            </c:multiLvlStrRef>
          </c:cat>
          <c:val>
            <c:numRef>
              <c:f>Charts!$G$18:$G$22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3-A964-40A0-BC47-FAE505EF6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896720"/>
        <c:axId val="1702896304"/>
      </c:lineChart>
      <c:catAx>
        <c:axId val="170289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7968"/>
        <c:crosses val="autoZero"/>
        <c:auto val="1"/>
        <c:lblAlgn val="ctr"/>
        <c:lblOffset val="100"/>
        <c:noMultiLvlLbl val="0"/>
      </c:catAx>
      <c:valAx>
        <c:axId val="17028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9216"/>
        <c:crosses val="autoZero"/>
        <c:crossBetween val="between"/>
      </c:valAx>
      <c:valAx>
        <c:axId val="17028963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6720"/>
        <c:crosses val="max"/>
        <c:crossBetween val="between"/>
      </c:valAx>
      <c:catAx>
        <c:axId val="170289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289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Pouring Farmers (000' farmer/day)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Charts!#REF!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Charts!#REF!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A-451A-AC8A-81F727475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649968"/>
        <c:axId val="174665204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Charts!#REF!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Charts!#REF!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A-451A-AC8A-81F727475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650800"/>
        <c:axId val="1746651632"/>
      </c:lineChart>
      <c:catAx>
        <c:axId val="174664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52048"/>
        <c:crosses val="autoZero"/>
        <c:auto val="1"/>
        <c:lblAlgn val="ctr"/>
        <c:lblOffset val="100"/>
        <c:noMultiLvlLbl val="0"/>
      </c:catAx>
      <c:valAx>
        <c:axId val="17466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49968"/>
        <c:crosses val="autoZero"/>
        <c:crossBetween val="between"/>
      </c:valAx>
      <c:valAx>
        <c:axId val="1746651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50800"/>
        <c:crosses val="max"/>
        <c:crossBetween val="between"/>
      </c:valAx>
      <c:catAx>
        <c:axId val="1746650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6651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Network Volume: 000'Kg/day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Charts!$D$17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Charts!$C$34:$C$38</c:f>
            </c:multiLvlStrRef>
          </c:cat>
          <c:val>
            <c:numRef>
              <c:f>Charts!$D$34:$D$38</c:f>
            </c:numRef>
          </c:val>
          <c:extLst>
            <c:ext xmlns:c16="http://schemas.microsoft.com/office/drawing/2014/chart" uri="{C3380CC4-5D6E-409C-BE32-E72D297353CC}">
              <c16:uniqueId val="{00000000-1CAF-4868-8239-D5ACE5D27A67}"/>
            </c:ext>
          </c:extLst>
        </c:ser>
        <c:ser>
          <c:idx val="1"/>
          <c:order val="1"/>
          <c:tx>
            <c:strRef>
              <c:f>Charts!$E$17</c:f>
              <c:strCache>
                <c:ptCount val="1"/>
                <c:pt idx="0">
                  <c:v>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Charts!$C$34:$C$38</c:f>
            </c:multiLvlStrRef>
          </c:cat>
          <c:val>
            <c:numRef>
              <c:f>Charts!$E$34:$E$38</c:f>
            </c:numRef>
          </c:val>
          <c:extLst>
            <c:ext xmlns:c16="http://schemas.microsoft.com/office/drawing/2014/chart" uri="{C3380CC4-5D6E-409C-BE32-E72D297353CC}">
              <c16:uniqueId val="{00000001-1CAF-4868-8239-D5ACE5D27A67}"/>
            </c:ext>
          </c:extLst>
        </c:ser>
        <c:ser>
          <c:idx val="2"/>
          <c:order val="2"/>
          <c:tx>
            <c:strRef>
              <c:f>Charts!$F$17</c:f>
              <c:strCache>
                <c:ptCount val="1"/>
                <c:pt idx="0">
                  <c:v>25-26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Charts!$C$34:$C$38</c:f>
            </c:multiLvlStrRef>
          </c:cat>
          <c:val>
            <c:numRef>
              <c:f>Charts!$F$34:$F$38</c:f>
            </c:numRef>
          </c:val>
          <c:extLst>
            <c:ext xmlns:c16="http://schemas.microsoft.com/office/drawing/2014/chart" uri="{C3380CC4-5D6E-409C-BE32-E72D297353CC}">
              <c16:uniqueId val="{00000002-1CAF-4868-8239-D5ACE5D27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899216"/>
        <c:axId val="1702897968"/>
      </c:barChart>
      <c:lineChart>
        <c:grouping val="standard"/>
        <c:varyColors val="0"/>
        <c:ser>
          <c:idx val="3"/>
          <c:order val="3"/>
          <c:tx>
            <c:strRef>
              <c:f>Charts!$G$17</c:f>
              <c:strCache>
                <c:ptCount val="1"/>
                <c:pt idx="0">
                  <c:v>GOLY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Charts!$C$34:$C$38</c:f>
            </c:multiLvlStrRef>
          </c:cat>
          <c:val>
            <c:numRef>
              <c:f>Charts!$G$34:$G$38</c:f>
            </c:numRef>
          </c:val>
          <c:smooth val="0"/>
          <c:extLst>
            <c:ext xmlns:c16="http://schemas.microsoft.com/office/drawing/2014/chart" uri="{C3380CC4-5D6E-409C-BE32-E72D297353CC}">
              <c16:uniqueId val="{00000003-1CAF-4868-8239-D5ACE5D27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896720"/>
        <c:axId val="1702896304"/>
      </c:lineChart>
      <c:catAx>
        <c:axId val="170289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7968"/>
        <c:crosses val="autoZero"/>
        <c:auto val="1"/>
        <c:lblAlgn val="ctr"/>
        <c:lblOffset val="100"/>
        <c:noMultiLvlLbl val="0"/>
      </c:catAx>
      <c:valAx>
        <c:axId val="17028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9216"/>
        <c:crosses val="autoZero"/>
        <c:crossBetween val="between"/>
      </c:valAx>
      <c:valAx>
        <c:axId val="17028963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6720"/>
        <c:crosses val="max"/>
        <c:crossBetween val="between"/>
      </c:valAx>
      <c:catAx>
        <c:axId val="170289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289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Network Volume: 000'Kg/day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Charts!$D$3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Charts!$C$4:$C$8</c:f>
            </c:multiLvlStrRef>
          </c:cat>
          <c:val>
            <c:numRef>
              <c:f>Charts!$D$4:$D$8</c:f>
            </c:numRef>
          </c:val>
          <c:extLst>
            <c:ext xmlns:c16="http://schemas.microsoft.com/office/drawing/2014/chart" uri="{C3380CC4-5D6E-409C-BE32-E72D297353CC}">
              <c16:uniqueId val="{00000000-935E-4314-AF49-A7FA11F7F672}"/>
            </c:ext>
          </c:extLst>
        </c:ser>
        <c:ser>
          <c:idx val="1"/>
          <c:order val="1"/>
          <c:tx>
            <c:strRef>
              <c:f>Charts!$E$3</c:f>
              <c:strCache>
                <c:ptCount val="1"/>
                <c:pt idx="0">
                  <c:v>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Charts!$C$4:$C$8</c:f>
            </c:multiLvlStrRef>
          </c:cat>
          <c:val>
            <c:numRef>
              <c:f>Charts!$E$4:$E$8</c:f>
            </c:numRef>
          </c:val>
          <c:extLst>
            <c:ext xmlns:c16="http://schemas.microsoft.com/office/drawing/2014/chart" uri="{C3380CC4-5D6E-409C-BE32-E72D297353CC}">
              <c16:uniqueId val="{00000001-935E-4314-AF49-A7FA11F7F672}"/>
            </c:ext>
          </c:extLst>
        </c:ser>
        <c:ser>
          <c:idx val="2"/>
          <c:order val="2"/>
          <c:tx>
            <c:strRef>
              <c:f>Charts!$F$3</c:f>
              <c:strCache>
                <c:ptCount val="1"/>
                <c:pt idx="0">
                  <c:v>25-26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Charts!$C$4:$C$8</c:f>
            </c:multiLvlStrRef>
          </c:cat>
          <c:val>
            <c:numRef>
              <c:f>Charts!$F$4:$F$8</c:f>
            </c:numRef>
          </c:val>
          <c:extLst>
            <c:ext xmlns:c16="http://schemas.microsoft.com/office/drawing/2014/chart" uri="{C3380CC4-5D6E-409C-BE32-E72D297353CC}">
              <c16:uniqueId val="{00000002-935E-4314-AF49-A7FA11F7F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899216"/>
        <c:axId val="1702897968"/>
      </c:barChart>
      <c:lineChart>
        <c:grouping val="standard"/>
        <c:varyColors val="0"/>
        <c:ser>
          <c:idx val="3"/>
          <c:order val="3"/>
          <c:tx>
            <c:strRef>
              <c:f>Charts!$G$3</c:f>
              <c:strCache>
                <c:ptCount val="1"/>
                <c:pt idx="0">
                  <c:v>GOLY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Charts!$C$4:$C$8</c:f>
            </c:multiLvlStrRef>
          </c:cat>
          <c:val>
            <c:numRef>
              <c:f>Charts!$G$4:$G$8</c:f>
            </c:numRef>
          </c:val>
          <c:smooth val="0"/>
          <c:extLst>
            <c:ext xmlns:c16="http://schemas.microsoft.com/office/drawing/2014/chart" uri="{C3380CC4-5D6E-409C-BE32-E72D297353CC}">
              <c16:uniqueId val="{00000003-935E-4314-AF49-A7FA11F7F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896720"/>
        <c:axId val="1702896304"/>
      </c:lineChart>
      <c:catAx>
        <c:axId val="170289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7968"/>
        <c:crosses val="autoZero"/>
        <c:auto val="1"/>
        <c:lblAlgn val="ctr"/>
        <c:lblOffset val="100"/>
        <c:noMultiLvlLbl val="0"/>
      </c:catAx>
      <c:valAx>
        <c:axId val="17028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9216"/>
        <c:crosses val="autoZero"/>
        <c:crossBetween val="between"/>
      </c:valAx>
      <c:valAx>
        <c:axId val="17028963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6720"/>
        <c:crosses val="max"/>
        <c:crossBetween val="between"/>
      </c:valAx>
      <c:catAx>
        <c:axId val="170289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289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Supply Chain Cost: Rs/Kg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Charts!$D$49</c:f>
              <c:strCache>
                <c:ptCount val="1"/>
                <c:pt idx="0">
                  <c:v>BR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Charts!$C$50:$C$55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Charts!$D$50:$D$55</c:f>
              <c:numCache>
                <c:formatCode>_(* #,##0.00_);_(* \(#,##0.00\);_(* "-"??_);_(@_)</c:formatCode>
                <c:ptCount val="6"/>
                <c:pt idx="0">
                  <c:v>2.9625336315939981</c:v>
                </c:pt>
                <c:pt idx="1">
                  <c:v>2.8713665578740262</c:v>
                </c:pt>
                <c:pt idx="2">
                  <c:v>2.75</c:v>
                </c:pt>
                <c:pt idx="3">
                  <c:v>2.9046317544178897</c:v>
                </c:pt>
                <c:pt idx="4">
                  <c:v>2.74</c:v>
                </c:pt>
                <c:pt idx="5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7-4BEE-B18E-DB2635ED3E71}"/>
            </c:ext>
          </c:extLst>
        </c:ser>
        <c:ser>
          <c:idx val="1"/>
          <c:order val="1"/>
          <c:tx>
            <c:strRef>
              <c:f>Charts!$E$49</c:f>
              <c:strCache>
                <c:ptCount val="1"/>
                <c:pt idx="0">
                  <c:v>WB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Charts!$C$50:$C$55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Charts!$E$50:$E$55</c:f>
              <c:numCache>
                <c:formatCode>_(* #,##0.00_);_(* \(#,##0.00\);_(* "-"??_);_(@_)</c:formatCode>
                <c:ptCount val="6"/>
                <c:pt idx="0">
                  <c:v>2.89</c:v>
                </c:pt>
                <c:pt idx="1">
                  <c:v>2.8986351099475014</c:v>
                </c:pt>
                <c:pt idx="2">
                  <c:v>2.86</c:v>
                </c:pt>
                <c:pt idx="3">
                  <c:v>2.8526454375532908</c:v>
                </c:pt>
                <c:pt idx="4">
                  <c:v>2.8</c:v>
                </c:pt>
                <c:pt idx="5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7-4BEE-B18E-DB2635ED3E71}"/>
            </c:ext>
          </c:extLst>
        </c:ser>
        <c:ser>
          <c:idx val="2"/>
          <c:order val="2"/>
          <c:tx>
            <c:strRef>
              <c:f>Charts!$F$49</c:f>
              <c:strCache>
                <c:ptCount val="1"/>
                <c:pt idx="0">
                  <c:v>JH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Charts!$C$50:$C$55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Charts!$F$50:$F$55</c:f>
              <c:numCache>
                <c:formatCode>_(* #,##0.00_);_(* \(#,##0.00\);_(* "-"??_);_(@_)</c:formatCode>
                <c:ptCount val="6"/>
                <c:pt idx="0">
                  <c:v>4.1516524220259665</c:v>
                </c:pt>
                <c:pt idx="1">
                  <c:v>3.6553669460121081</c:v>
                </c:pt>
                <c:pt idx="2">
                  <c:v>3.76</c:v>
                </c:pt>
                <c:pt idx="3">
                  <c:v>3.5</c:v>
                </c:pt>
                <c:pt idx="4">
                  <c:v>3.45</c:v>
                </c:pt>
                <c:pt idx="5">
                  <c:v>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7-4BEE-B18E-DB2635ED3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2373215"/>
        <c:axId val="1442373631"/>
      </c:barChart>
      <c:lineChart>
        <c:grouping val="standard"/>
        <c:varyColors val="0"/>
        <c:ser>
          <c:idx val="3"/>
          <c:order val="3"/>
          <c:tx>
            <c:strRef>
              <c:f>Charts!$G$49</c:f>
              <c:strCache>
                <c:ptCount val="1"/>
                <c:pt idx="0">
                  <c:v>Total SCC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Charts!$C$50:$C$55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Charts!$G$50:$G$55</c:f>
              <c:numCache>
                <c:formatCode>_(* #,##0.00_);_(* \(#,##0.00\);_(* "-"??_);_(@_)</c:formatCode>
                <c:ptCount val="6"/>
                <c:pt idx="0">
                  <c:v>2.9646577171525617</c:v>
                </c:pt>
                <c:pt idx="1">
                  <c:v>2.9267704822615408</c:v>
                </c:pt>
                <c:pt idx="2">
                  <c:v>2.8736628306128473</c:v>
                </c:pt>
                <c:pt idx="3">
                  <c:v>2.9399763214186123</c:v>
                </c:pt>
                <c:pt idx="4">
                  <c:v>2.8</c:v>
                </c:pt>
                <c:pt idx="5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57-4BEE-B18E-DB2635ED3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093759"/>
        <c:axId val="1092082527"/>
      </c:lineChart>
      <c:catAx>
        <c:axId val="14423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73631"/>
        <c:crosses val="autoZero"/>
        <c:auto val="1"/>
        <c:lblAlgn val="ctr"/>
        <c:lblOffset val="100"/>
        <c:noMultiLvlLbl val="0"/>
      </c:catAx>
      <c:valAx>
        <c:axId val="14423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73215"/>
        <c:crosses val="autoZero"/>
        <c:crossBetween val="between"/>
      </c:valAx>
      <c:valAx>
        <c:axId val="1092082527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93759"/>
        <c:crosses val="max"/>
        <c:crossBetween val="between"/>
      </c:valAx>
      <c:catAx>
        <c:axId val="1092093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2082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Capacity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Charts!$D$73</c:f>
              <c:strCache>
                <c:ptCount val="1"/>
                <c:pt idx="0">
                  <c:v>BR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Charts!$C$74:$C$78</c:f>
              <c:strCache>
                <c:ptCount val="5"/>
                <c:pt idx="0">
                  <c:v>LY</c:v>
                </c:pt>
                <c:pt idx="1">
                  <c:v>CY</c:v>
                </c:pt>
                <c:pt idx="2">
                  <c:v>PY 1</c:v>
                </c:pt>
                <c:pt idx="3">
                  <c:v>PY 3</c:v>
                </c:pt>
                <c:pt idx="4">
                  <c:v>PY 5</c:v>
                </c:pt>
              </c:strCache>
            </c:strRef>
          </c:cat>
          <c:val>
            <c:numRef>
              <c:f>Charts!$D$74:$D$78</c:f>
              <c:numCache>
                <c:formatCode>0%</c:formatCode>
                <c:ptCount val="5"/>
                <c:pt idx="0">
                  <c:v>0.69453803482014387</c:v>
                </c:pt>
                <c:pt idx="1">
                  <c:v>0.67349141784731847</c:v>
                </c:pt>
                <c:pt idx="2">
                  <c:v>0.93</c:v>
                </c:pt>
                <c:pt idx="3">
                  <c:v>1</c:v>
                </c:pt>
                <c:pt idx="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6-43AC-8A2A-0C329599CAF4}"/>
            </c:ext>
          </c:extLst>
        </c:ser>
        <c:ser>
          <c:idx val="1"/>
          <c:order val="1"/>
          <c:tx>
            <c:strRef>
              <c:f>Charts!$E$73</c:f>
              <c:strCache>
                <c:ptCount val="1"/>
                <c:pt idx="0">
                  <c:v>WB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Charts!$C$74:$C$78</c:f>
              <c:strCache>
                <c:ptCount val="5"/>
                <c:pt idx="0">
                  <c:v>LY</c:v>
                </c:pt>
                <c:pt idx="1">
                  <c:v>CY</c:v>
                </c:pt>
                <c:pt idx="2">
                  <c:v>PY 1</c:v>
                </c:pt>
                <c:pt idx="3">
                  <c:v>PY 3</c:v>
                </c:pt>
                <c:pt idx="4">
                  <c:v>PY 5</c:v>
                </c:pt>
              </c:strCache>
            </c:strRef>
          </c:cat>
          <c:val>
            <c:numRef>
              <c:f>Charts!$E$74:$E$78</c:f>
              <c:numCache>
                <c:formatCode>0%</c:formatCode>
                <c:ptCount val="5"/>
                <c:pt idx="0">
                  <c:v>0.68081148326801322</c:v>
                </c:pt>
                <c:pt idx="1">
                  <c:v>0.6</c:v>
                </c:pt>
                <c:pt idx="2">
                  <c:v>0.79</c:v>
                </c:pt>
                <c:pt idx="3">
                  <c:v>0.9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6-43AC-8A2A-0C329599CAF4}"/>
            </c:ext>
          </c:extLst>
        </c:ser>
        <c:ser>
          <c:idx val="2"/>
          <c:order val="2"/>
          <c:tx>
            <c:strRef>
              <c:f>Charts!$F$73</c:f>
              <c:strCache>
                <c:ptCount val="1"/>
                <c:pt idx="0">
                  <c:v>JH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Charts!$C$74:$C$78</c:f>
              <c:strCache>
                <c:ptCount val="5"/>
                <c:pt idx="0">
                  <c:v>LY</c:v>
                </c:pt>
                <c:pt idx="1">
                  <c:v>CY</c:v>
                </c:pt>
                <c:pt idx="2">
                  <c:v>PY 1</c:v>
                </c:pt>
                <c:pt idx="3">
                  <c:v>PY 3</c:v>
                </c:pt>
                <c:pt idx="4">
                  <c:v>PY 5</c:v>
                </c:pt>
              </c:strCache>
            </c:strRef>
          </c:cat>
          <c:val>
            <c:numRef>
              <c:f>Charts!$F$74:$F$78</c:f>
              <c:numCache>
                <c:formatCode>0%</c:formatCode>
                <c:ptCount val="5"/>
                <c:pt idx="0">
                  <c:v>0.74433147521867071</c:v>
                </c:pt>
                <c:pt idx="1">
                  <c:v>0.65</c:v>
                </c:pt>
                <c:pt idx="2">
                  <c:v>0.77</c:v>
                </c:pt>
                <c:pt idx="3">
                  <c:v>0.85</c:v>
                </c:pt>
                <c:pt idx="4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6-43AC-8A2A-0C329599C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39247"/>
        <c:axId val="1505852143"/>
      </c:lineChart>
      <c:catAx>
        <c:axId val="150583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52143"/>
        <c:crosses val="autoZero"/>
        <c:auto val="1"/>
        <c:lblAlgn val="ctr"/>
        <c:lblOffset val="100"/>
        <c:noMultiLvlLbl val="0"/>
      </c:catAx>
      <c:valAx>
        <c:axId val="1505852143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3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(Farmer'000)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Charts!$D$63</c:f>
              <c:strCache>
                <c:ptCount val="1"/>
                <c:pt idx="0">
                  <c:v>BR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Charts!$C$64:$C$69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Charts!$D$64:$D$69</c:f>
              <c:numCache>
                <c:formatCode>General</c:formatCode>
                <c:ptCount val="6"/>
                <c:pt idx="0">
                  <c:v>16.2</c:v>
                </c:pt>
                <c:pt idx="1">
                  <c:v>19</c:v>
                </c:pt>
                <c:pt idx="2">
                  <c:v>23</c:v>
                </c:pt>
                <c:pt idx="3">
                  <c:v>29</c:v>
                </c:pt>
                <c:pt idx="4">
                  <c:v>36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A-4ABA-9990-11F8992AFB37}"/>
            </c:ext>
          </c:extLst>
        </c:ser>
        <c:ser>
          <c:idx val="1"/>
          <c:order val="1"/>
          <c:tx>
            <c:strRef>
              <c:f>Charts!$E$63</c:f>
              <c:strCache>
                <c:ptCount val="1"/>
                <c:pt idx="0">
                  <c:v>WB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Charts!$C$64:$C$69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Charts!$E$64:$E$69</c:f>
              <c:numCache>
                <c:formatCode>General</c:formatCode>
                <c:ptCount val="6"/>
                <c:pt idx="0">
                  <c:v>6.4</c:v>
                </c:pt>
                <c:pt idx="1">
                  <c:v>4.5999999999999996</c:v>
                </c:pt>
                <c:pt idx="2">
                  <c:v>6.8</c:v>
                </c:pt>
                <c:pt idx="3">
                  <c:v>9</c:v>
                </c:pt>
                <c:pt idx="4">
                  <c:v>13.5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A-4ABA-9990-11F8992AFB37}"/>
            </c:ext>
          </c:extLst>
        </c:ser>
        <c:ser>
          <c:idx val="2"/>
          <c:order val="2"/>
          <c:tx>
            <c:strRef>
              <c:f>Charts!$F$63</c:f>
              <c:strCache>
                <c:ptCount val="1"/>
                <c:pt idx="0">
                  <c:v>JH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Charts!$C$64:$C$69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Charts!$F$64:$F$69</c:f>
              <c:numCache>
                <c:formatCode>General</c:formatCode>
                <c:ptCount val="6"/>
                <c:pt idx="0">
                  <c:v>0.2</c:v>
                </c:pt>
                <c:pt idx="1">
                  <c:v>2.2000000000000002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A-4ABA-9990-11F8992AF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06068191"/>
        <c:axId val="1206067359"/>
      </c:barChart>
      <c:lineChart>
        <c:grouping val="standard"/>
        <c:varyColors val="0"/>
        <c:ser>
          <c:idx val="3"/>
          <c:order val="3"/>
          <c:tx>
            <c:strRef>
              <c:f>Charts!$G$63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Charts!$C$64:$C$69</c:f>
              <c:strCache>
                <c:ptCount val="6"/>
                <c:pt idx="0">
                  <c:v>FY 23-24</c:v>
                </c:pt>
                <c:pt idx="1">
                  <c:v>FY 24-25</c:v>
                </c:pt>
                <c:pt idx="2">
                  <c:v>FY 25-26</c:v>
                </c:pt>
                <c:pt idx="3">
                  <c:v>PY 1</c:v>
                </c:pt>
                <c:pt idx="4">
                  <c:v>PY 3</c:v>
                </c:pt>
                <c:pt idx="5">
                  <c:v>PY 5</c:v>
                </c:pt>
              </c:strCache>
            </c:strRef>
          </c:cat>
          <c:val>
            <c:numRef>
              <c:f>Charts!$G$64:$G$69</c:f>
              <c:numCache>
                <c:formatCode>0.0</c:formatCode>
                <c:ptCount val="6"/>
                <c:pt idx="0">
                  <c:v>22.8</c:v>
                </c:pt>
                <c:pt idx="1">
                  <c:v>25.8</c:v>
                </c:pt>
                <c:pt idx="2">
                  <c:v>32.299999999999997</c:v>
                </c:pt>
                <c:pt idx="3">
                  <c:v>41</c:v>
                </c:pt>
                <c:pt idx="4">
                  <c:v>53</c:v>
                </c:pt>
                <c:pt idx="5">
                  <c:v>63.7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AA-4ABA-9990-11F8992AF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855055"/>
        <c:axId val="1505851311"/>
      </c:lineChart>
      <c:catAx>
        <c:axId val="120606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67359"/>
        <c:crosses val="autoZero"/>
        <c:auto val="1"/>
        <c:lblAlgn val="ctr"/>
        <c:lblOffset val="100"/>
        <c:noMultiLvlLbl val="0"/>
      </c:catAx>
      <c:valAx>
        <c:axId val="12060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68191"/>
        <c:crosses val="autoZero"/>
        <c:crossBetween val="between"/>
      </c:valAx>
      <c:valAx>
        <c:axId val="1505851311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55055"/>
        <c:crosses val="max"/>
        <c:crossBetween val="between"/>
      </c:valAx>
      <c:catAx>
        <c:axId val="1505855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58513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bg1"/>
                </a:solidFill>
              </a:rPr>
              <a:t>Milk Collection: Kg/Day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'Volume Summary'!$C$3</c:f>
              <c:strCache>
                <c:ptCount val="1"/>
                <c:pt idx="0">
                  <c:v>BR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'Volume Summary'!$B$4:$B$12</c:f>
              <c:strCache>
                <c:ptCount val="9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  <c:pt idx="7">
                  <c:v>2024-25</c:v>
                </c:pt>
                <c:pt idx="8">
                  <c:v>2025-26</c:v>
                </c:pt>
              </c:strCache>
            </c:strRef>
          </c:cat>
          <c:val>
            <c:numRef>
              <c:f>'Volume Summary'!$C$4:$C$12</c:f>
              <c:numCache>
                <c:formatCode>0</c:formatCode>
                <c:ptCount val="9"/>
                <c:pt idx="0">
                  <c:v>63237.57688442072</c:v>
                </c:pt>
                <c:pt idx="1">
                  <c:v>95322.95081742006</c:v>
                </c:pt>
                <c:pt idx="2">
                  <c:v>78700.599993442622</c:v>
                </c:pt>
                <c:pt idx="3">
                  <c:v>85718.6394112329</c:v>
                </c:pt>
                <c:pt idx="4">
                  <c:v>110324.2506682698</c:v>
                </c:pt>
                <c:pt idx="5">
                  <c:v>137845.62607499998</c:v>
                </c:pt>
                <c:pt idx="6">
                  <c:v>142133.71464057371</c:v>
                </c:pt>
                <c:pt idx="7">
                  <c:v>154571.97512891752</c:v>
                </c:pt>
                <c:pt idx="8">
                  <c:v>199773.05662250691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D-4CD9-90A9-6FDE98179B00}"/>
            </c:ext>
          </c:extLst>
        </c:ser>
        <c:ser>
          <c:idx val="1"/>
          <c:order val="1"/>
          <c:tx>
            <c:strRef>
              <c:f>'Volume Summary'!$D$3</c:f>
              <c:strCache>
                <c:ptCount val="1"/>
                <c:pt idx="0">
                  <c:v>WB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'Volume Summary'!$B$4:$B$12</c:f>
              <c:strCache>
                <c:ptCount val="9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  <c:pt idx="7">
                  <c:v>2024-25</c:v>
                </c:pt>
                <c:pt idx="8">
                  <c:v>2025-26</c:v>
                </c:pt>
              </c:strCache>
            </c:strRef>
          </c:cat>
          <c:val>
            <c:numRef>
              <c:f>'Volume Summary'!$D$4:$D$12</c:f>
              <c:numCache>
                <c:formatCode>General</c:formatCode>
                <c:ptCount val="9"/>
                <c:pt idx="2" formatCode="0">
                  <c:v>30847.099248937458</c:v>
                </c:pt>
                <c:pt idx="3" formatCode="0">
                  <c:v>49747.200184759109</c:v>
                </c:pt>
                <c:pt idx="4" formatCode="0">
                  <c:v>54835.417665098968</c:v>
                </c:pt>
                <c:pt idx="5" formatCode="0">
                  <c:v>60401.683735536848</c:v>
                </c:pt>
                <c:pt idx="6" formatCode="0">
                  <c:v>63798.737846106502</c:v>
                </c:pt>
                <c:pt idx="7" formatCode="0">
                  <c:v>67664.380915753383</c:v>
                </c:pt>
                <c:pt idx="8" formatCode="0">
                  <c:v>93620.164875684859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D-4CD9-90A9-6FDE98179B00}"/>
            </c:ext>
          </c:extLst>
        </c:ser>
        <c:ser>
          <c:idx val="2"/>
          <c:order val="2"/>
          <c:tx>
            <c:strRef>
              <c:f>'Volume Summary'!$E$3</c:f>
              <c:strCache>
                <c:ptCount val="1"/>
                <c:pt idx="0">
                  <c:v>JH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'Volume Summary'!$B$4:$B$12</c:f>
              <c:strCache>
                <c:ptCount val="9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  <c:pt idx="7">
                  <c:v>2024-25</c:v>
                </c:pt>
                <c:pt idx="8">
                  <c:v>2025-26</c:v>
                </c:pt>
              </c:strCache>
            </c:strRef>
          </c:cat>
          <c:val>
            <c:numRef>
              <c:f>'Volume Summary'!$E$4:$E$12</c:f>
              <c:numCache>
                <c:formatCode>General</c:formatCode>
                <c:ptCount val="9"/>
                <c:pt idx="6" formatCode="0">
                  <c:v>19848.561246683679</c:v>
                </c:pt>
                <c:pt idx="7" formatCode="0">
                  <c:v>32342.837311539719</c:v>
                </c:pt>
                <c:pt idx="8" formatCode="0">
                  <c:v>38794.674950972607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D-4CD9-90A9-6FDE98179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573173263"/>
        <c:axId val="573171599"/>
      </c:barChart>
      <c:lineChart>
        <c:grouping val="standard"/>
        <c:varyColors val="0"/>
        <c:ser>
          <c:idx val="3"/>
          <c:order val="3"/>
          <c:tx>
            <c:strRef>
              <c:f>'Volume Summary'!$F$3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'Volume Summary'!$B$4:$B$12</c:f>
              <c:strCache>
                <c:ptCount val="9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  <c:pt idx="7">
                  <c:v>2024-25</c:v>
                </c:pt>
                <c:pt idx="8">
                  <c:v>2025-26</c:v>
                </c:pt>
              </c:strCache>
            </c:strRef>
          </c:cat>
          <c:val>
            <c:numRef>
              <c:f>'Volume Summary'!$F$4:$F$12</c:f>
              <c:numCache>
                <c:formatCode>0</c:formatCode>
                <c:ptCount val="9"/>
                <c:pt idx="0">
                  <c:v>63237.57688442072</c:v>
                </c:pt>
                <c:pt idx="1">
                  <c:v>95322.95081742006</c:v>
                </c:pt>
                <c:pt idx="2">
                  <c:v>109547.69924238008</c:v>
                </c:pt>
                <c:pt idx="3">
                  <c:v>135465.839595992</c:v>
                </c:pt>
                <c:pt idx="4">
                  <c:v>165159.66833336878</c:v>
                </c:pt>
                <c:pt idx="5">
                  <c:v>198247.30981053683</c:v>
                </c:pt>
                <c:pt idx="6">
                  <c:v>225781.01373336388</c:v>
                </c:pt>
                <c:pt idx="7">
                  <c:v>254579.19335621063</c:v>
                </c:pt>
                <c:pt idx="8">
                  <c:v>332187.89644916437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7D-4CD9-90A9-6FDE98179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173263"/>
        <c:axId val="573171599"/>
      </c:lineChart>
      <c:catAx>
        <c:axId val="5731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71599"/>
        <c:crosses val="autoZero"/>
        <c:auto val="1"/>
        <c:lblAlgn val="ctr"/>
        <c:lblOffset val="100"/>
        <c:noMultiLvlLbl val="0"/>
      </c:catAx>
      <c:valAx>
        <c:axId val="57317159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7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Network Volume: 000'Kg/day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 Slide Volume'!$C$4</c:f>
              <c:strCache>
                <c:ptCount val="1"/>
                <c:pt idx="0">
                  <c:v>21-22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Volume'!$B$5:$B$9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 (OL)</c:v>
                </c:pt>
                <c:pt idx="4">
                  <c:v>Total</c:v>
                </c:pt>
              </c:strCache>
            </c:strRef>
          </c:cat>
          <c:val>
            <c:numRef>
              <c:f>'BR Slide Volume'!$C$5:$C$9</c:f>
              <c:numCache>
                <c:formatCode>0</c:formatCode>
                <c:ptCount val="5"/>
                <c:pt idx="0">
                  <c:v>68.853736860714363</c:v>
                </c:pt>
                <c:pt idx="1">
                  <c:v>51.136632810054479</c:v>
                </c:pt>
                <c:pt idx="2">
                  <c:v>35.201579511684734</c:v>
                </c:pt>
                <c:pt idx="3">
                  <c:v>60.999295109444695</c:v>
                </c:pt>
                <c:pt idx="4">
                  <c:v>53.969156569246685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7-491B-BFC9-55240194FA85}"/>
            </c:ext>
          </c:extLst>
        </c:ser>
        <c:ser>
          <c:idx val="1"/>
          <c:order val="1"/>
          <c:tx>
            <c:strRef>
              <c:f>'BR Slide Volume'!$D$4</c:f>
              <c:strCache>
                <c:ptCount val="1"/>
                <c:pt idx="0">
                  <c:v>22-23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Volume'!$B$5:$B$9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 (OL)</c:v>
                </c:pt>
                <c:pt idx="4">
                  <c:v>Total</c:v>
                </c:pt>
              </c:strCache>
            </c:strRef>
          </c:cat>
          <c:val>
            <c:numRef>
              <c:f>'BR Slide Volume'!$D$5:$D$9</c:f>
              <c:numCache>
                <c:formatCode>0</c:formatCode>
                <c:ptCount val="5"/>
                <c:pt idx="0">
                  <c:v>53.596666923626387</c:v>
                </c:pt>
                <c:pt idx="1">
                  <c:v>73.824345419293408</c:v>
                </c:pt>
                <c:pt idx="2">
                  <c:v>69.481634256793271</c:v>
                </c:pt>
                <c:pt idx="3">
                  <c:v>87.775453409722147</c:v>
                </c:pt>
                <c:pt idx="4">
                  <c:v>71.126678430479373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7-491B-BFC9-55240194FA85}"/>
            </c:ext>
          </c:extLst>
        </c:ser>
        <c:ser>
          <c:idx val="2"/>
          <c:order val="2"/>
          <c:tx>
            <c:strRef>
              <c:f>'BR Slide Volume'!$E$4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Volume'!$B$5:$B$9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 (OL)</c:v>
                </c:pt>
                <c:pt idx="4">
                  <c:v>Total</c:v>
                </c:pt>
              </c:strCache>
            </c:strRef>
          </c:cat>
          <c:val>
            <c:numRef>
              <c:f>'BR Slide Volume'!$E$5:$E$9</c:f>
              <c:numCache>
                <c:formatCode>0</c:formatCode>
                <c:ptCount val="5"/>
                <c:pt idx="0">
                  <c:v>77.671396469780404</c:v>
                </c:pt>
                <c:pt idx="1">
                  <c:v>97.554190185597818</c:v>
                </c:pt>
                <c:pt idx="2">
                  <c:v>109.9412993657608</c:v>
                </c:pt>
                <c:pt idx="3">
                  <c:v>139.82255099065901</c:v>
                </c:pt>
                <c:pt idx="4">
                  <c:v>106.24270015744531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7-491B-BFC9-55240194F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899216"/>
        <c:axId val="1702897968"/>
      </c:barChart>
      <c:lineChart>
        <c:grouping val="standard"/>
        <c:varyColors val="0"/>
        <c:ser>
          <c:idx val="3"/>
          <c:order val="3"/>
          <c:tx>
            <c:strRef>
              <c:f>'BR Slide Volume'!$G$4</c:f>
              <c:strCache>
                <c:ptCount val="1"/>
                <c:pt idx="0">
                  <c:v>GOFY23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'BR Slide Volume'!$B$5:$B$9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 (OL)</c:v>
                </c:pt>
                <c:pt idx="4">
                  <c:v>Total</c:v>
                </c:pt>
              </c:strCache>
            </c:strRef>
          </c:cat>
          <c:val>
            <c:numRef>
              <c:f>'BR Slide Volume'!$G$5:$G$9</c:f>
              <c:numCache>
                <c:formatCode>0%</c:formatCode>
                <c:ptCount val="5"/>
                <c:pt idx="0">
                  <c:v>0.44918333411403683</c:v>
                </c:pt>
                <c:pt idx="1">
                  <c:v>0.32143657531303765</c:v>
                </c:pt>
                <c:pt idx="2">
                  <c:v>0.58230733260295697</c:v>
                </c:pt>
                <c:pt idx="3">
                  <c:v>0.59295731960493692</c:v>
                </c:pt>
                <c:pt idx="4">
                  <c:v>0.49371097458584456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87-491B-BFC9-55240194FA85}"/>
            </c:ext>
          </c:extLst>
        </c:ser>
        <c:ser>
          <c:idx val="4"/>
          <c:order val="4"/>
          <c:tx>
            <c:strRef>
              <c:f>'BR Slide Volume'!$G$4</c:f>
              <c:strCache>
                <c:ptCount val="1"/>
                <c:pt idx="0">
                  <c:v>GOFY23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'BR Slide Volume'!$B$5:$B$9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 (OL)</c:v>
                </c:pt>
                <c:pt idx="4">
                  <c:v>Total</c:v>
                </c:pt>
              </c:strCache>
            </c:strRef>
          </c:cat>
          <c:val>
            <c:numRef>
              <c:f>'BR Slide Volume'!$G$5:$G$9</c:f>
              <c:numCache>
                <c:formatCode>0%</c:formatCode>
                <c:ptCount val="5"/>
                <c:pt idx="0">
                  <c:v>0.44918333411403683</c:v>
                </c:pt>
                <c:pt idx="1">
                  <c:v>0.32143657531303765</c:v>
                </c:pt>
                <c:pt idx="2">
                  <c:v>0.58230733260295697</c:v>
                </c:pt>
                <c:pt idx="3">
                  <c:v>0.59295731960493692</c:v>
                </c:pt>
                <c:pt idx="4">
                  <c:v>0.49371097458584456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87-491B-BFC9-55240194FA85}"/>
            </c:ext>
          </c:extLst>
        </c:ser>
        <c:ser>
          <c:idx val="5"/>
          <c:order val="5"/>
          <c:tx>
            <c:strRef>
              <c:f>'BR Slide Volume'!$H$4</c:f>
              <c:strCache>
                <c:ptCount val="1"/>
                <c:pt idx="0">
                  <c:v>GOFY24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Volume'!$B$5:$B$9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 (OL)</c:v>
                </c:pt>
                <c:pt idx="4">
                  <c:v>Total</c:v>
                </c:pt>
              </c:strCache>
            </c:strRef>
          </c:cat>
          <c:val>
            <c:numRef>
              <c:f>'BR Slide Volume'!$H$5:$H$9</c:f>
              <c:numCache>
                <c:formatCode>0%</c:formatCode>
                <c:ptCount val="5"/>
                <c:pt idx="0">
                  <c:v>0.22250294770683615</c:v>
                </c:pt>
                <c:pt idx="1">
                  <c:v>3.7254141389304891E-2</c:v>
                </c:pt>
                <c:pt idx="2">
                  <c:v>-9.0848222701369163E-2</c:v>
                </c:pt>
                <c:pt idx="3">
                  <c:v>5.2158048259918148E-2</c:v>
                </c:pt>
                <c:pt idx="4">
                  <c:v>4.15410714523122E-2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44-4548-A903-86A9B90A5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896720"/>
        <c:axId val="1702896304"/>
      </c:lineChart>
      <c:catAx>
        <c:axId val="170289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7968"/>
        <c:crosses val="autoZero"/>
        <c:auto val="1"/>
        <c:lblAlgn val="ctr"/>
        <c:lblOffset val="100"/>
        <c:noMultiLvlLbl val="0"/>
      </c:catAx>
      <c:valAx>
        <c:axId val="17028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9216"/>
        <c:crosses val="autoZero"/>
        <c:crossBetween val="between"/>
      </c:valAx>
      <c:valAx>
        <c:axId val="17028963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6720"/>
        <c:crosses val="max"/>
        <c:crossBetween val="between"/>
      </c:valAx>
      <c:catAx>
        <c:axId val="170289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289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Network Collection: 000'kg/day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 Slide Volume'!$C$31</c:f>
              <c:strCache>
                <c:ptCount val="1"/>
                <c:pt idx="0">
                  <c:v>000"kg/day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Volume'!$B$32:$B$35</c:f>
              <c:strCache>
                <c:ptCount val="4"/>
                <c:pt idx="0">
                  <c:v>21-22</c:v>
                </c:pt>
                <c:pt idx="1">
                  <c:v>22-23</c:v>
                </c:pt>
                <c:pt idx="2">
                  <c:v>23-24</c:v>
                </c:pt>
                <c:pt idx="3">
                  <c:v>24-25</c:v>
                </c:pt>
              </c:strCache>
            </c:strRef>
          </c:cat>
          <c:val>
            <c:numRef>
              <c:f>'BR Slide Volume'!$C$32:$C$35</c:f>
              <c:numCache>
                <c:formatCode>0</c:formatCode>
                <c:ptCount val="4"/>
                <c:pt idx="0">
                  <c:v>68.853736860714363</c:v>
                </c:pt>
                <c:pt idx="1">
                  <c:v>53.596666923626387</c:v>
                </c:pt>
                <c:pt idx="2">
                  <c:v>77.671396469780404</c:v>
                </c:pt>
                <c:pt idx="3">
                  <c:v>94.953511136812892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9-4A7F-84A8-3C9D93B16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565184"/>
        <c:axId val="1750566016"/>
      </c:barChart>
      <c:lineChart>
        <c:grouping val="standard"/>
        <c:varyColors val="0"/>
        <c:ser>
          <c:idx val="1"/>
          <c:order val="1"/>
          <c:tx>
            <c:strRef>
              <c:f>'BR Slide Volume'!$D$31</c:f>
              <c:strCache>
                <c:ptCount val="1"/>
                <c:pt idx="0">
                  <c:v>GOLY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Volume'!$B$32:$B$35</c:f>
              <c:strCache>
                <c:ptCount val="4"/>
                <c:pt idx="0">
                  <c:v>21-22</c:v>
                </c:pt>
                <c:pt idx="1">
                  <c:v>22-23</c:v>
                </c:pt>
                <c:pt idx="2">
                  <c:v>23-24</c:v>
                </c:pt>
                <c:pt idx="3">
                  <c:v>24-25</c:v>
                </c:pt>
              </c:strCache>
            </c:strRef>
          </c:cat>
          <c:val>
            <c:numRef>
              <c:f>'BR Slide Volume'!$D$32:$D$35</c:f>
              <c:numCache>
                <c:formatCode>0%</c:formatCode>
                <c:ptCount val="4"/>
                <c:pt idx="0">
                  <c:v>-4.044915830910812E-2</c:v>
                </c:pt>
                <c:pt idx="1">
                  <c:v>-0.22158666519366721</c:v>
                </c:pt>
                <c:pt idx="2">
                  <c:v>0.44918333411403683</c:v>
                </c:pt>
                <c:pt idx="3">
                  <c:v>0.22250294770683615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89-4A7F-84A8-3C9D93B16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564352"/>
        <c:axId val="1750567264"/>
      </c:lineChart>
      <c:catAx>
        <c:axId val="17505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566016"/>
        <c:crosses val="autoZero"/>
        <c:auto val="1"/>
        <c:lblAlgn val="ctr"/>
        <c:lblOffset val="100"/>
        <c:noMultiLvlLbl val="0"/>
      </c:catAx>
      <c:valAx>
        <c:axId val="17505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565184"/>
        <c:crosses val="autoZero"/>
        <c:crossBetween val="between"/>
      </c:valAx>
      <c:valAx>
        <c:axId val="17505672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564352"/>
        <c:crosses val="max"/>
        <c:crossBetween val="between"/>
      </c:valAx>
      <c:catAx>
        <c:axId val="1750564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056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Pouring Farmers (000' farmer/day)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 Slide Volume'!$C$45</c:f>
              <c:strCache>
                <c:ptCount val="1"/>
                <c:pt idx="0">
                  <c:v>*000 Farmers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Volume'!$B$46:$B$49</c:f>
              <c:strCache>
                <c:ptCount val="4"/>
                <c:pt idx="0">
                  <c:v>21-22</c:v>
                </c:pt>
                <c:pt idx="1">
                  <c:v>22-23</c:v>
                </c:pt>
                <c:pt idx="2">
                  <c:v>23-24</c:v>
                </c:pt>
                <c:pt idx="3">
                  <c:v>23-24</c:v>
                </c:pt>
              </c:strCache>
            </c:strRef>
          </c:cat>
          <c:val>
            <c:numRef>
              <c:f>'BR Slide Volume'!$C$46:$C$49</c:f>
              <c:numCache>
                <c:formatCode>0.0</c:formatCode>
                <c:ptCount val="4"/>
                <c:pt idx="0">
                  <c:v>7.8949945205479457</c:v>
                </c:pt>
                <c:pt idx="1">
                  <c:v>9.5779882461661803</c:v>
                </c:pt>
                <c:pt idx="2">
                  <c:v>6.4216202185792355</c:v>
                </c:pt>
                <c:pt idx="3">
                  <c:v>6.3701369863013699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F-4F73-A468-A3F47828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649968"/>
        <c:axId val="1746652048"/>
      </c:barChart>
      <c:lineChart>
        <c:grouping val="standard"/>
        <c:varyColors val="0"/>
        <c:ser>
          <c:idx val="1"/>
          <c:order val="1"/>
          <c:tx>
            <c:strRef>
              <c:f>'BR Slide Volume'!$D$45</c:f>
              <c:strCache>
                <c:ptCount val="1"/>
                <c:pt idx="0">
                  <c:v>GOLY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Volume'!$B$46:$B$49</c:f>
              <c:strCache>
                <c:ptCount val="4"/>
                <c:pt idx="0">
                  <c:v>21-22</c:v>
                </c:pt>
                <c:pt idx="1">
                  <c:v>22-23</c:v>
                </c:pt>
                <c:pt idx="2">
                  <c:v>23-24</c:v>
                </c:pt>
                <c:pt idx="3">
                  <c:v>23-24</c:v>
                </c:pt>
              </c:strCache>
            </c:strRef>
          </c:cat>
          <c:val>
            <c:numRef>
              <c:f>'BR Slide Volume'!$D$46:$D$49</c:f>
              <c:numCache>
                <c:formatCode>0%</c:formatCode>
                <c:ptCount val="4"/>
                <c:pt idx="0">
                  <c:v>8.4171667703180145E-2</c:v>
                </c:pt>
                <c:pt idx="1">
                  <c:v>0.21317224745856159</c:v>
                </c:pt>
                <c:pt idx="2">
                  <c:v>-0.32954394455958502</c:v>
                </c:pt>
                <c:pt idx="3">
                  <c:v>-8.0171717612500092E-3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1F-4F73-A468-A3F47828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650800"/>
        <c:axId val="1746651632"/>
      </c:lineChart>
      <c:catAx>
        <c:axId val="174664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52048"/>
        <c:crosses val="autoZero"/>
        <c:auto val="1"/>
        <c:lblAlgn val="ctr"/>
        <c:lblOffset val="100"/>
        <c:noMultiLvlLbl val="0"/>
      </c:catAx>
      <c:valAx>
        <c:axId val="17466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49968"/>
        <c:crosses val="autoZero"/>
        <c:crossBetween val="between"/>
      </c:valAx>
      <c:valAx>
        <c:axId val="174665163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50800"/>
        <c:crosses val="max"/>
        <c:crossBetween val="between"/>
      </c:valAx>
      <c:catAx>
        <c:axId val="1746650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6651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Bihar sources</a:t>
            </a:r>
            <a:r>
              <a:rPr lang="en-IN" baseline="0"/>
              <a:t> wise volume (in MT)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 Slide Volume'!$B$15</c:f>
              <c:strCache>
                <c:ptCount val="1"/>
                <c:pt idx="0">
                  <c:v>Own Network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 Slide Volume'!$C$14:$H$14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  <c:pt idx="5">
                  <c:v>2024-25</c:v>
                </c:pt>
              </c:strCache>
            </c:strRef>
          </c:cat>
          <c:val>
            <c:numRef>
              <c:f>'BR Slide Volume'!$C$15:$H$15</c:f>
              <c:numCache>
                <c:formatCode>General</c:formatCode>
                <c:ptCount val="6"/>
                <c:pt idx="0">
                  <c:v>78691</c:v>
                </c:pt>
                <c:pt idx="1">
                  <c:v>56244</c:v>
                </c:pt>
                <c:pt idx="2" formatCode="0">
                  <c:v>53969.156569246683</c:v>
                </c:pt>
                <c:pt idx="3" formatCode="0">
                  <c:v>71126.678430479369</c:v>
                </c:pt>
                <c:pt idx="4" formatCode="0">
                  <c:v>106242.70015744532</c:v>
                </c:pt>
                <c:pt idx="5" formatCode="0">
                  <c:v>110656.13575597233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1-42AA-8008-8E6E97289C6B}"/>
            </c:ext>
          </c:extLst>
        </c:ser>
        <c:ser>
          <c:idx val="1"/>
          <c:order val="1"/>
          <c:tx>
            <c:strRef>
              <c:f>'BR Slide Volume'!$B$16</c:f>
              <c:strCache>
                <c:ptCount val="1"/>
                <c:pt idx="0">
                  <c:v>Moo 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 Slide Volume'!$C$14:$H$14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  <c:pt idx="5">
                  <c:v>2024-25</c:v>
                </c:pt>
              </c:strCache>
            </c:strRef>
          </c:cat>
          <c:val>
            <c:numRef>
              <c:f>'BR Slide Volume'!$C$16:$H$16</c:f>
              <c:numCache>
                <c:formatCode>General</c:formatCode>
                <c:ptCount val="6"/>
                <c:pt idx="2" formatCode="0">
                  <c:v>16078.223928150685</c:v>
                </c:pt>
                <c:pt idx="3" formatCode="0">
                  <c:v>20981.019629383602</c:v>
                </c:pt>
                <c:pt idx="4" formatCode="0">
                  <c:v>19164.620901639344</c:v>
                </c:pt>
                <c:pt idx="5" formatCode="0">
                  <c:v>3334.0571917808211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1-42AA-8008-8E6E97289C6B}"/>
            </c:ext>
          </c:extLst>
        </c:ser>
        <c:ser>
          <c:idx val="2"/>
          <c:order val="2"/>
          <c:tx>
            <c:strRef>
              <c:f>'BR Slide Volume'!$B$17</c:f>
              <c:strCache>
                <c:ptCount val="1"/>
                <c:pt idx="0">
                  <c:v>Vendor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'BR Slide Volume'!$C$14:$H$14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  <c:pt idx="5">
                  <c:v>2024-25</c:v>
                </c:pt>
              </c:strCache>
            </c:strRef>
          </c:cat>
          <c:val>
            <c:numRef>
              <c:f>'BR Slide Volume'!$C$17:$H$17</c:f>
              <c:numCache>
                <c:formatCode>General</c:formatCode>
                <c:ptCount val="6"/>
                <c:pt idx="1">
                  <c:v>24567</c:v>
                </c:pt>
                <c:pt idx="2" formatCode="0">
                  <c:v>40276.870170872426</c:v>
                </c:pt>
                <c:pt idx="3" formatCode="0">
                  <c:v>13372.742802808219</c:v>
                </c:pt>
                <c:pt idx="4" formatCode="0">
                  <c:v>9652.8388661202189</c:v>
                </c:pt>
                <c:pt idx="5" formatCode="0">
                  <c:v>41042.152557876725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1-42AA-8008-8E6E97289C6B}"/>
            </c:ext>
          </c:extLst>
        </c:ser>
        <c:ser>
          <c:idx val="3"/>
          <c:order val="3"/>
          <c:tx>
            <c:strRef>
              <c:f>'BR Slide Volume'!$B$18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'BR Slide Volume'!$C$14:$H$14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  <c:pt idx="5">
                  <c:v>2024-25</c:v>
                </c:pt>
              </c:strCache>
            </c:strRef>
          </c:cat>
          <c:val>
            <c:numRef>
              <c:f>'BR Slide Volume'!$C$18:$H$18</c:f>
              <c:numCache>
                <c:formatCode>General</c:formatCode>
                <c:ptCount val="6"/>
                <c:pt idx="2">
                  <c:v>0</c:v>
                </c:pt>
                <c:pt idx="3" formatCode="0">
                  <c:v>32272.185212328768</c:v>
                </c:pt>
                <c:pt idx="4" formatCode="0">
                  <c:v>7073.5547153688522</c:v>
                </c:pt>
                <c:pt idx="5" formatCode="0">
                  <c:v>-460.37037671232861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81-42AA-8008-8E6E9728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84914767"/>
        <c:axId val="1684926831"/>
      </c:barChart>
      <c:lineChart>
        <c:grouping val="standard"/>
        <c:varyColors val="0"/>
        <c:ser>
          <c:idx val="4"/>
          <c:order val="4"/>
          <c:tx>
            <c:strRef>
              <c:f>'BR Slide Volume'!$B$19</c:f>
              <c:strCache>
                <c:ptCount val="1"/>
                <c:pt idx="0">
                  <c:v>Avg Milk/Day @4%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0.00_ ;\-0.0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Slide Volume'!$C$14:$H$14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  <c:pt idx="5">
                  <c:v>2024-25</c:v>
                </c:pt>
              </c:strCache>
            </c:strRef>
          </c:cat>
          <c:val>
            <c:numRef>
              <c:f>'BR Slide Volume'!$C$19:$H$19</c:f>
              <c:numCache>
                <c:formatCode>General</c:formatCode>
                <c:ptCount val="6"/>
                <c:pt idx="0">
                  <c:v>78691</c:v>
                </c:pt>
                <c:pt idx="1">
                  <c:v>80811</c:v>
                </c:pt>
                <c:pt idx="2" formatCode="0">
                  <c:v>110324.25066826979</c:v>
                </c:pt>
                <c:pt idx="3" formatCode="0">
                  <c:v>137752.62607499998</c:v>
                </c:pt>
                <c:pt idx="4" formatCode="0">
                  <c:v>142133.71464057371</c:v>
                </c:pt>
                <c:pt idx="5" formatCode="0">
                  <c:v>154571.97512891755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81-42AA-8008-8E6E9728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528927"/>
        <c:axId val="1488574639"/>
      </c:lineChart>
      <c:catAx>
        <c:axId val="168491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26831"/>
        <c:crosses val="autoZero"/>
        <c:auto val="1"/>
        <c:lblAlgn val="ctr"/>
        <c:lblOffset val="100"/>
        <c:noMultiLvlLbl val="0"/>
      </c:catAx>
      <c:valAx>
        <c:axId val="168492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1476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8857463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678528927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678528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8574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15</xdr:row>
      <xdr:rowOff>95250</xdr:rowOff>
    </xdr:from>
    <xdr:to>
      <xdr:col>14</xdr:col>
      <xdr:colOff>420687</xdr:colOff>
      <xdr:row>26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EF43D-2C91-42C9-9019-EE68C3EF3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23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54E3D4-3C2C-418A-9555-A1E3DDE5F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27</xdr:row>
      <xdr:rowOff>174625</xdr:rowOff>
    </xdr:from>
    <xdr:to>
      <xdr:col>16</xdr:col>
      <xdr:colOff>571500</xdr:colOff>
      <xdr:row>39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9E9C25-A334-4F6E-8458-1994E2C82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317500</xdr:colOff>
      <xdr:row>0</xdr:row>
      <xdr:rowOff>71437</xdr:rowOff>
    </xdr:from>
    <xdr:to>
      <xdr:col>15</xdr:col>
      <xdr:colOff>230188</xdr:colOff>
      <xdr:row>12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5DEEE8-2F33-4524-8E7D-9C3856A68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190501</xdr:colOff>
      <xdr:row>0</xdr:row>
      <xdr:rowOff>0</xdr:rowOff>
    </xdr:from>
    <xdr:to>
      <xdr:col>29</xdr:col>
      <xdr:colOff>71438</xdr:colOff>
      <xdr:row>54</xdr:row>
      <xdr:rowOff>87311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79858A-ACC7-4C3C-BAF2-5BC20F556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273841</xdr:colOff>
      <xdr:row>69</xdr:row>
      <xdr:rowOff>79376</xdr:rowOff>
    </xdr:from>
    <xdr:to>
      <xdr:col>19</xdr:col>
      <xdr:colOff>166686</xdr:colOff>
      <xdr:row>81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05ADCD-C375-4B5D-B862-B3500A201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257966</xdr:colOff>
      <xdr:row>55</xdr:row>
      <xdr:rowOff>21430</xdr:rowOff>
    </xdr:from>
    <xdr:to>
      <xdr:col>19</xdr:col>
      <xdr:colOff>166685</xdr:colOff>
      <xdr:row>68</xdr:row>
      <xdr:rowOff>178594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EE64DD-4F48-4C77-9BBB-96C94B7E1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441324</xdr:colOff>
      <xdr:row>14</xdr:row>
      <xdr:rowOff>174625</xdr:rowOff>
    </xdr:from>
    <xdr:to>
      <xdr:col>25</xdr:col>
      <xdr:colOff>104775</xdr:colOff>
      <xdr:row>29</xdr:row>
      <xdr:rowOff>34924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3C5F7-5E9B-4B49-AAC2-2A5F0F1EF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7939</xdr:colOff>
      <xdr:row>0</xdr:row>
      <xdr:rowOff>171448</xdr:rowOff>
    </xdr:from>
    <xdr:to>
      <xdr:col>16</xdr:col>
      <xdr:colOff>396875</xdr:colOff>
      <xdr:row>12</xdr:row>
      <xdr:rowOff>103188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459BD-582E-4FD7-9460-8773E276C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246062</xdr:colOff>
      <xdr:row>27</xdr:row>
      <xdr:rowOff>1</xdr:rowOff>
    </xdr:from>
    <xdr:to>
      <xdr:col>8</xdr:col>
      <xdr:colOff>495300</xdr:colOff>
      <xdr:row>39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3AB005-3C54-4840-9290-AD9C04967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269875</xdr:colOff>
      <xdr:row>40</xdr:row>
      <xdr:rowOff>0</xdr:rowOff>
    </xdr:from>
    <xdr:to>
      <xdr:col>8</xdr:col>
      <xdr:colOff>523874</xdr:colOff>
      <xdr:row>51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A01CA9-C55D-49C4-9CC7-7C35ECC95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23813</xdr:colOff>
      <xdr:row>13</xdr:row>
      <xdr:rowOff>63501</xdr:rowOff>
    </xdr:from>
    <xdr:to>
      <xdr:col>16</xdr:col>
      <xdr:colOff>428625</xdr:colOff>
      <xdr:row>24</xdr:row>
      <xdr:rowOff>127001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7D049B-F98D-4896-9C59-C79D6FBBC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F95B-6150-4709-92CB-01FC04089148}">
  <dimension ref="C1:K78"/>
  <sheetViews>
    <sheetView topLeftCell="A42" zoomScale="80" zoomScaleNormal="80" workbookViewId="0">
      <selection activeCell="D44" sqref="D44"/>
    </sheetView>
  </sheetViews>
  <sheetFormatPr defaultColWidth="8.7109375" defaultRowHeight="15" x14ac:dyDescent="0.25"/>
  <cols>
    <col min="3" max="3" width="12" customWidth="1"/>
    <col min="4" max="7" width="13.5703125" customWidth="1"/>
    <col min="10" max="10" width="10.42578125" customWidth="1"/>
    <col min="11" max="11" width="23.85546875" customWidth="1"/>
  </cols>
  <sheetData>
    <row r="1" spans="3:7" hidden="1" x14ac:dyDescent="0.25"/>
    <row r="2" spans="3:7" hidden="1" x14ac:dyDescent="0.25"/>
    <row r="3" spans="3:7" hidden="1" x14ac:dyDescent="0.25">
      <c r="C3" s="202" t="s">
        <v>215</v>
      </c>
      <c r="D3" s="203" t="s">
        <v>75</v>
      </c>
      <c r="E3" s="203" t="s">
        <v>100</v>
      </c>
      <c r="F3" s="203" t="s">
        <v>146</v>
      </c>
      <c r="G3" s="204" t="s">
        <v>65</v>
      </c>
    </row>
    <row r="4" spans="3:7" hidden="1" x14ac:dyDescent="0.25">
      <c r="C4" s="205" t="s">
        <v>34</v>
      </c>
      <c r="D4" s="146" cm="1">
        <f t="array" ref="D4:D8">TRANSPOSE(Consolidate!Q9:U9)/1000</f>
        <v>165.47478247692308</v>
      </c>
      <c r="E4" s="146" cm="1">
        <f t="array" ref="E4:E8">TRANSPOSE(Consolidate!Q14:U14)/1000</f>
        <v>171.2650983526481</v>
      </c>
      <c r="F4" s="146" cm="1">
        <f t="array" ref="F4:F8">TRANSPOSE(Consolidate!Q19:U19)/1000</f>
        <v>194.65177032109861</v>
      </c>
      <c r="G4" s="60">
        <f>+(F4-E4)/E4</f>
        <v>0.1365524686197041</v>
      </c>
    </row>
    <row r="5" spans="3:7" hidden="1" x14ac:dyDescent="0.25">
      <c r="C5" s="205" t="s">
        <v>35</v>
      </c>
      <c r="D5" s="146">
        <v>165.76915925891296</v>
      </c>
      <c r="E5" s="146">
        <v>166.07730737209212</v>
      </c>
      <c r="F5" s="146">
        <v>220.22351617725502</v>
      </c>
      <c r="G5" s="60">
        <f t="shared" ref="G5:G7" si="0">+(F5-E5)/E5</f>
        <v>0.32603014621286969</v>
      </c>
    </row>
    <row r="6" spans="3:7" hidden="1" x14ac:dyDescent="0.25">
      <c r="C6" s="205" t="s">
        <v>36</v>
      </c>
      <c r="D6" s="146">
        <v>174.09512197256782</v>
      </c>
      <c r="E6" s="146">
        <v>158.77368943544582</v>
      </c>
      <c r="F6" s="146">
        <v>216.27384296562491</v>
      </c>
      <c r="G6" s="60">
        <f t="shared" si="0"/>
        <v>0.3621516495247627</v>
      </c>
    </row>
    <row r="7" spans="3:7" hidden="1" x14ac:dyDescent="0.25">
      <c r="C7" s="205" t="s">
        <v>76</v>
      </c>
      <c r="D7" s="146">
        <v>205.91768699659318</v>
      </c>
      <c r="E7" s="146">
        <v>206.93885492786018</v>
      </c>
      <c r="F7" s="146">
        <v>278.32652607588966</v>
      </c>
      <c r="G7" s="60">
        <f t="shared" si="0"/>
        <v>0.34496987611589691</v>
      </c>
    </row>
    <row r="8" spans="3:7" hidden="1" x14ac:dyDescent="0.25">
      <c r="C8" s="206" t="s">
        <v>58</v>
      </c>
      <c r="D8" s="207">
        <v>177.78011638083666</v>
      </c>
      <c r="E8" s="207">
        <v>175.61423999970381</v>
      </c>
      <c r="F8" s="207">
        <v>227.1793301019041</v>
      </c>
      <c r="G8" s="208">
        <f>+(F8-E8)/E8</f>
        <v>0.2936270435830674</v>
      </c>
    </row>
    <row r="9" spans="3:7" hidden="1" x14ac:dyDescent="0.25"/>
    <row r="10" spans="3:7" hidden="1" x14ac:dyDescent="0.25"/>
    <row r="11" spans="3:7" hidden="1" x14ac:dyDescent="0.25"/>
    <row r="12" spans="3:7" hidden="1" x14ac:dyDescent="0.25"/>
    <row r="13" spans="3:7" hidden="1" x14ac:dyDescent="0.25"/>
    <row r="14" spans="3:7" hidden="1" x14ac:dyDescent="0.25"/>
    <row r="15" spans="3:7" hidden="1" x14ac:dyDescent="0.25"/>
    <row r="16" spans="3:7" hidden="1" x14ac:dyDescent="0.25"/>
    <row r="17" spans="3:7" hidden="1" x14ac:dyDescent="0.25">
      <c r="C17" s="205" t="s">
        <v>213</v>
      </c>
      <c r="D17" s="119" t="s">
        <v>75</v>
      </c>
      <c r="E17" s="119" t="s">
        <v>100</v>
      </c>
      <c r="F17" s="119" t="s">
        <v>146</v>
      </c>
      <c r="G17" s="91" t="s">
        <v>65</v>
      </c>
    </row>
    <row r="18" spans="3:7" hidden="1" x14ac:dyDescent="0.25">
      <c r="C18" s="205" t="s">
        <v>34</v>
      </c>
      <c r="D18" s="146" cm="1">
        <f t="array" ref="D18:D22">TRANSPOSE(BIHAR!Q59:U59)/1000</f>
        <v>77.671396469780404</v>
      </c>
      <c r="E18" s="146" cm="1">
        <f t="array" ref="E18:E22">TRANSPOSE(BIHAR!Q64:U64)/1000</f>
        <v>94.953511136812892</v>
      </c>
      <c r="F18" s="146" cm="1">
        <f t="array" ref="F18:F22">TRANSPOSE(BIHAR!Q69:U69)/1000</f>
        <v>105.80369653953265</v>
      </c>
      <c r="G18" s="60">
        <f>+(F18-E18)/E18</f>
        <v>0.11426839590045669</v>
      </c>
    </row>
    <row r="19" spans="3:7" hidden="1" x14ac:dyDescent="0.25">
      <c r="C19" s="205" t="s">
        <v>35</v>
      </c>
      <c r="D19" s="146">
        <v>97.554190185597818</v>
      </c>
      <c r="E19" s="146">
        <v>101.18848777989122</v>
      </c>
      <c r="F19" s="146">
        <v>115.10707463584217</v>
      </c>
      <c r="G19" s="60">
        <f t="shared" ref="G19:G21" si="1">+(F19-E19)/E19</f>
        <v>0.13755109065595636</v>
      </c>
    </row>
    <row r="20" spans="3:7" hidden="1" x14ac:dyDescent="0.25">
      <c r="C20" s="205" t="s">
        <v>36</v>
      </c>
      <c r="D20" s="146">
        <v>109.9412993657608</v>
      </c>
      <c r="E20" s="146">
        <v>99.953327716902265</v>
      </c>
      <c r="F20" s="146">
        <v>114.52539078168473</v>
      </c>
      <c r="G20" s="60">
        <f t="shared" si="1"/>
        <v>0.1457886735502685</v>
      </c>
    </row>
    <row r="21" spans="3:7" hidden="1" x14ac:dyDescent="0.25">
      <c r="C21" s="205" t="s">
        <v>76</v>
      </c>
      <c r="D21" s="146">
        <v>139.82255099065901</v>
      </c>
      <c r="E21" s="146">
        <v>147.11542235305467</v>
      </c>
      <c r="F21" s="146">
        <v>174.20615052172303</v>
      </c>
      <c r="G21" s="60">
        <f t="shared" si="1"/>
        <v>0.18414607887713316</v>
      </c>
    </row>
    <row r="22" spans="3:7" hidden="1" x14ac:dyDescent="0.25">
      <c r="C22" s="206" t="s">
        <v>58</v>
      </c>
      <c r="D22" s="207">
        <v>106.24270015744531</v>
      </c>
      <c r="E22" s="207">
        <v>110.65613575597233</v>
      </c>
      <c r="F22" s="207">
        <v>127.21336096017812</v>
      </c>
      <c r="G22" s="208">
        <f>+(F22-E22)/E22</f>
        <v>0.14962771915982226</v>
      </c>
    </row>
    <row r="23" spans="3:7" hidden="1" x14ac:dyDescent="0.25"/>
    <row r="24" spans="3:7" hidden="1" x14ac:dyDescent="0.25"/>
    <row r="25" spans="3:7" hidden="1" x14ac:dyDescent="0.25"/>
    <row r="26" spans="3:7" hidden="1" x14ac:dyDescent="0.25"/>
    <row r="27" spans="3:7" hidden="1" x14ac:dyDescent="0.25"/>
    <row r="28" spans="3:7" hidden="1" x14ac:dyDescent="0.25"/>
    <row r="29" spans="3:7" hidden="1" x14ac:dyDescent="0.25"/>
    <row r="30" spans="3:7" hidden="1" x14ac:dyDescent="0.25"/>
    <row r="31" spans="3:7" hidden="1" x14ac:dyDescent="0.25"/>
    <row r="32" spans="3:7" hidden="1" x14ac:dyDescent="0.25"/>
    <row r="33" spans="3:11" hidden="1" x14ac:dyDescent="0.25">
      <c r="C33" s="205" t="s">
        <v>55</v>
      </c>
      <c r="D33" s="119" t="s">
        <v>75</v>
      </c>
      <c r="E33" s="119" t="s">
        <v>100</v>
      </c>
      <c r="F33" s="209" t="s">
        <v>146</v>
      </c>
      <c r="G33" s="91" t="s">
        <v>65</v>
      </c>
    </row>
    <row r="34" spans="3:11" hidden="1" x14ac:dyDescent="0.25">
      <c r="C34" s="205" t="s">
        <v>34</v>
      </c>
      <c r="D34" s="146" cm="1">
        <f t="array" ref="D34:D38">TRANSPOSE('WEST BENGAL'!Q38:U38)/1000</f>
        <v>87.803386007142706</v>
      </c>
      <c r="E34" s="146" cm="1">
        <f t="array" ref="E34:E38">TRANSPOSE('WEST BENGAL'!Q42:U42)/1000</f>
        <v>67.025840722527477</v>
      </c>
      <c r="F34" s="210" cm="1">
        <f t="array" ref="F34:F38">TRANSPOSE('WEST BENGAL'!Q46:U46)/1000</f>
        <v>70.468205912087925</v>
      </c>
      <c r="G34" s="60">
        <f>+(F34-E34)/E34</f>
        <v>5.1358776741213842E-2</v>
      </c>
    </row>
    <row r="35" spans="3:11" hidden="1" x14ac:dyDescent="0.25">
      <c r="C35" s="205" t="s">
        <v>35</v>
      </c>
      <c r="D35" s="146">
        <v>67.763271317119489</v>
      </c>
      <c r="E35" s="146">
        <v>53.657370097825932</v>
      </c>
      <c r="F35" s="210">
        <v>84.668521236412886</v>
      </c>
      <c r="G35" s="60">
        <f t="shared" ref="G35" si="2">+(F35-E35)/E35</f>
        <v>0.57794765345466403</v>
      </c>
    </row>
    <row r="36" spans="3:11" hidden="1" x14ac:dyDescent="0.25">
      <c r="C36" s="205" t="s">
        <v>36</v>
      </c>
      <c r="D36" s="146">
        <v>60.549680379891299</v>
      </c>
      <c r="E36" s="146">
        <v>48.508339698369639</v>
      </c>
      <c r="F36" s="210">
        <v>82.881054328804254</v>
      </c>
      <c r="G36" s="60">
        <f>+(F36-E36)/E36</f>
        <v>0.70859392104879404</v>
      </c>
    </row>
    <row r="37" spans="3:11" hidden="1" x14ac:dyDescent="0.25">
      <c r="C37" s="205" t="s">
        <v>76</v>
      </c>
      <c r="D37" s="146">
        <v>59.593320326648424</v>
      </c>
      <c r="E37" s="146">
        <v>48.583063819444398</v>
      </c>
      <c r="F37" s="210">
        <v>86.614882662499966</v>
      </c>
      <c r="G37" s="60">
        <f>+(F37-E37)/E37</f>
        <v>0.78282051095826721</v>
      </c>
    </row>
    <row r="38" spans="3:11" hidden="1" x14ac:dyDescent="0.25">
      <c r="C38" s="206" t="s">
        <v>58</v>
      </c>
      <c r="D38" s="207">
        <v>68.901343804644753</v>
      </c>
      <c r="E38" s="207">
        <v>54.441294659589019</v>
      </c>
      <c r="F38" s="210">
        <v>81.157553779794455</v>
      </c>
      <c r="G38" s="208">
        <f>+(F38-E38)/E38</f>
        <v>0.49073519076386929</v>
      </c>
    </row>
    <row r="39" spans="3:11" hidden="1" x14ac:dyDescent="0.25"/>
    <row r="40" spans="3:11" hidden="1" x14ac:dyDescent="0.25"/>
    <row r="41" spans="3:11" hidden="1" x14ac:dyDescent="0.25"/>
    <row r="42" spans="3:11" x14ac:dyDescent="0.25">
      <c r="C42" s="200"/>
      <c r="D42" s="222" t="s">
        <v>228</v>
      </c>
      <c r="E42" s="222"/>
      <c r="F42" s="222"/>
      <c r="G42" s="222"/>
      <c r="H42" s="222" t="s">
        <v>222</v>
      </c>
      <c r="I42" s="222"/>
      <c r="J42" s="222"/>
      <c r="K42" s="222"/>
    </row>
    <row r="43" spans="3:11" x14ac:dyDescent="0.25">
      <c r="C43" s="100" t="s">
        <v>66</v>
      </c>
      <c r="D43" s="100" t="s">
        <v>54</v>
      </c>
      <c r="E43" s="100" t="s">
        <v>55</v>
      </c>
      <c r="F43" s="100" t="s">
        <v>64</v>
      </c>
      <c r="G43" s="100" t="s">
        <v>225</v>
      </c>
      <c r="H43" s="100" t="s">
        <v>54</v>
      </c>
      <c r="I43" s="100" t="s">
        <v>55</v>
      </c>
      <c r="J43" s="100" t="s">
        <v>64</v>
      </c>
      <c r="K43" s="100" t="s">
        <v>226</v>
      </c>
    </row>
    <row r="44" spans="3:11" x14ac:dyDescent="0.25">
      <c r="C44" s="197" t="s">
        <v>38</v>
      </c>
      <c r="D44" s="51">
        <v>106242.70015744532</v>
      </c>
      <c r="E44" s="51">
        <v>68901.343804644755</v>
      </c>
      <c r="F44" s="51">
        <v>4523.7654391039787</v>
      </c>
      <c r="G44" s="211">
        <f>SUM(D44:F44)</f>
        <v>179667.80940119404</v>
      </c>
      <c r="H44" s="198">
        <v>2.9625336315939981</v>
      </c>
      <c r="I44" s="198">
        <v>2.89</v>
      </c>
      <c r="J44" s="198">
        <v>4.1516524220259665</v>
      </c>
      <c r="K44" s="198">
        <f>(D44*H44+E44*I44+F44*J44)/(F44+E44+D44)</f>
        <v>2.9646577171525617</v>
      </c>
    </row>
    <row r="45" spans="3:11" x14ac:dyDescent="0.25">
      <c r="C45" s="199" t="s">
        <v>98</v>
      </c>
      <c r="D45" s="51">
        <v>110656.13575597233</v>
      </c>
      <c r="E45" s="51">
        <v>54441.294659589017</v>
      </c>
      <c r="F45" s="51">
        <f>JHARKHAND!U20</f>
        <v>10516.809584142462</v>
      </c>
      <c r="G45" s="211">
        <f t="shared" ref="G45:G46" si="3">SUM(D45:F45)</f>
        <v>175614.2399997038</v>
      </c>
      <c r="H45" s="198">
        <v>2.8713665578740262</v>
      </c>
      <c r="I45" s="198">
        <v>2.8986351099475014</v>
      </c>
      <c r="J45" s="198">
        <f>JHARKHAND!U38</f>
        <v>3.6553669460121081</v>
      </c>
      <c r="K45" s="198">
        <f>(D45*H45+E45*I45+F45*J45)/(F45+E45+D45)</f>
        <v>2.9267704822615408</v>
      </c>
    </row>
    <row r="46" spans="3:11" x14ac:dyDescent="0.25">
      <c r="C46" s="197" t="s">
        <v>193</v>
      </c>
      <c r="D46" s="51">
        <f>BIHAR!U69</f>
        <v>127213.36096017812</v>
      </c>
      <c r="E46" s="51">
        <f>'WEST BENGAL'!U46</f>
        <v>81157.553779794456</v>
      </c>
      <c r="F46" s="51">
        <v>19000</v>
      </c>
      <c r="G46" s="211">
        <f t="shared" si="3"/>
        <v>227370.91473997256</v>
      </c>
      <c r="H46" s="198">
        <v>2.75</v>
      </c>
      <c r="I46" s="198">
        <v>2.86</v>
      </c>
      <c r="J46" s="198">
        <v>3.76</v>
      </c>
      <c r="K46" s="198">
        <f>(D46*H46+E46*I46+F46*J46)/(F46+E46+D46)</f>
        <v>2.8736628306128473</v>
      </c>
    </row>
    <row r="47" spans="3:11" x14ac:dyDescent="0.25">
      <c r="C47" s="197" t="s">
        <v>227</v>
      </c>
      <c r="D47" s="51">
        <v>201017.9209233282</v>
      </c>
      <c r="E47" s="51">
        <v>120878.98811784548</v>
      </c>
      <c r="F47" s="51">
        <v>31536.8098224635</v>
      </c>
      <c r="G47" s="211">
        <f t="shared" ref="G47" si="4">SUM(D47:F47)</f>
        <v>353433.71886363719</v>
      </c>
      <c r="H47" s="198">
        <v>2.9046317544178897</v>
      </c>
      <c r="I47" s="198">
        <v>2.8526454375532908</v>
      </c>
      <c r="J47" s="198">
        <v>3.5</v>
      </c>
      <c r="K47" s="198">
        <f>(D47*H47+E47*I47+F47*J47)/(F47+E47+D47)</f>
        <v>2.9399763214186123</v>
      </c>
    </row>
    <row r="48" spans="3:11" x14ac:dyDescent="0.25">
      <c r="J48" s="196"/>
    </row>
    <row r="49" spans="3:7" x14ac:dyDescent="0.25">
      <c r="C49" s="100" t="s">
        <v>66</v>
      </c>
      <c r="D49" s="100" t="str">
        <f t="shared" ref="D49:G53" si="5">H43</f>
        <v>BR</v>
      </c>
      <c r="E49" s="100" t="str">
        <f t="shared" si="5"/>
        <v>WB</v>
      </c>
      <c r="F49" s="100" t="str">
        <f t="shared" si="5"/>
        <v>JH</v>
      </c>
      <c r="G49" s="100" t="str">
        <f t="shared" si="5"/>
        <v>Total SCC</v>
      </c>
    </row>
    <row r="50" spans="3:7" x14ac:dyDescent="0.25">
      <c r="C50" s="197" t="s">
        <v>38</v>
      </c>
      <c r="D50" s="201">
        <f>H44</f>
        <v>2.9625336315939981</v>
      </c>
      <c r="E50" s="201">
        <f>I44</f>
        <v>2.89</v>
      </c>
      <c r="F50" s="201">
        <f>J44</f>
        <v>4.1516524220259665</v>
      </c>
      <c r="G50" s="201">
        <f>K44</f>
        <v>2.9646577171525617</v>
      </c>
    </row>
    <row r="51" spans="3:7" x14ac:dyDescent="0.25">
      <c r="C51" s="199" t="s">
        <v>98</v>
      </c>
      <c r="D51" s="201">
        <f t="shared" si="5"/>
        <v>2.8713665578740262</v>
      </c>
      <c r="E51" s="201">
        <f t="shared" si="5"/>
        <v>2.8986351099475014</v>
      </c>
      <c r="F51" s="201">
        <f>J45</f>
        <v>3.6553669460121081</v>
      </c>
      <c r="G51" s="201">
        <f t="shared" si="5"/>
        <v>2.9267704822615408</v>
      </c>
    </row>
    <row r="52" spans="3:7" x14ac:dyDescent="0.25">
      <c r="C52" s="197" t="s">
        <v>193</v>
      </c>
      <c r="D52" s="201">
        <f t="shared" si="5"/>
        <v>2.75</v>
      </c>
      <c r="E52" s="201">
        <f t="shared" si="5"/>
        <v>2.86</v>
      </c>
      <c r="F52" s="201">
        <f t="shared" si="5"/>
        <v>3.76</v>
      </c>
      <c r="G52" s="201">
        <f t="shared" si="5"/>
        <v>2.8736628306128473</v>
      </c>
    </row>
    <row r="53" spans="3:7" x14ac:dyDescent="0.25">
      <c r="C53" s="197" t="s">
        <v>229</v>
      </c>
      <c r="D53" s="201">
        <f t="shared" si="5"/>
        <v>2.9046317544178897</v>
      </c>
      <c r="E53" s="201">
        <f t="shared" si="5"/>
        <v>2.8526454375532908</v>
      </c>
      <c r="F53" s="201">
        <f t="shared" si="5"/>
        <v>3.5</v>
      </c>
      <c r="G53" s="201">
        <f t="shared" si="5"/>
        <v>2.9399763214186123</v>
      </c>
    </row>
    <row r="54" spans="3:7" x14ac:dyDescent="0.25">
      <c r="C54" s="197" t="s">
        <v>230</v>
      </c>
      <c r="D54" s="201">
        <v>2.74</v>
      </c>
      <c r="E54" s="201">
        <v>2.8</v>
      </c>
      <c r="F54" s="201">
        <v>3.45</v>
      </c>
      <c r="G54" s="201">
        <v>2.8</v>
      </c>
    </row>
    <row r="55" spans="3:7" x14ac:dyDescent="0.25">
      <c r="C55" s="197" t="s">
        <v>231</v>
      </c>
      <c r="D55" s="201">
        <v>2.65</v>
      </c>
      <c r="E55" s="201">
        <v>2.75</v>
      </c>
      <c r="F55" s="201">
        <v>3.42</v>
      </c>
      <c r="G55" s="201">
        <v>2.72</v>
      </c>
    </row>
    <row r="62" spans="3:7" x14ac:dyDescent="0.25">
      <c r="C62" s="213" t="s">
        <v>15</v>
      </c>
      <c r="D62" s="213"/>
      <c r="E62" s="213"/>
      <c r="F62" s="213"/>
      <c r="G62" s="213"/>
    </row>
    <row r="63" spans="3:7" x14ac:dyDescent="0.25">
      <c r="C63" s="100" t="s">
        <v>66</v>
      </c>
      <c r="D63" s="100" t="s">
        <v>54</v>
      </c>
      <c r="E63" s="100" t="s">
        <v>55</v>
      </c>
      <c r="F63" s="100" t="s">
        <v>64</v>
      </c>
      <c r="G63" s="100" t="s">
        <v>58</v>
      </c>
    </row>
    <row r="64" spans="3:7" x14ac:dyDescent="0.25">
      <c r="C64" s="197" t="s">
        <v>38</v>
      </c>
      <c r="D64" s="212">
        <v>16.2</v>
      </c>
      <c r="E64" s="212">
        <v>6.4</v>
      </c>
      <c r="F64" s="212">
        <v>0.2</v>
      </c>
      <c r="G64" s="214">
        <f>SUM(D64:F64)</f>
        <v>22.8</v>
      </c>
    </row>
    <row r="65" spans="3:7" x14ac:dyDescent="0.25">
      <c r="C65" s="199" t="s">
        <v>98</v>
      </c>
      <c r="D65" s="212">
        <v>19</v>
      </c>
      <c r="E65" s="212">
        <v>4.5999999999999996</v>
      </c>
      <c r="F65" s="212">
        <v>2.2000000000000002</v>
      </c>
      <c r="G65" s="214">
        <f t="shared" ref="G65:G69" si="6">SUM(D65:F65)</f>
        <v>25.8</v>
      </c>
    </row>
    <row r="66" spans="3:7" x14ac:dyDescent="0.25">
      <c r="C66" s="197" t="s">
        <v>193</v>
      </c>
      <c r="D66" s="212">
        <v>23</v>
      </c>
      <c r="E66" s="212">
        <v>6.8</v>
      </c>
      <c r="F66" s="212">
        <v>2.5</v>
      </c>
      <c r="G66" s="214">
        <f t="shared" si="6"/>
        <v>32.299999999999997</v>
      </c>
    </row>
    <row r="67" spans="3:7" x14ac:dyDescent="0.25">
      <c r="C67" s="197" t="s">
        <v>229</v>
      </c>
      <c r="D67" s="212">
        <v>29</v>
      </c>
      <c r="E67" s="212">
        <v>9</v>
      </c>
      <c r="F67" s="212">
        <v>3</v>
      </c>
      <c r="G67" s="214">
        <f t="shared" si="6"/>
        <v>41</v>
      </c>
    </row>
    <row r="68" spans="3:7" x14ac:dyDescent="0.25">
      <c r="C68" s="197" t="s">
        <v>230</v>
      </c>
      <c r="D68" s="212">
        <v>36</v>
      </c>
      <c r="E68" s="212">
        <v>13.5</v>
      </c>
      <c r="F68" s="212">
        <v>3.5</v>
      </c>
      <c r="G68" s="214">
        <f t="shared" si="6"/>
        <v>53</v>
      </c>
    </row>
    <row r="69" spans="3:7" x14ac:dyDescent="0.25">
      <c r="C69" s="197" t="s">
        <v>231</v>
      </c>
      <c r="D69" s="212">
        <v>43</v>
      </c>
      <c r="E69" s="212">
        <v>17</v>
      </c>
      <c r="F69" s="212">
        <v>3.7</v>
      </c>
      <c r="G69" s="214">
        <f t="shared" si="6"/>
        <v>63.7</v>
      </c>
    </row>
    <row r="72" spans="3:7" x14ac:dyDescent="0.25">
      <c r="C72" s="223" t="s">
        <v>232</v>
      </c>
      <c r="D72" s="223"/>
      <c r="E72" s="223"/>
      <c r="F72" s="223"/>
    </row>
    <row r="73" spans="3:7" x14ac:dyDescent="0.25">
      <c r="C73" s="100" t="s">
        <v>66</v>
      </c>
      <c r="D73" s="100" t="s">
        <v>54</v>
      </c>
      <c r="E73" s="100" t="s">
        <v>55</v>
      </c>
      <c r="F73" s="100" t="s">
        <v>64</v>
      </c>
    </row>
    <row r="74" spans="3:7" x14ac:dyDescent="0.25">
      <c r="C74" s="197" t="s">
        <v>233</v>
      </c>
      <c r="D74" s="216">
        <v>0.69453803482014387</v>
      </c>
      <c r="E74" s="216">
        <v>0.68081148326801322</v>
      </c>
      <c r="F74" s="216">
        <v>0.74433147521867071</v>
      </c>
    </row>
    <row r="75" spans="3:7" x14ac:dyDescent="0.25">
      <c r="C75" s="197" t="s">
        <v>234</v>
      </c>
      <c r="D75" s="216">
        <v>0.67349141784731847</v>
      </c>
      <c r="E75" s="216">
        <v>0.6</v>
      </c>
      <c r="F75" s="216">
        <v>0.65</v>
      </c>
    </row>
    <row r="76" spans="3:7" x14ac:dyDescent="0.25">
      <c r="C76" s="197" t="s">
        <v>229</v>
      </c>
      <c r="D76" s="216">
        <v>0.93</v>
      </c>
      <c r="E76" s="216">
        <v>0.79</v>
      </c>
      <c r="F76" s="216">
        <v>0.77</v>
      </c>
    </row>
    <row r="77" spans="3:7" x14ac:dyDescent="0.25">
      <c r="C77" s="197" t="s">
        <v>230</v>
      </c>
      <c r="D77" s="216">
        <v>1</v>
      </c>
      <c r="E77" s="216">
        <v>0.9</v>
      </c>
      <c r="F77" s="216">
        <v>0.85</v>
      </c>
    </row>
    <row r="78" spans="3:7" x14ac:dyDescent="0.25">
      <c r="C78" s="197" t="s">
        <v>231</v>
      </c>
      <c r="D78" s="216">
        <v>1.1000000000000001</v>
      </c>
      <c r="E78" s="216">
        <v>1</v>
      </c>
      <c r="F78" s="216">
        <v>0.93</v>
      </c>
    </row>
  </sheetData>
  <mergeCells count="3">
    <mergeCell ref="H42:K42"/>
    <mergeCell ref="D42:G42"/>
    <mergeCell ref="C72:F7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640E-8992-447D-AB7C-7925C05E1F6D}">
  <sheetPr>
    <tabColor rgb="FFC00000"/>
  </sheetPr>
  <dimension ref="B3:U36"/>
  <sheetViews>
    <sheetView showGridLines="0" workbookViewId="0">
      <selection activeCell="D17" sqref="D17"/>
    </sheetView>
  </sheetViews>
  <sheetFormatPr defaultRowHeight="15" x14ac:dyDescent="0.25"/>
  <cols>
    <col min="2" max="2" width="24.42578125" bestFit="1" customWidth="1"/>
    <col min="3" max="4" width="10.28515625" customWidth="1"/>
    <col min="5" max="5" width="10" customWidth="1"/>
    <col min="6" max="6" width="10.28515625" customWidth="1"/>
    <col min="7" max="7" width="10.85546875" style="81" customWidth="1"/>
    <col min="8" max="8" width="7.7109375" style="81" bestFit="1" customWidth="1"/>
    <col min="9" max="9" width="13.5703125" bestFit="1" customWidth="1"/>
    <col min="10" max="15" width="8.85546875" customWidth="1"/>
    <col min="16" max="16" width="11.5703125" bestFit="1" customWidth="1"/>
    <col min="17" max="21" width="8.85546875" customWidth="1"/>
  </cols>
  <sheetData>
    <row r="3" spans="2:8" x14ac:dyDescent="0.25">
      <c r="B3" s="53" t="s">
        <v>66</v>
      </c>
      <c r="C3" s="53" t="s">
        <v>54</v>
      </c>
      <c r="D3" s="53" t="s">
        <v>55</v>
      </c>
      <c r="E3" s="53" t="s">
        <v>64</v>
      </c>
      <c r="F3" s="53" t="s">
        <v>58</v>
      </c>
      <c r="G3" s="53" t="s">
        <v>65</v>
      </c>
    </row>
    <row r="4" spans="2:8" x14ac:dyDescent="0.25">
      <c r="B4" s="82" t="s">
        <v>67</v>
      </c>
      <c r="C4" s="51">
        <f>BIHAR!U40</f>
        <v>63237.57688442072</v>
      </c>
      <c r="D4" s="82"/>
      <c r="E4" s="82"/>
      <c r="F4" s="51">
        <f>C4+D4+E4</f>
        <v>63237.57688442072</v>
      </c>
      <c r="G4" s="60">
        <v>1</v>
      </c>
      <c r="H4" s="86"/>
    </row>
    <row r="5" spans="2:8" x14ac:dyDescent="0.25">
      <c r="B5" s="82" t="s">
        <v>68</v>
      </c>
      <c r="C5" s="51">
        <f>BIHAR!U42</f>
        <v>95322.95081742006</v>
      </c>
      <c r="D5" s="82"/>
      <c r="E5" s="82"/>
      <c r="F5" s="51">
        <f t="shared" ref="F5:F10" si="0">C5+D5+E5</f>
        <v>95322.95081742006</v>
      </c>
      <c r="G5" s="60">
        <f t="shared" ref="G5:G10" si="1">F5/F4</f>
        <v>1.5073782948964309</v>
      </c>
      <c r="H5" s="86"/>
    </row>
    <row r="6" spans="2:8" x14ac:dyDescent="0.25">
      <c r="B6" s="82" t="s">
        <v>69</v>
      </c>
      <c r="C6" s="51">
        <f>BIHAR!U45</f>
        <v>78700.599993442622</v>
      </c>
      <c r="D6" s="51">
        <f>'WEST BENGAL'!U26</f>
        <v>30847.099248937458</v>
      </c>
      <c r="E6" s="51"/>
      <c r="F6" s="51">
        <f t="shared" si="0"/>
        <v>109547.69924238008</v>
      </c>
      <c r="G6" s="60">
        <f t="shared" si="1"/>
        <v>1.1492268997442794</v>
      </c>
      <c r="H6" s="86"/>
    </row>
    <row r="7" spans="2:8" x14ac:dyDescent="0.25">
      <c r="B7" s="82" t="s">
        <v>70</v>
      </c>
      <c r="C7" s="51">
        <f>BIHAR!U49</f>
        <v>85718.6394112329</v>
      </c>
      <c r="D7" s="51">
        <f>'WEST BENGAL'!U29</f>
        <v>49747.200184759109</v>
      </c>
      <c r="E7" s="51"/>
      <c r="F7" s="51">
        <f t="shared" si="0"/>
        <v>135465.839595992</v>
      </c>
      <c r="G7" s="60">
        <f t="shared" si="1"/>
        <v>1.2365922838440144</v>
      </c>
      <c r="H7" s="86"/>
    </row>
    <row r="8" spans="2:8" x14ac:dyDescent="0.25">
      <c r="B8" s="82" t="s">
        <v>71</v>
      </c>
      <c r="C8" s="51">
        <f>BIHAR!U53</f>
        <v>110324.2506682698</v>
      </c>
      <c r="D8" s="51">
        <f>'WEST BENGAL'!U33</f>
        <v>54835.417665098968</v>
      </c>
      <c r="E8" s="51"/>
      <c r="F8" s="51">
        <f t="shared" si="0"/>
        <v>165159.66833336878</v>
      </c>
      <c r="G8" s="60">
        <f t="shared" si="1"/>
        <v>1.2191979086826206</v>
      </c>
      <c r="H8" s="86"/>
    </row>
    <row r="9" spans="2:8" x14ac:dyDescent="0.25">
      <c r="B9" s="82" t="s">
        <v>72</v>
      </c>
      <c r="C9" s="51">
        <f>BIHAR!U58</f>
        <v>137845.62607499998</v>
      </c>
      <c r="D9" s="51">
        <f>'WEST BENGAL'!U37</f>
        <v>60401.683735536848</v>
      </c>
      <c r="E9" s="51"/>
      <c r="F9" s="51">
        <f t="shared" si="0"/>
        <v>198247.30981053683</v>
      </c>
      <c r="G9" s="60">
        <f t="shared" si="1"/>
        <v>1.2003372966963208</v>
      </c>
      <c r="H9" s="86"/>
    </row>
    <row r="10" spans="2:8" x14ac:dyDescent="0.25">
      <c r="B10" s="82" t="s">
        <v>93</v>
      </c>
      <c r="C10" s="51">
        <f>BIHAR!U63</f>
        <v>142133.71464057371</v>
      </c>
      <c r="D10" s="51">
        <f>'WEST BENGAL'!U41</f>
        <v>63798.737846106502</v>
      </c>
      <c r="E10" s="51">
        <f>JHARKHAND!U19</f>
        <v>19848.561246683679</v>
      </c>
      <c r="F10" s="51">
        <f t="shared" si="0"/>
        <v>225781.01373336388</v>
      </c>
      <c r="G10" s="60">
        <f t="shared" si="1"/>
        <v>1.13888563708199</v>
      </c>
      <c r="H10" s="86"/>
    </row>
    <row r="11" spans="2:8" x14ac:dyDescent="0.25">
      <c r="B11" s="82" t="s">
        <v>94</v>
      </c>
      <c r="C11" s="51">
        <f>BIHAR!U68</f>
        <v>154571.97512891752</v>
      </c>
      <c r="D11" s="51">
        <f>'WEST BENGAL'!U45</f>
        <v>67664.380915753383</v>
      </c>
      <c r="E11" s="51">
        <f>JHARKHAND!U24</f>
        <v>32342.837311539719</v>
      </c>
      <c r="F11" s="51">
        <f>C11+D11+E11</f>
        <v>254579.19335621063</v>
      </c>
      <c r="G11" s="60">
        <f>F11/F10</f>
        <v>1.1275491643281217</v>
      </c>
      <c r="H11" s="86"/>
    </row>
    <row r="12" spans="2:8" x14ac:dyDescent="0.25">
      <c r="B12" s="82" t="s">
        <v>237</v>
      </c>
      <c r="C12" s="51">
        <f>BIHAR!U73</f>
        <v>199773.05662250691</v>
      </c>
      <c r="D12" s="51">
        <f>'WEST BENGAL'!U49</f>
        <v>93620.164875684859</v>
      </c>
      <c r="E12" s="51">
        <f>JHARKHAND!U29</f>
        <v>38794.674950972607</v>
      </c>
      <c r="F12" s="51">
        <f>C12+D12+E12</f>
        <v>332187.89644916437</v>
      </c>
      <c r="G12" s="60">
        <f>F12/F11</f>
        <v>1.3048509270133581</v>
      </c>
    </row>
    <row r="15" spans="2:8" ht="15.75" thickBot="1" x14ac:dyDescent="0.3"/>
    <row r="16" spans="2:8" ht="15.75" thickBot="1" x14ac:dyDescent="0.3">
      <c r="B16" s="185" t="s">
        <v>84</v>
      </c>
      <c r="C16" s="185" t="s">
        <v>200</v>
      </c>
      <c r="D16" s="185" t="s">
        <v>75</v>
      </c>
      <c r="E16" s="185" t="s">
        <v>100</v>
      </c>
      <c r="F16" s="185" t="s">
        <v>212</v>
      </c>
    </row>
    <row r="17" spans="2:14" ht="15.75" thickBot="1" x14ac:dyDescent="0.3">
      <c r="B17" s="186" t="s">
        <v>201</v>
      </c>
      <c r="C17" s="187" t="s">
        <v>202</v>
      </c>
      <c r="D17" s="189">
        <f>BIHAR!P14+'WEST BENGAL'!V9+JHARKHAND!N4</f>
        <v>896</v>
      </c>
      <c r="E17" s="189">
        <f>BIHAR!P15+'WEST BENGAL'!V10+JHARKHAND!O5</f>
        <v>1038</v>
      </c>
      <c r="F17" s="189">
        <f>BIHAR!P16+'WEST BENGAL'!V11+JHARKHAND!H6</f>
        <v>1452</v>
      </c>
    </row>
    <row r="18" spans="2:14" ht="15.75" thickBot="1" x14ac:dyDescent="0.3">
      <c r="B18" s="186" t="s">
        <v>203</v>
      </c>
      <c r="C18" s="187" t="s">
        <v>204</v>
      </c>
      <c r="D18" s="189">
        <f>BIHAR!U59+'WEST BENGAL'!U38+JHARKHAND!U15</f>
        <v>179667.80940119404</v>
      </c>
      <c r="E18" s="189">
        <f>BIHAR!U64+'WEST BENGAL'!U42+JHARKHAND!U20</f>
        <v>175614.2399997038</v>
      </c>
      <c r="F18" s="189">
        <f>BIHAR!U69+'WEST BENGAL'!U46+JHARKHAND!U25</f>
        <v>227179.33010190408</v>
      </c>
    </row>
    <row r="19" spans="2:14" ht="15.75" thickBot="1" x14ac:dyDescent="0.3">
      <c r="B19" s="186" t="s">
        <v>205</v>
      </c>
      <c r="C19" s="187" t="s">
        <v>202</v>
      </c>
      <c r="D19" s="189">
        <f>BIHAR!P28+'WEST BENGAL'!V18+JHARKHAND!O9</f>
        <v>20828</v>
      </c>
      <c r="E19" s="189">
        <f>BIHAR!P29+'WEST BENGAL'!V19+JHARKHAND!O10</f>
        <v>14119</v>
      </c>
      <c r="F19" s="189">
        <f>BIHAR!D30+'WEST BENGAL'!E20+JHARKHAND!H11</f>
        <v>12935</v>
      </c>
    </row>
    <row r="20" spans="2:14" ht="15.75" thickBot="1" x14ac:dyDescent="0.3">
      <c r="B20" s="186" t="s">
        <v>206</v>
      </c>
      <c r="C20" s="187" t="s">
        <v>202</v>
      </c>
      <c r="D20" s="191">
        <f>13+1+10</f>
        <v>24</v>
      </c>
      <c r="E20" s="191">
        <f>14+1+7</f>
        <v>22</v>
      </c>
      <c r="F20" s="191">
        <f>18+2+11</f>
        <v>31</v>
      </c>
    </row>
    <row r="21" spans="2:14" ht="15.75" thickBot="1" x14ac:dyDescent="0.3">
      <c r="B21" s="186" t="s">
        <v>207</v>
      </c>
      <c r="C21" s="187" t="s">
        <v>208</v>
      </c>
      <c r="D21" s="191">
        <f>93+80+5</f>
        <v>178</v>
      </c>
      <c r="E21" s="191">
        <f>110+5+62</f>
        <v>177</v>
      </c>
      <c r="F21" s="191">
        <f>125+82+10</f>
        <v>217</v>
      </c>
    </row>
    <row r="22" spans="2:14" ht="15.75" thickBot="1" x14ac:dyDescent="0.3">
      <c r="B22" s="186" t="s">
        <v>209</v>
      </c>
      <c r="C22" s="188"/>
      <c r="D22" s="192">
        <v>0.66</v>
      </c>
      <c r="E22" s="192">
        <v>0.7</v>
      </c>
      <c r="F22" s="192">
        <v>0.68</v>
      </c>
    </row>
    <row r="23" spans="2:14" ht="15.75" thickBot="1" x14ac:dyDescent="0.3">
      <c r="B23" s="186" t="s">
        <v>210</v>
      </c>
      <c r="C23" s="187" t="s">
        <v>208</v>
      </c>
      <c r="D23" s="191">
        <f>39+4+10</f>
        <v>53</v>
      </c>
      <c r="E23" s="191">
        <f>29+8.5+29</f>
        <v>66.5</v>
      </c>
      <c r="F23" s="191">
        <f>32+11+22</f>
        <v>65</v>
      </c>
    </row>
    <row r="24" spans="2:14" ht="15.75" thickBot="1" x14ac:dyDescent="0.3">
      <c r="B24" s="186" t="s">
        <v>211</v>
      </c>
      <c r="C24" s="188"/>
      <c r="D24" s="192">
        <v>0.65</v>
      </c>
      <c r="E24" s="192">
        <v>0.44</v>
      </c>
      <c r="F24" s="192">
        <v>0.72</v>
      </c>
    </row>
    <row r="29" spans="2:14" x14ac:dyDescent="0.25">
      <c r="B29" s="175" t="s">
        <v>66</v>
      </c>
      <c r="C29" s="175" t="s">
        <v>70</v>
      </c>
      <c r="D29" s="175" t="s">
        <v>71</v>
      </c>
      <c r="E29" s="175" t="s">
        <v>72</v>
      </c>
      <c r="F29" s="175" t="s">
        <v>93</v>
      </c>
      <c r="G29" s="175" t="s">
        <v>94</v>
      </c>
      <c r="H29" s="175" t="s">
        <v>237</v>
      </c>
      <c r="I29" s="175" t="s">
        <v>239</v>
      </c>
      <c r="J29" s="175" t="s">
        <v>240</v>
      </c>
      <c r="K29" s="175" t="s">
        <v>241</v>
      </c>
      <c r="L29" s="175" t="s">
        <v>242</v>
      </c>
      <c r="M29" s="175" t="s">
        <v>243</v>
      </c>
      <c r="N29" s="175" t="s">
        <v>244</v>
      </c>
    </row>
    <row r="30" spans="2:14" x14ac:dyDescent="0.25">
      <c r="B30" s="82" t="s">
        <v>194</v>
      </c>
      <c r="C30" s="82">
        <v>2</v>
      </c>
      <c r="D30" s="82">
        <v>2</v>
      </c>
      <c r="E30" s="82">
        <v>2</v>
      </c>
      <c r="F30" s="82">
        <v>3</v>
      </c>
      <c r="G30" s="82">
        <v>3</v>
      </c>
      <c r="H30" s="82">
        <v>3</v>
      </c>
      <c r="I30" s="82">
        <v>3</v>
      </c>
      <c r="J30" s="82">
        <v>3</v>
      </c>
      <c r="K30" s="82">
        <v>3</v>
      </c>
      <c r="L30" s="82">
        <v>3</v>
      </c>
      <c r="M30" s="82">
        <v>3</v>
      </c>
      <c r="N30" s="82">
        <v>3</v>
      </c>
    </row>
    <row r="31" spans="2:14" x14ac:dyDescent="0.25">
      <c r="B31" s="82" t="s">
        <v>197</v>
      </c>
      <c r="C31" s="220">
        <v>9</v>
      </c>
      <c r="D31" s="220">
        <v>10</v>
      </c>
      <c r="E31" s="220">
        <v>11</v>
      </c>
      <c r="F31" s="220">
        <v>12</v>
      </c>
      <c r="G31" s="220">
        <v>13</v>
      </c>
      <c r="H31" s="82"/>
      <c r="I31" s="82"/>
      <c r="J31" s="82"/>
      <c r="K31" s="82"/>
      <c r="L31" s="82"/>
      <c r="M31" s="82"/>
      <c r="N31" s="82"/>
    </row>
    <row r="32" spans="2:14" x14ac:dyDescent="0.25">
      <c r="B32" s="82" t="s">
        <v>238</v>
      </c>
      <c r="C32" s="220">
        <v>2</v>
      </c>
      <c r="D32" s="220">
        <v>3</v>
      </c>
      <c r="E32" s="220">
        <v>3</v>
      </c>
      <c r="F32" s="220">
        <v>5</v>
      </c>
      <c r="G32" s="220">
        <v>6</v>
      </c>
      <c r="H32" s="220">
        <v>7</v>
      </c>
      <c r="I32" s="220">
        <v>7</v>
      </c>
      <c r="J32" s="82"/>
      <c r="K32" s="82"/>
      <c r="L32" s="82"/>
      <c r="M32" s="82"/>
      <c r="N32" s="82"/>
    </row>
    <row r="33" spans="2:21" x14ac:dyDescent="0.25">
      <c r="B33" s="82" t="s">
        <v>195</v>
      </c>
      <c r="C33" s="51" cm="1">
        <f t="array" ref="C33:H33">TRANSPOSE(BIHAR!AA12:AA17)</f>
        <v>626</v>
      </c>
      <c r="D33" s="51">
        <v>618</v>
      </c>
      <c r="E33" s="51">
        <v>692</v>
      </c>
      <c r="F33" s="51">
        <v>894</v>
      </c>
      <c r="G33" s="51">
        <v>1038</v>
      </c>
      <c r="H33" s="51">
        <v>1464</v>
      </c>
      <c r="I33" s="51">
        <f>1602+342+205</f>
        <v>2149</v>
      </c>
      <c r="J33" s="51"/>
      <c r="K33" s="51"/>
      <c r="L33" s="51"/>
      <c r="M33" s="51"/>
      <c r="N33" s="51"/>
    </row>
    <row r="34" spans="2:21" x14ac:dyDescent="0.25">
      <c r="B34" s="82" t="s">
        <v>198</v>
      </c>
      <c r="C34" s="51" cm="1">
        <f t="array" ref="C34:H34">TRANSPOSE(F7:F12)</f>
        <v>135465.839595992</v>
      </c>
      <c r="D34" s="51">
        <v>165159.66833336878</v>
      </c>
      <c r="E34" s="51">
        <v>198247.30981053683</v>
      </c>
      <c r="F34" s="51">
        <v>225781.01373336388</v>
      </c>
      <c r="G34" s="51">
        <v>254579.19335621063</v>
      </c>
      <c r="H34" s="51">
        <v>332187.89644916437</v>
      </c>
      <c r="I34" s="51">
        <v>502540.46866056195</v>
      </c>
      <c r="J34" s="51">
        <v>569954</v>
      </c>
      <c r="K34" s="51">
        <v>669365</v>
      </c>
      <c r="L34" s="51">
        <v>790154</v>
      </c>
      <c r="M34" s="51">
        <v>934694</v>
      </c>
      <c r="N34" s="51">
        <v>1094380</v>
      </c>
    </row>
    <row r="35" spans="2:21" x14ac:dyDescent="0.25">
      <c r="B35" s="82" t="s">
        <v>196</v>
      </c>
      <c r="C35" s="51">
        <v>16080.571428571428</v>
      </c>
      <c r="D35" s="51">
        <v>14920.417582417584</v>
      </c>
      <c r="E35" s="51">
        <v>16544.270834894734</v>
      </c>
      <c r="F35" s="182">
        <v>23508.117860161816</v>
      </c>
      <c r="G35" s="182">
        <v>25532.329670329669</v>
      </c>
      <c r="H35" s="182">
        <v>25532.329670329669</v>
      </c>
      <c r="I35" s="182">
        <v>25532.329670329669</v>
      </c>
      <c r="J35" s="182"/>
      <c r="K35" s="182"/>
      <c r="L35" s="52"/>
      <c r="M35" s="52"/>
      <c r="N35" s="52"/>
    </row>
    <row r="36" spans="2:21" x14ac:dyDescent="0.25">
      <c r="Q36" s="219"/>
      <c r="R36" s="219"/>
      <c r="S36" s="219"/>
      <c r="T36" s="219"/>
      <c r="U36" s="219"/>
    </row>
  </sheetData>
  <phoneticPr fontId="1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5684-2FFF-4857-A375-529876BA2790}">
  <dimension ref="B2:J43"/>
  <sheetViews>
    <sheetView zoomScale="80" zoomScaleNormal="80" workbookViewId="0">
      <selection activeCell="B3" sqref="B3:B4"/>
    </sheetView>
  </sheetViews>
  <sheetFormatPr defaultColWidth="8.7109375" defaultRowHeight="15" x14ac:dyDescent="0.25"/>
  <cols>
    <col min="2" max="2" width="22.140625" customWidth="1"/>
    <col min="3" max="9" width="13.140625" customWidth="1"/>
    <col min="10" max="11" width="16.85546875" customWidth="1"/>
  </cols>
  <sheetData>
    <row r="2" spans="2:9" x14ac:dyDescent="0.25">
      <c r="B2" s="225" t="s">
        <v>112</v>
      </c>
      <c r="C2" s="225"/>
      <c r="D2" s="225"/>
      <c r="E2" s="225"/>
      <c r="F2" s="225"/>
      <c r="G2" s="225"/>
      <c r="H2" s="225"/>
      <c r="I2" s="225"/>
    </row>
    <row r="3" spans="2:9" x14ac:dyDescent="0.25">
      <c r="B3" s="224" t="s">
        <v>84</v>
      </c>
      <c r="C3" s="105" t="s">
        <v>61</v>
      </c>
      <c r="D3" s="105" t="s">
        <v>52</v>
      </c>
      <c r="E3" s="224" t="s">
        <v>189</v>
      </c>
      <c r="F3" s="224"/>
      <c r="G3" s="224" t="s">
        <v>190</v>
      </c>
      <c r="H3" s="224"/>
      <c r="I3" s="105" t="s">
        <v>107</v>
      </c>
    </row>
    <row r="4" spans="2:9" x14ac:dyDescent="0.25">
      <c r="B4" s="224"/>
      <c r="C4" s="105" t="s">
        <v>93</v>
      </c>
      <c r="D4" s="105" t="s">
        <v>94</v>
      </c>
      <c r="E4" s="105" t="s">
        <v>52</v>
      </c>
      <c r="F4" s="105" t="s">
        <v>61</v>
      </c>
      <c r="G4" s="105" t="s">
        <v>52</v>
      </c>
      <c r="H4" s="105" t="s">
        <v>107</v>
      </c>
      <c r="I4" s="105" t="s">
        <v>94</v>
      </c>
    </row>
    <row r="5" spans="2:9" x14ac:dyDescent="0.25">
      <c r="B5" s="106" t="s">
        <v>85</v>
      </c>
      <c r="C5" s="107" t="e">
        <f>BIHAR!#REF!</f>
        <v>#REF!</v>
      </c>
      <c r="D5" s="107">
        <v>133366.79587559024</v>
      </c>
      <c r="E5" s="107">
        <v>126070.42211788817</v>
      </c>
      <c r="F5" s="107">
        <v>98847.558232798256</v>
      </c>
      <c r="G5" s="107">
        <v>155661.27124634659</v>
      </c>
      <c r="H5" s="107">
        <v>149990.1804143695</v>
      </c>
      <c r="I5" s="107">
        <v>111458.06781181582</v>
      </c>
    </row>
    <row r="6" spans="2:9" x14ac:dyDescent="0.25">
      <c r="B6" s="106" t="s">
        <v>86</v>
      </c>
      <c r="C6" s="108" t="e">
        <f>BIHAR!#REF!</f>
        <v>#REF!</v>
      </c>
      <c r="D6" s="108">
        <v>0.58121592682736389</v>
      </c>
      <c r="E6" s="108">
        <v>0.58202990120601883</v>
      </c>
      <c r="F6" s="108">
        <v>0.57592832503592994</v>
      </c>
      <c r="G6" s="108">
        <v>0.57919446930432739</v>
      </c>
      <c r="H6" s="108">
        <v>0.53592774206716765</v>
      </c>
      <c r="I6" s="108">
        <v>0.56246821449809847</v>
      </c>
    </row>
    <row r="7" spans="2:9" x14ac:dyDescent="0.25">
      <c r="B7" s="106" t="s">
        <v>87</v>
      </c>
      <c r="C7" s="108" t="e">
        <f>BIHAR!#REF!</f>
        <v>#REF!</v>
      </c>
      <c r="D7" s="108">
        <v>0.9306417411551966</v>
      </c>
      <c r="E7" s="108">
        <v>0.97272727352014121</v>
      </c>
      <c r="F7" s="108">
        <v>1.0596895015077683</v>
      </c>
      <c r="G7" s="108">
        <v>0.8261247953630062</v>
      </c>
      <c r="H7" s="108">
        <v>0.76134258193356075</v>
      </c>
      <c r="I7" s="108">
        <v>0.95929640175653708</v>
      </c>
    </row>
    <row r="8" spans="2:9" x14ac:dyDescent="0.25">
      <c r="B8" s="106" t="s">
        <v>88</v>
      </c>
      <c r="C8" s="108" t="e">
        <f>BIHAR!#REF!</f>
        <v>#REF!</v>
      </c>
      <c r="D8" s="108">
        <v>0.45089133692264621</v>
      </c>
      <c r="E8" s="108">
        <v>0.45827483843873568</v>
      </c>
      <c r="F8" s="108">
        <v>0.52806338255567264</v>
      </c>
      <c r="G8" s="108">
        <v>0.43255484491817581</v>
      </c>
      <c r="H8" s="108">
        <v>0.45889161310075144</v>
      </c>
      <c r="I8" s="108">
        <v>0.50478723021339988</v>
      </c>
    </row>
    <row r="9" spans="2:9" x14ac:dyDescent="0.25">
      <c r="B9" s="106" t="s">
        <v>89</v>
      </c>
      <c r="C9" s="108" t="e">
        <f>BIHAR!#REF!</f>
        <v>#REF!</v>
      </c>
      <c r="D9" s="108">
        <v>0.66388691337482464</v>
      </c>
      <c r="E9" s="108">
        <v>0.66586288032539709</v>
      </c>
      <c r="F9" s="108">
        <v>0.74057157060827095</v>
      </c>
      <c r="G9" s="108">
        <v>0.65897971560269486</v>
      </c>
      <c r="H9" s="108">
        <v>0.63082967973278625</v>
      </c>
      <c r="I9" s="108">
        <v>0.70364365925837369</v>
      </c>
    </row>
    <row r="10" spans="2:9" x14ac:dyDescent="0.25">
      <c r="B10" s="106" t="s">
        <v>90</v>
      </c>
      <c r="C10" s="108" t="e">
        <f>BIHAR!#REF!</f>
        <v>#REF!</v>
      </c>
      <c r="D10" s="108">
        <v>0.15338305066752553</v>
      </c>
      <c r="E10" s="108">
        <v>0.15877000963536642</v>
      </c>
      <c r="F10" s="108">
        <v>0.16915929412607295</v>
      </c>
      <c r="G10" s="108">
        <v>0.14000485472255617</v>
      </c>
      <c r="H10" s="108">
        <v>0.11185548413433533</v>
      </c>
      <c r="I10" s="108">
        <v>0.14987668473685417</v>
      </c>
    </row>
    <row r="11" spans="2:9" x14ac:dyDescent="0.25">
      <c r="B11" s="106" t="s">
        <v>91</v>
      </c>
      <c r="C11" s="108" t="e">
        <f>SUM(C6:C10)</f>
        <v>#REF!</v>
      </c>
      <c r="D11" s="108">
        <f t="shared" ref="D11:I11" si="0">SUM(D6:D10)</f>
        <v>2.7800189689475565</v>
      </c>
      <c r="E11" s="108">
        <f t="shared" si="0"/>
        <v>2.8376649031256593</v>
      </c>
      <c r="F11" s="108">
        <f t="shared" si="0"/>
        <v>3.073412073833715</v>
      </c>
      <c r="G11" s="108">
        <f t="shared" si="0"/>
        <v>2.6368586799107603</v>
      </c>
      <c r="H11" s="108">
        <f t="shared" si="0"/>
        <v>2.4988471009686011</v>
      </c>
      <c r="I11" s="108">
        <f t="shared" si="0"/>
        <v>2.8800721904632631</v>
      </c>
    </row>
    <row r="16" spans="2:9" x14ac:dyDescent="0.25">
      <c r="B16" s="225" t="s">
        <v>114</v>
      </c>
      <c r="C16" s="225"/>
      <c r="D16" s="225"/>
      <c r="E16" s="225"/>
      <c r="F16" s="225"/>
      <c r="G16" s="225"/>
      <c r="H16" s="225"/>
      <c r="I16" s="225"/>
    </row>
    <row r="17" spans="2:9" ht="14.45" customHeight="1" x14ac:dyDescent="0.25">
      <c r="B17" s="224" t="s">
        <v>84</v>
      </c>
      <c r="C17" s="105" t="s">
        <v>61</v>
      </c>
      <c r="D17" s="105" t="s">
        <v>52</v>
      </c>
      <c r="E17" s="224" t="s">
        <v>189</v>
      </c>
      <c r="F17" s="224"/>
      <c r="G17" s="224" t="s">
        <v>190</v>
      </c>
      <c r="H17" s="224"/>
      <c r="I17" s="105" t="s">
        <v>107</v>
      </c>
    </row>
    <row r="18" spans="2:9" x14ac:dyDescent="0.25">
      <c r="B18" s="224"/>
      <c r="C18" s="105" t="s">
        <v>93</v>
      </c>
      <c r="D18" s="105" t="s">
        <v>94</v>
      </c>
      <c r="E18" s="105" t="s">
        <v>52</v>
      </c>
      <c r="F18" s="105" t="s">
        <v>61</v>
      </c>
      <c r="G18" s="105" t="s">
        <v>52</v>
      </c>
      <c r="H18" s="105" t="s">
        <v>107</v>
      </c>
      <c r="I18" s="105" t="s">
        <v>94</v>
      </c>
    </row>
    <row r="19" spans="2:9" x14ac:dyDescent="0.25">
      <c r="B19" s="109" t="s">
        <v>108</v>
      </c>
      <c r="C19" s="110">
        <v>40.35421843748145</v>
      </c>
      <c r="D19" s="110">
        <v>40.375863456501214</v>
      </c>
      <c r="E19" s="110">
        <f>37.5+E11</f>
        <v>40.337664903125656</v>
      </c>
      <c r="F19" s="110">
        <v>40.243259282623583</v>
      </c>
      <c r="G19" s="110">
        <v>40.350964428121117</v>
      </c>
      <c r="H19" s="110">
        <v>39.976857799798104</v>
      </c>
      <c r="I19" s="110">
        <v>40.153615753951179</v>
      </c>
    </row>
    <row r="20" spans="2:9" x14ac:dyDescent="0.25">
      <c r="B20" s="109" t="s">
        <v>95</v>
      </c>
      <c r="C20" s="110">
        <v>44.942228638214985</v>
      </c>
      <c r="D20" s="110">
        <v>0</v>
      </c>
      <c r="E20" s="110">
        <v>0</v>
      </c>
      <c r="F20" s="110">
        <v>42.482686738060252</v>
      </c>
      <c r="G20" s="110">
        <v>0</v>
      </c>
      <c r="H20" s="110">
        <v>0</v>
      </c>
      <c r="I20" s="110">
        <v>42.482686738060252</v>
      </c>
    </row>
    <row r="21" spans="2:9" x14ac:dyDescent="0.25">
      <c r="B21" s="109" t="s">
        <v>62</v>
      </c>
      <c r="C21" s="110">
        <v>41.221847498254107</v>
      </c>
      <c r="D21" s="110">
        <v>38.964204304828399</v>
      </c>
      <c r="E21" s="110">
        <v>38.944717170943441</v>
      </c>
      <c r="F21" s="110">
        <v>41.264579842834117</v>
      </c>
      <c r="G21" s="110">
        <v>39.011362393814856</v>
      </c>
      <c r="H21" s="110">
        <v>0</v>
      </c>
      <c r="I21" s="110">
        <v>41.264579842834117</v>
      </c>
    </row>
    <row r="22" spans="2:9" x14ac:dyDescent="0.25">
      <c r="B22" s="109" t="s">
        <v>63</v>
      </c>
      <c r="C22" s="110">
        <v>41.705129302019159</v>
      </c>
      <c r="D22" s="110">
        <v>38.554847866160699</v>
      </c>
      <c r="E22" s="110">
        <v>38.554847866160699</v>
      </c>
      <c r="F22" s="110">
        <v>39.54598645479799</v>
      </c>
      <c r="G22" s="110">
        <v>0</v>
      </c>
      <c r="H22" s="110">
        <v>39.6740243902439</v>
      </c>
      <c r="I22" s="110">
        <v>39.5654796415417</v>
      </c>
    </row>
    <row r="23" spans="2:9" x14ac:dyDescent="0.25">
      <c r="B23" s="109" t="s">
        <v>92</v>
      </c>
      <c r="C23" s="110">
        <v>40.774101451387608</v>
      </c>
      <c r="D23" s="110">
        <v>40.12125356574029</v>
      </c>
      <c r="E23" s="110">
        <v>40.121105239497552</v>
      </c>
      <c r="F23" s="110">
        <v>40.005589482516058</v>
      </c>
      <c r="G23" s="110">
        <v>40.260858317991236</v>
      </c>
      <c r="H23" s="110">
        <v>39.930267159818172</v>
      </c>
      <c r="I23" s="110">
        <v>39.984742467624216</v>
      </c>
    </row>
    <row r="26" spans="2:9" x14ac:dyDescent="0.25">
      <c r="B26" s="225" t="s">
        <v>113</v>
      </c>
      <c r="C26" s="225"/>
      <c r="D26" s="225"/>
      <c r="E26" s="225"/>
      <c r="F26" s="225"/>
      <c r="G26" s="225"/>
    </row>
    <row r="27" spans="2:9" x14ac:dyDescent="0.25">
      <c r="B27" s="224" t="s">
        <v>84</v>
      </c>
      <c r="C27" s="105" t="s">
        <v>34</v>
      </c>
      <c r="D27" s="105" t="s">
        <v>35</v>
      </c>
      <c r="E27" s="105" t="s">
        <v>36</v>
      </c>
      <c r="F27" s="105" t="s">
        <v>37</v>
      </c>
      <c r="G27" s="105"/>
    </row>
    <row r="28" spans="2:9" x14ac:dyDescent="0.25">
      <c r="B28" s="224"/>
      <c r="C28" s="105" t="s">
        <v>61</v>
      </c>
      <c r="D28" s="105" t="s">
        <v>61</v>
      </c>
      <c r="E28" s="105" t="s">
        <v>61</v>
      </c>
      <c r="F28" s="105" t="s">
        <v>107</v>
      </c>
      <c r="G28" s="105" t="s">
        <v>115</v>
      </c>
    </row>
    <row r="29" spans="2:9" x14ac:dyDescent="0.25">
      <c r="B29" s="91" t="s">
        <v>109</v>
      </c>
      <c r="C29" s="108">
        <v>40.266067785336375</v>
      </c>
      <c r="D29" s="108">
        <v>40.272549856495544</v>
      </c>
      <c r="E29" s="108">
        <v>40.19201223562888</v>
      </c>
      <c r="F29" s="108">
        <v>39.976857799798104</v>
      </c>
      <c r="G29" s="108">
        <v>40.033093534883363</v>
      </c>
    </row>
    <row r="30" spans="2:9" x14ac:dyDescent="0.25">
      <c r="B30" s="91" t="s">
        <v>95</v>
      </c>
      <c r="C30" s="108">
        <v>42.572705019039851</v>
      </c>
      <c r="D30" s="108">
        <v>42.264179384716769</v>
      </c>
      <c r="E30" s="108">
        <v>42.934461786185324</v>
      </c>
      <c r="F30" s="108">
        <v>0</v>
      </c>
      <c r="G30" s="108">
        <v>42.482686738060252</v>
      </c>
    </row>
    <row r="31" spans="2:9" x14ac:dyDescent="0.25">
      <c r="B31" s="91" t="s">
        <v>110</v>
      </c>
      <c r="C31" s="108">
        <v>40.612169388048656</v>
      </c>
      <c r="D31" s="108">
        <v>42.14666666666669</v>
      </c>
      <c r="E31" s="108">
        <v>42.146666666666682</v>
      </c>
      <c r="F31" s="108" t="e">
        <v>#DIV/0!</v>
      </c>
      <c r="G31" s="108">
        <v>42.146666666666682</v>
      </c>
    </row>
    <row r="32" spans="2:9" x14ac:dyDescent="0.25">
      <c r="B32" s="91" t="s">
        <v>63</v>
      </c>
      <c r="C32" s="108">
        <v>39.296484270842619</v>
      </c>
      <c r="D32" s="108">
        <v>39.701966585499392</v>
      </c>
      <c r="E32" s="108">
        <v>39.609246195539633</v>
      </c>
      <c r="F32" s="108">
        <v>39.6740243902439</v>
      </c>
      <c r="G32" s="108">
        <v>39.571365950950238</v>
      </c>
    </row>
    <row r="33" spans="2:10" x14ac:dyDescent="0.25">
      <c r="B33" s="91" t="s">
        <v>111</v>
      </c>
      <c r="C33" s="108">
        <v>39.982094844174732</v>
      </c>
      <c r="D33" s="108">
        <v>40.101607072188912</v>
      </c>
      <c r="E33" s="108">
        <v>39.934709282460041</v>
      </c>
      <c r="F33" s="108">
        <v>39.930267159818172</v>
      </c>
      <c r="G33" s="108">
        <v>39.934110867925192</v>
      </c>
    </row>
    <row r="35" spans="2:10" ht="15.75" thickBot="1" x14ac:dyDescent="0.3"/>
    <row r="36" spans="2:10" ht="15.75" thickBot="1" x14ac:dyDescent="0.3">
      <c r="B36" s="226" t="s">
        <v>50</v>
      </c>
      <c r="C36" s="227"/>
      <c r="D36" s="227"/>
      <c r="E36" s="227"/>
      <c r="F36" s="227"/>
      <c r="G36" s="227"/>
      <c r="H36" s="227"/>
      <c r="I36" s="227"/>
      <c r="J36" s="228"/>
    </row>
    <row r="37" spans="2:10" ht="15.75" thickBot="1" x14ac:dyDescent="0.3">
      <c r="B37" s="229" t="s">
        <v>51</v>
      </c>
      <c r="C37" s="229" t="s">
        <v>116</v>
      </c>
      <c r="D37" s="229" t="s">
        <v>117</v>
      </c>
      <c r="E37" s="65" t="s">
        <v>97</v>
      </c>
      <c r="F37" s="231" t="s">
        <v>118</v>
      </c>
      <c r="G37" s="232"/>
      <c r="H37" s="232"/>
      <c r="I37" s="232"/>
      <c r="J37" s="233"/>
    </row>
    <row r="38" spans="2:10" ht="15.75" thickBot="1" x14ac:dyDescent="0.3">
      <c r="B38" s="230"/>
      <c r="C38" s="230"/>
      <c r="D38" s="230"/>
      <c r="E38" s="66" t="s">
        <v>60</v>
      </c>
      <c r="F38" s="66" t="s">
        <v>54</v>
      </c>
      <c r="G38" s="66" t="s">
        <v>56</v>
      </c>
      <c r="H38" s="66" t="s">
        <v>57</v>
      </c>
      <c r="I38" s="66" t="s">
        <v>33</v>
      </c>
      <c r="J38" s="66" t="s">
        <v>58</v>
      </c>
    </row>
    <row r="39" spans="2:10" ht="15.75" thickBot="1" x14ac:dyDescent="0.3">
      <c r="B39" s="67" t="s">
        <v>34</v>
      </c>
      <c r="C39" s="71" cm="1">
        <f t="array" ref="C39:C43">TRANSPOSE(BIHAR!Q63:U63)/1000</f>
        <v>142.1008816436815</v>
      </c>
      <c r="D39" s="71">
        <v>163.69097314743726</v>
      </c>
      <c r="E39" s="68"/>
      <c r="F39" s="71" cm="1">
        <f t="array" ref="F39:I43">TRANSPOSE(BIHAR!Q64:U67)/1000</f>
        <v>94.953511136812892</v>
      </c>
      <c r="G39" s="71">
        <v>7.4086964285714272</v>
      </c>
      <c r="H39" s="71">
        <v>45.192038078296711</v>
      </c>
      <c r="I39" s="71">
        <v>1.9698104395604397</v>
      </c>
      <c r="J39" s="71">
        <f>SUM(F39:I39)</f>
        <v>149.52405608324148</v>
      </c>
    </row>
    <row r="40" spans="2:10" ht="15.75" thickBot="1" x14ac:dyDescent="0.3">
      <c r="B40" s="67" t="s">
        <v>35</v>
      </c>
      <c r="C40" s="71">
        <v>129.96349752255435</v>
      </c>
      <c r="D40" s="71">
        <v>156.04418650874086</v>
      </c>
      <c r="E40" s="68"/>
      <c r="F40" s="71">
        <v>101.18848777989122</v>
      </c>
      <c r="G40" s="71">
        <v>3.8657364130434773</v>
      </c>
      <c r="H40" s="71">
        <v>48.936037828804352</v>
      </c>
      <c r="I40" s="71">
        <v>0.71756453804347953</v>
      </c>
      <c r="J40" s="71">
        <f>SUM(F40:I40)</f>
        <v>154.70782655978255</v>
      </c>
    </row>
    <row r="41" spans="2:10" ht="15.75" thickBot="1" x14ac:dyDescent="0.3">
      <c r="B41" s="67" t="s">
        <v>36</v>
      </c>
      <c r="C41" s="71">
        <v>137.44904664836949</v>
      </c>
      <c r="D41" s="71">
        <v>151.04431920867717</v>
      </c>
      <c r="E41" s="68"/>
      <c r="F41" s="71">
        <v>99.953327716902265</v>
      </c>
      <c r="G41" s="71">
        <v>1.5846059782608695</v>
      </c>
      <c r="H41" s="71">
        <v>57.895009445652178</v>
      </c>
      <c r="I41" s="71">
        <v>0.11219429347826083</v>
      </c>
      <c r="J41" s="71">
        <f>SUM(F41:I41)</f>
        <v>159.54513743429359</v>
      </c>
    </row>
    <row r="42" spans="2:10" ht="15.75" thickBot="1" x14ac:dyDescent="0.3">
      <c r="B42" s="67" t="s">
        <v>59</v>
      </c>
      <c r="C42" s="71">
        <v>159.1704534631865</v>
      </c>
      <c r="D42" s="71">
        <v>167.67238235745768</v>
      </c>
      <c r="E42" s="68"/>
      <c r="F42" s="71">
        <v>147.11542235305467</v>
      </c>
      <c r="G42" s="71">
        <v>0.45897777777777776</v>
      </c>
      <c r="H42" s="71">
        <v>11.549487436111109</v>
      </c>
      <c r="I42" s="71">
        <v>-4.7069527777777784</v>
      </c>
      <c r="J42" s="71">
        <f>SUM(F42:I42)</f>
        <v>154.41693478916579</v>
      </c>
    </row>
    <row r="43" spans="2:10" ht="15.75" thickBot="1" x14ac:dyDescent="0.3">
      <c r="B43" s="69" t="s">
        <v>38</v>
      </c>
      <c r="C43" s="72">
        <v>142.13371464057371</v>
      </c>
      <c r="D43" s="72">
        <v>159.55763149202861</v>
      </c>
      <c r="E43" s="70"/>
      <c r="F43" s="72">
        <v>110.65613575597233</v>
      </c>
      <c r="G43" s="72">
        <v>3.3340571917808211</v>
      </c>
      <c r="H43" s="72">
        <v>41.042152557876726</v>
      </c>
      <c r="I43" s="72">
        <v>-0.46037037671232861</v>
      </c>
      <c r="J43" s="72">
        <f>SUM(F43:I43)</f>
        <v>154.57197512891756</v>
      </c>
    </row>
  </sheetData>
  <mergeCells count="15">
    <mergeCell ref="B36:J36"/>
    <mergeCell ref="B37:B38"/>
    <mergeCell ref="C37:C38"/>
    <mergeCell ref="D37:D38"/>
    <mergeCell ref="F37:J37"/>
    <mergeCell ref="B27:B28"/>
    <mergeCell ref="B2:I2"/>
    <mergeCell ref="B16:I16"/>
    <mergeCell ref="B26:G26"/>
    <mergeCell ref="B3:B4"/>
    <mergeCell ref="E3:F3"/>
    <mergeCell ref="G3:H3"/>
    <mergeCell ref="B17:B18"/>
    <mergeCell ref="E17:F17"/>
    <mergeCell ref="G17:H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EAC4-C7B6-4264-AA49-F9D4BB5446A8}">
  <dimension ref="B3:H49"/>
  <sheetViews>
    <sheetView showGridLines="0" zoomScale="80" zoomScaleNormal="80" workbookViewId="0">
      <selection activeCell="B4" sqref="B4"/>
    </sheetView>
  </sheetViews>
  <sheetFormatPr defaultRowHeight="15" x14ac:dyDescent="0.25"/>
  <cols>
    <col min="1" max="1" width="3.85546875" customWidth="1"/>
    <col min="2" max="2" width="12" customWidth="1"/>
    <col min="3" max="8" width="14.42578125" customWidth="1"/>
    <col min="9" max="9" width="5.5703125" customWidth="1"/>
    <col min="11" max="11" width="10.42578125" customWidth="1"/>
  </cols>
  <sheetData>
    <row r="3" spans="2:8" x14ac:dyDescent="0.25">
      <c r="B3" s="234" t="s">
        <v>101</v>
      </c>
      <c r="C3" s="234"/>
      <c r="D3" s="234"/>
      <c r="E3" s="234"/>
      <c r="F3" s="234"/>
      <c r="G3" s="234"/>
      <c r="H3" s="234"/>
    </row>
    <row r="4" spans="2:8" x14ac:dyDescent="0.25">
      <c r="B4" s="87"/>
      <c r="C4" s="88" t="s">
        <v>73</v>
      </c>
      <c r="D4" s="88" t="s">
        <v>74</v>
      </c>
      <c r="E4" s="88" t="s">
        <v>75</v>
      </c>
      <c r="F4" s="88" t="s">
        <v>100</v>
      </c>
      <c r="G4" s="88" t="s">
        <v>77</v>
      </c>
      <c r="H4" s="88" t="s">
        <v>102</v>
      </c>
    </row>
    <row r="5" spans="2:8" x14ac:dyDescent="0.25">
      <c r="B5" s="89" t="s">
        <v>34</v>
      </c>
      <c r="C5" s="90" cm="1">
        <f t="array" ref="C5:C9">TRANSPOSE(BIHAR!Q50:U50)/1000</f>
        <v>68.853736860714363</v>
      </c>
      <c r="D5" s="90" cm="1">
        <f t="array" ref="D5:D9">TRANSPOSE(BIHAR!Q54:U54)/1000</f>
        <v>53.596666923626387</v>
      </c>
      <c r="E5" s="90" cm="1">
        <f t="array" ref="E5:E9">TRANSPOSE(BIHAR!Q59:U59)/1000</f>
        <v>77.671396469780404</v>
      </c>
      <c r="F5" s="90" cm="1">
        <f t="array" ref="F5:F9">TRANSPOSE(BIHAR!Q64:U64)/1000</f>
        <v>94.953511136812892</v>
      </c>
      <c r="G5" s="94">
        <f>+(E5-D5)/D5</f>
        <v>0.44918333411403683</v>
      </c>
      <c r="H5" s="94">
        <f>+(F5-E5)/E5</f>
        <v>0.22250294770683615</v>
      </c>
    </row>
    <row r="6" spans="2:8" x14ac:dyDescent="0.25">
      <c r="B6" s="89" t="s">
        <v>35</v>
      </c>
      <c r="C6" s="90">
        <v>51.136632810054479</v>
      </c>
      <c r="D6" s="90">
        <v>73.824345419293408</v>
      </c>
      <c r="E6" s="90">
        <v>97.554190185597818</v>
      </c>
      <c r="F6" s="90">
        <v>101.18848777989122</v>
      </c>
      <c r="G6" s="94">
        <f t="shared" ref="G6:H9" si="0">+(E6-D6)/D6</f>
        <v>0.32143657531303765</v>
      </c>
      <c r="H6" s="94">
        <f t="shared" si="0"/>
        <v>3.7254141389304891E-2</v>
      </c>
    </row>
    <row r="7" spans="2:8" x14ac:dyDescent="0.25">
      <c r="B7" s="89" t="s">
        <v>36</v>
      </c>
      <c r="C7" s="90">
        <v>35.201579511684734</v>
      </c>
      <c r="D7" s="90">
        <v>69.481634256793271</v>
      </c>
      <c r="E7" s="90">
        <v>109.9412993657608</v>
      </c>
      <c r="F7" s="90">
        <v>99.953327716902265</v>
      </c>
      <c r="G7" s="94">
        <f t="shared" si="0"/>
        <v>0.58230733260295697</v>
      </c>
      <c r="H7" s="94">
        <f t="shared" si="0"/>
        <v>-9.0848222701369163E-2</v>
      </c>
    </row>
    <row r="8" spans="2:8" x14ac:dyDescent="0.25">
      <c r="B8" s="89" t="s">
        <v>76</v>
      </c>
      <c r="C8" s="90">
        <v>60.999295109444695</v>
      </c>
      <c r="D8" s="90">
        <v>87.775453409722147</v>
      </c>
      <c r="E8" s="90">
        <v>139.82255099065901</v>
      </c>
      <c r="F8" s="90">
        <v>147.11542235305467</v>
      </c>
      <c r="G8" s="94">
        <f t="shared" si="0"/>
        <v>0.59295731960493692</v>
      </c>
      <c r="H8" s="94">
        <f>+(F8-E8)/E8</f>
        <v>5.2158048259918148E-2</v>
      </c>
    </row>
    <row r="9" spans="2:8" x14ac:dyDescent="0.25">
      <c r="B9" s="92" t="s">
        <v>58</v>
      </c>
      <c r="C9" s="93">
        <v>53.969156569246685</v>
      </c>
      <c r="D9" s="93">
        <v>71.126678430479373</v>
      </c>
      <c r="E9" s="93">
        <v>106.24270015744531</v>
      </c>
      <c r="F9" s="93">
        <v>110.65613575597233</v>
      </c>
      <c r="G9" s="95">
        <f t="shared" si="0"/>
        <v>0.49371097458584456</v>
      </c>
      <c r="H9" s="95">
        <f>+(F9-E9)/E9</f>
        <v>4.15410714523122E-2</v>
      </c>
    </row>
    <row r="14" spans="2:8" ht="15.75" x14ac:dyDescent="0.25">
      <c r="B14" s="101" t="s">
        <v>99</v>
      </c>
      <c r="C14" s="101" t="s">
        <v>69</v>
      </c>
      <c r="D14" s="101" t="s">
        <v>70</v>
      </c>
      <c r="E14" s="101" t="s">
        <v>71</v>
      </c>
      <c r="F14" s="101" t="s">
        <v>72</v>
      </c>
      <c r="G14" s="101" t="s">
        <v>93</v>
      </c>
      <c r="H14" s="102" t="s">
        <v>94</v>
      </c>
    </row>
    <row r="15" spans="2:8" x14ac:dyDescent="0.25">
      <c r="B15" s="52" t="s">
        <v>17</v>
      </c>
      <c r="C15" s="82">
        <v>78691</v>
      </c>
      <c r="D15" s="82">
        <v>56244</v>
      </c>
      <c r="E15" s="51">
        <f>BIHAR!U50</f>
        <v>53969.156569246683</v>
      </c>
      <c r="F15" s="51">
        <f>BIHAR!U54</f>
        <v>71126.678430479369</v>
      </c>
      <c r="G15" s="51">
        <f>BIHAR!U59</f>
        <v>106242.70015744532</v>
      </c>
      <c r="H15" s="51">
        <f>BIHAR!U64</f>
        <v>110656.13575597233</v>
      </c>
    </row>
    <row r="16" spans="2:8" x14ac:dyDescent="0.25">
      <c r="B16" s="52" t="s">
        <v>39</v>
      </c>
      <c r="C16" s="82"/>
      <c r="D16" s="82"/>
      <c r="E16" s="51">
        <f>BIHAR!U51</f>
        <v>16078.223928150685</v>
      </c>
      <c r="F16" s="51">
        <f>BIHAR!U55</f>
        <v>20981.019629383602</v>
      </c>
      <c r="G16" s="51">
        <f>BIHAR!U60</f>
        <v>19164.620901639344</v>
      </c>
      <c r="H16" s="51">
        <f>BIHAR!U65</f>
        <v>3334.0571917808211</v>
      </c>
    </row>
    <row r="17" spans="2:8" x14ac:dyDescent="0.25">
      <c r="B17" s="52" t="s">
        <v>18</v>
      </c>
      <c r="C17" s="82"/>
      <c r="D17" s="82">
        <v>24567</v>
      </c>
      <c r="E17" s="51">
        <f>BIHAR!U52</f>
        <v>40276.870170872426</v>
      </c>
      <c r="F17" s="51">
        <f>BIHAR!U56</f>
        <v>13372.742802808219</v>
      </c>
      <c r="G17" s="51">
        <f>BIHAR!U61</f>
        <v>9652.8388661202189</v>
      </c>
      <c r="H17" s="51">
        <f>BIHAR!U66</f>
        <v>41042.152557876725</v>
      </c>
    </row>
    <row r="18" spans="2:8" x14ac:dyDescent="0.25">
      <c r="B18" s="52" t="s">
        <v>33</v>
      </c>
      <c r="C18" s="82"/>
      <c r="D18" s="82"/>
      <c r="E18" s="82">
        <v>0</v>
      </c>
      <c r="F18" s="51">
        <f>BIHAR!U57</f>
        <v>32272.185212328768</v>
      </c>
      <c r="G18" s="51">
        <f>BIHAR!U62</f>
        <v>7073.5547153688522</v>
      </c>
      <c r="H18" s="51">
        <f>BIHAR!U67</f>
        <v>-460.37037671232861</v>
      </c>
    </row>
    <row r="19" spans="2:8" x14ac:dyDescent="0.25">
      <c r="B19" s="52" t="s">
        <v>41</v>
      </c>
      <c r="C19" s="82">
        <f t="shared" ref="C19:H19" si="1">SUM(C15:C18)</f>
        <v>78691</v>
      </c>
      <c r="D19" s="82">
        <f t="shared" si="1"/>
        <v>80811</v>
      </c>
      <c r="E19" s="51">
        <f t="shared" si="1"/>
        <v>110324.25066826979</v>
      </c>
      <c r="F19" s="51">
        <f t="shared" si="1"/>
        <v>137752.62607499998</v>
      </c>
      <c r="G19" s="51">
        <f t="shared" si="1"/>
        <v>142133.71464057371</v>
      </c>
      <c r="H19" s="51">
        <f t="shared" si="1"/>
        <v>154571.97512891755</v>
      </c>
    </row>
    <row r="22" spans="2:8" ht="15.75" thickBot="1" x14ac:dyDescent="0.3">
      <c r="B22" s="236" t="s">
        <v>103</v>
      </c>
      <c r="C22" s="237"/>
      <c r="D22" s="238"/>
    </row>
    <row r="23" spans="2:8" x14ac:dyDescent="0.25">
      <c r="B23" s="96" t="s">
        <v>72</v>
      </c>
      <c r="C23" s="97" t="s">
        <v>93</v>
      </c>
      <c r="D23" s="97" t="s">
        <v>94</v>
      </c>
    </row>
    <row r="24" spans="2:8" ht="29.25" x14ac:dyDescent="0.25">
      <c r="B24" s="98" t="s">
        <v>104</v>
      </c>
      <c r="C24" s="98" t="s">
        <v>105</v>
      </c>
      <c r="D24" s="98" t="s">
        <v>191</v>
      </c>
    </row>
    <row r="25" spans="2:8" x14ac:dyDescent="0.25">
      <c r="B25" s="103">
        <f>('BR Slide Volume'!F16+'BR Slide Volume'!F17)/'BR Slide Volume'!F19</f>
        <v>0.24938735043415994</v>
      </c>
      <c r="C25" s="103">
        <f>('BR Slide Volume'!G16+'BR Slide Volume'!G17)/'BR Slide Volume'!G19</f>
        <v>0.20274893849522516</v>
      </c>
      <c r="D25" s="103">
        <f>('BR Slide Volume'!H16+'BR Slide Volume'!H17)/'BR Slide Volume'!H19</f>
        <v>0.28709091484822191</v>
      </c>
    </row>
    <row r="26" spans="2:8" x14ac:dyDescent="0.25">
      <c r="B26" s="104">
        <f>('BR Slide Volume'!F16+'BR Slide Volume'!F17)/1000</f>
        <v>34.353762432191822</v>
      </c>
      <c r="C26" s="104">
        <f>('BR Slide Volume'!G16+'BR Slide Volume'!G17)/1000</f>
        <v>28.817459767759562</v>
      </c>
      <c r="D26" s="104">
        <f>('BR Slide Volume'!H16+'BR Slide Volume'!H17)/1000</f>
        <v>44.376209749657548</v>
      </c>
    </row>
    <row r="30" spans="2:8" x14ac:dyDescent="0.25">
      <c r="B30" s="235" t="s">
        <v>106</v>
      </c>
      <c r="C30" s="235"/>
      <c r="D30" s="235"/>
    </row>
    <row r="31" spans="2:8" x14ac:dyDescent="0.25">
      <c r="B31" s="99" t="s">
        <v>66</v>
      </c>
      <c r="C31" s="100" t="s">
        <v>78</v>
      </c>
      <c r="D31" s="100" t="s">
        <v>65</v>
      </c>
    </row>
    <row r="32" spans="2:8" x14ac:dyDescent="0.25">
      <c r="B32" s="59" t="s">
        <v>73</v>
      </c>
      <c r="C32" s="51">
        <f>C5</f>
        <v>68.853736860714363</v>
      </c>
      <c r="D32" s="60">
        <f>+(BIHAR!U50-BIHAR!U46)/BIHAR!U46</f>
        <v>-4.044915830910812E-2</v>
      </c>
    </row>
    <row r="33" spans="2:4" x14ac:dyDescent="0.25">
      <c r="B33" s="59" t="s">
        <v>74</v>
      </c>
      <c r="C33" s="51">
        <f>D5</f>
        <v>53.596666923626387</v>
      </c>
      <c r="D33" s="60">
        <f>+(C33-C32)/C32</f>
        <v>-0.22158666519366721</v>
      </c>
    </row>
    <row r="34" spans="2:4" x14ac:dyDescent="0.25">
      <c r="B34" s="59" t="s">
        <v>75</v>
      </c>
      <c r="C34" s="51">
        <f>E5</f>
        <v>77.671396469780404</v>
      </c>
      <c r="D34" s="60">
        <f>+(C34-C33)/C33</f>
        <v>0.44918333411403683</v>
      </c>
    </row>
    <row r="35" spans="2:4" x14ac:dyDescent="0.25">
      <c r="B35" s="59" t="s">
        <v>100</v>
      </c>
      <c r="C35" s="51">
        <f>F5</f>
        <v>94.953511136812892</v>
      </c>
      <c r="D35" s="60">
        <f>+(C35-C34)/C34</f>
        <v>0.22250294770683615</v>
      </c>
    </row>
    <row r="44" spans="2:4" x14ac:dyDescent="0.25">
      <c r="B44" s="222" t="s">
        <v>79</v>
      </c>
      <c r="C44" s="222"/>
      <c r="D44" s="222"/>
    </row>
    <row r="45" spans="2:4" x14ac:dyDescent="0.25">
      <c r="B45" s="99" t="s">
        <v>66</v>
      </c>
      <c r="C45" s="100" t="s">
        <v>80</v>
      </c>
      <c r="D45" s="100" t="s">
        <v>65</v>
      </c>
    </row>
    <row r="46" spans="2:4" x14ac:dyDescent="0.25">
      <c r="B46" s="59" t="s">
        <v>73</v>
      </c>
      <c r="C46" s="62">
        <f>+BIHAR!U26/1000</f>
        <v>7.8949945205479457</v>
      </c>
      <c r="D46" s="60">
        <f>+(BIHAR!U26-BIHAR!U25)/BIHAR!U25</f>
        <v>8.4171667703180145E-2</v>
      </c>
    </row>
    <row r="47" spans="2:4" x14ac:dyDescent="0.25">
      <c r="B47" s="59" t="s">
        <v>74</v>
      </c>
      <c r="C47" s="62">
        <f>+BIHAR!U27/1000</f>
        <v>9.5779882461661803</v>
      </c>
      <c r="D47" s="60">
        <f>+(C47-C46)/C46</f>
        <v>0.21317224745856159</v>
      </c>
    </row>
    <row r="48" spans="2:4" x14ac:dyDescent="0.25">
      <c r="B48" s="61" t="s">
        <v>75</v>
      </c>
      <c r="C48" s="62">
        <f>+BIHAR!U28/1000</f>
        <v>6.4216202185792355</v>
      </c>
      <c r="D48" s="60">
        <f>+(C48-C47)/C47</f>
        <v>-0.32954394455958502</v>
      </c>
    </row>
    <row r="49" spans="2:4" x14ac:dyDescent="0.25">
      <c r="B49" s="61" t="s">
        <v>75</v>
      </c>
      <c r="C49" s="62">
        <f>+BIHAR!U29/1000</f>
        <v>6.3701369863013699</v>
      </c>
      <c r="D49" s="60">
        <f>+(C49-C48)/C48</f>
        <v>-8.0171717612500092E-3</v>
      </c>
    </row>
  </sheetData>
  <mergeCells count="4">
    <mergeCell ref="B44:D44"/>
    <mergeCell ref="B3:H3"/>
    <mergeCell ref="B30:D30"/>
    <mergeCell ref="B22:D2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9509-2DAB-4A17-B36E-D731D9C986F2}">
  <sheetPr>
    <tabColor rgb="FFC00000"/>
    <pageSetUpPr fitToPage="1"/>
  </sheetPr>
  <dimension ref="A1:AF41"/>
  <sheetViews>
    <sheetView showGridLines="0" zoomScale="90" zoomScaleNormal="90" workbookViewId="0">
      <pane xSplit="3" ySplit="4" topLeftCell="D5" activePane="bottomRight" state="frozen"/>
      <selection activeCell="U27" sqref="U27"/>
      <selection pane="topRight" activeCell="U27" sqref="U27"/>
      <selection pane="bottomLeft" activeCell="U27" sqref="U27"/>
      <selection pane="bottomRight" activeCell="A4" sqref="A4:O23"/>
    </sheetView>
  </sheetViews>
  <sheetFormatPr defaultColWidth="8.85546875" defaultRowHeight="12.75" x14ac:dyDescent="0.2"/>
  <cols>
    <col min="1" max="1" width="19.28515625" style="8" customWidth="1"/>
    <col min="2" max="2" width="6.140625" style="8" bestFit="1" customWidth="1"/>
    <col min="3" max="3" width="13.85546875" style="29" customWidth="1"/>
    <col min="4" max="4" width="8.28515625" style="8" customWidth="1"/>
    <col min="5" max="5" width="8.42578125" style="8" customWidth="1"/>
    <col min="6" max="15" width="8.28515625" style="8" customWidth="1"/>
    <col min="16" max="16" width="8" style="8" customWidth="1"/>
    <col min="17" max="20" width="9.28515625" style="8" customWidth="1"/>
    <col min="21" max="21" width="8.7109375" style="8" customWidth="1"/>
    <col min="22" max="16384" width="8.85546875" style="8"/>
  </cols>
  <sheetData>
    <row r="1" spans="1:32" x14ac:dyDescent="0.2">
      <c r="A1" s="75" t="s">
        <v>214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32" x14ac:dyDescent="0.2">
      <c r="A2" s="20"/>
      <c r="B2" s="20"/>
      <c r="C2" s="20"/>
      <c r="D2" s="20">
        <v>30</v>
      </c>
      <c r="E2" s="20">
        <v>31</v>
      </c>
      <c r="F2" s="20">
        <v>30</v>
      </c>
      <c r="G2" s="20">
        <v>31</v>
      </c>
      <c r="H2" s="20">
        <v>31</v>
      </c>
      <c r="I2" s="20">
        <v>30</v>
      </c>
      <c r="J2" s="20">
        <v>31</v>
      </c>
      <c r="K2" s="20">
        <v>30</v>
      </c>
      <c r="L2" s="20">
        <v>31</v>
      </c>
      <c r="M2" s="20">
        <v>31</v>
      </c>
      <c r="N2" s="20">
        <v>28</v>
      </c>
      <c r="O2" s="20">
        <v>31</v>
      </c>
      <c r="Q2" s="76" t="s">
        <v>42</v>
      </c>
      <c r="R2" s="76"/>
      <c r="S2" s="76"/>
      <c r="T2" s="76"/>
      <c r="U2" s="63">
        <f>SUM(D2:O2)</f>
        <v>365</v>
      </c>
    </row>
    <row r="3" spans="1:32" x14ac:dyDescent="0.2">
      <c r="A3" s="20"/>
      <c r="B3" s="20"/>
      <c r="C3" s="20"/>
      <c r="D3" s="20">
        <v>30</v>
      </c>
      <c r="E3" s="20">
        <v>31</v>
      </c>
      <c r="F3" s="20">
        <v>30</v>
      </c>
      <c r="G3" s="20">
        <v>31</v>
      </c>
      <c r="H3" s="20">
        <v>31</v>
      </c>
      <c r="I3" s="20">
        <v>30</v>
      </c>
      <c r="J3" s="20">
        <v>31</v>
      </c>
      <c r="K3" s="20">
        <v>30</v>
      </c>
      <c r="L3" s="20">
        <v>31</v>
      </c>
      <c r="M3" s="20">
        <v>31</v>
      </c>
      <c r="N3" s="20">
        <v>29</v>
      </c>
      <c r="O3" s="20">
        <v>31</v>
      </c>
      <c r="Q3" s="76" t="s">
        <v>42</v>
      </c>
      <c r="R3" s="76"/>
      <c r="S3" s="76"/>
      <c r="T3" s="76"/>
      <c r="U3" s="63">
        <f>SUM(D3:O3)</f>
        <v>366</v>
      </c>
    </row>
    <row r="4" spans="1:32" x14ac:dyDescent="0.2">
      <c r="A4" s="10" t="s">
        <v>1</v>
      </c>
      <c r="B4" s="11" t="s">
        <v>2</v>
      </c>
      <c r="C4" s="10" t="s">
        <v>3</v>
      </c>
      <c r="D4" s="12" t="s">
        <v>25</v>
      </c>
      <c r="E4" s="12" t="s">
        <v>4</v>
      </c>
      <c r="F4" s="12" t="s">
        <v>26</v>
      </c>
      <c r="G4" s="12" t="s">
        <v>43</v>
      </c>
      <c r="H4" s="12" t="s">
        <v>27</v>
      </c>
      <c r="I4" s="12" t="s">
        <v>44</v>
      </c>
      <c r="J4" s="12" t="s">
        <v>28</v>
      </c>
      <c r="K4" s="12" t="s">
        <v>29</v>
      </c>
      <c r="L4" s="12" t="s">
        <v>30</v>
      </c>
      <c r="M4" s="12" t="s">
        <v>45</v>
      </c>
      <c r="N4" s="12" t="s">
        <v>31</v>
      </c>
      <c r="O4" s="12" t="s">
        <v>46</v>
      </c>
      <c r="Q4" s="13" t="s">
        <v>34</v>
      </c>
      <c r="R4" s="13" t="s">
        <v>35</v>
      </c>
      <c r="S4" s="13" t="s">
        <v>36</v>
      </c>
      <c r="T4" s="13" t="s">
        <v>37</v>
      </c>
      <c r="U4" s="13" t="s">
        <v>40</v>
      </c>
    </row>
    <row r="5" spans="1:32" x14ac:dyDescent="0.2">
      <c r="A5" s="14" t="s">
        <v>5</v>
      </c>
      <c r="B5" s="14" t="s">
        <v>6</v>
      </c>
      <c r="C5" s="20" t="s">
        <v>38</v>
      </c>
      <c r="D5" s="15">
        <f>BIHAR!D14+'WEST BENGAL'!D9+JHARKHAND!D4</f>
        <v>717</v>
      </c>
      <c r="E5" s="15">
        <f>BIHAR!E14+'WEST BENGAL'!E9+JHARKHAND!E4</f>
        <v>693</v>
      </c>
      <c r="F5" s="15">
        <f>BIHAR!F14+'WEST BENGAL'!F9+JHARKHAND!F4</f>
        <v>709</v>
      </c>
      <c r="G5" s="15">
        <f>BIHAR!G14+'WEST BENGAL'!G9+JHARKHAND!G4</f>
        <v>722</v>
      </c>
      <c r="H5" s="15">
        <f>BIHAR!H14+'WEST BENGAL'!H9+JHARKHAND!H4</f>
        <v>717</v>
      </c>
      <c r="I5" s="15">
        <f>BIHAR!I14+'WEST BENGAL'!I9+JHARKHAND!I4</f>
        <v>733</v>
      </c>
      <c r="J5" s="15">
        <f>BIHAR!J14+'WEST BENGAL'!J9+JHARKHAND!J4</f>
        <v>814</v>
      </c>
      <c r="K5" s="15">
        <f>BIHAR!K14+'WEST BENGAL'!K9+JHARKHAND!K4</f>
        <v>827</v>
      </c>
      <c r="L5" s="15">
        <f>BIHAR!L14+'WEST BENGAL'!L9+JHARKHAND!L4</f>
        <v>845</v>
      </c>
      <c r="M5" s="15">
        <f>BIHAR!M14+'WEST BENGAL'!M9+JHARKHAND!M4</f>
        <v>844</v>
      </c>
      <c r="N5" s="15">
        <f>BIHAR!N14+'WEST BENGAL'!N9+JHARKHAND!N4</f>
        <v>878</v>
      </c>
      <c r="O5" s="15">
        <f>BIHAR!O14+'WEST BENGAL'!O9+JHARKHAND!O4</f>
        <v>852</v>
      </c>
      <c r="P5" s="16">
        <f t="shared" ref="P5" si="0">MAX(D5:O5)</f>
        <v>878</v>
      </c>
      <c r="Q5" s="15">
        <f t="shared" ref="Q5" si="1">SUMPRODUCT(D5:F5,$D$2:$F$2)/SUM($D$2:$F$2)</f>
        <v>706.1868131868132</v>
      </c>
      <c r="R5" s="15">
        <f t="shared" ref="R5" si="2">SUMPRODUCT(G5:I5,$G$2:$I$2)/SUM($G$2:$I$2)</f>
        <v>723.9021739130435</v>
      </c>
      <c r="S5" s="15">
        <f t="shared" ref="S5" si="3">SUMPRODUCT(J5:L5,$J$2:$L$2)/SUM($J$2:$L$2)</f>
        <v>828.68478260869563</v>
      </c>
      <c r="T5" s="15">
        <f>SUMPRODUCT(M5:O5,$M$3:$O$3)/SUM($M$3:$O$3)</f>
        <v>857.56043956043959</v>
      </c>
      <c r="U5" s="167">
        <f t="shared" ref="U5:U6" si="4">O5</f>
        <v>852</v>
      </c>
    </row>
    <row r="6" spans="1:32" x14ac:dyDescent="0.2">
      <c r="A6" s="14" t="s">
        <v>5</v>
      </c>
      <c r="B6" s="14" t="s">
        <v>6</v>
      </c>
      <c r="C6" s="20" t="s">
        <v>98</v>
      </c>
      <c r="D6" s="15">
        <f>BIHAR!D15+'WEST BENGAL'!D10+JHARKHAND!D5</f>
        <v>851</v>
      </c>
      <c r="E6" s="15">
        <f>BIHAR!E15+'WEST BENGAL'!E10+JHARKHAND!E5</f>
        <v>864</v>
      </c>
      <c r="F6" s="15">
        <f>BIHAR!F15+'WEST BENGAL'!F10+JHARKHAND!F5</f>
        <v>842</v>
      </c>
      <c r="G6" s="15">
        <f>BIHAR!G15+'WEST BENGAL'!G10+JHARKHAND!G5</f>
        <v>837</v>
      </c>
      <c r="H6" s="15">
        <f>BIHAR!H15+'WEST BENGAL'!H10+JHARKHAND!H5</f>
        <v>821</v>
      </c>
      <c r="I6" s="15">
        <f>BIHAR!I15+'WEST BENGAL'!I10+JHARKHAND!I5</f>
        <v>842</v>
      </c>
      <c r="J6" s="15">
        <f>BIHAR!J15+'WEST BENGAL'!J10+JHARKHAND!J5</f>
        <v>818</v>
      </c>
      <c r="K6" s="15">
        <f>BIHAR!K15+'WEST BENGAL'!K10+JHARKHAND!K5</f>
        <v>810</v>
      </c>
      <c r="L6" s="15">
        <f>BIHAR!L15+'WEST BENGAL'!L10+JHARKHAND!L5</f>
        <v>861</v>
      </c>
      <c r="M6" s="15">
        <f>BIHAR!M15+'WEST BENGAL'!M10+JHARKHAND!M5</f>
        <v>905</v>
      </c>
      <c r="N6" s="15">
        <f>BIHAR!N15+'WEST BENGAL'!N10+JHARKHAND!N5</f>
        <v>967</v>
      </c>
      <c r="O6" s="15">
        <f>BIHAR!O15+'WEST BENGAL'!O10+JHARKHAND!O5</f>
        <v>1038</v>
      </c>
      <c r="P6" s="16">
        <f>MAX(D6:O6)</f>
        <v>1038</v>
      </c>
      <c r="Q6" s="15">
        <f>SUMPRODUCT(D6:F6,$D$2:$F$2)/SUM($D$2:$F$2)</f>
        <v>852.46153846153845</v>
      </c>
      <c r="R6" s="15">
        <f>SUMPRODUCT(G6:I6,$G$2:$I$2)/SUM($G$2:$I$2)</f>
        <v>833.23913043478262</v>
      </c>
      <c r="S6" s="15">
        <f>SUMPRODUCT(J6:L6,$J$2:$L$2)/SUM($J$2:$L$2)</f>
        <v>829.88043478260875</v>
      </c>
      <c r="T6" s="15">
        <f>SUMPRODUCT(M6:O6,$M$2:$O$2)/SUM($M$2:$O$2)</f>
        <v>970.1</v>
      </c>
      <c r="U6" s="167">
        <f t="shared" si="4"/>
        <v>1038</v>
      </c>
    </row>
    <row r="7" spans="1:32" x14ac:dyDescent="0.2">
      <c r="A7" s="21" t="s">
        <v>5</v>
      </c>
      <c r="B7" s="21" t="s">
        <v>6</v>
      </c>
      <c r="C7" s="22" t="s">
        <v>193</v>
      </c>
      <c r="D7" s="23">
        <f>BIHAR!D16+'WEST BENGAL'!D11+JHARKHAND!D6</f>
        <v>1075</v>
      </c>
      <c r="E7" s="23">
        <f>BIHAR!E16+'WEST BENGAL'!E11+JHARKHAND!E6</f>
        <v>1096</v>
      </c>
      <c r="F7" s="23">
        <f>BIHAR!F16+'WEST BENGAL'!F11+JHARKHAND!F6</f>
        <v>1107</v>
      </c>
      <c r="G7" s="23">
        <f>BIHAR!G16+'WEST BENGAL'!G11+JHARKHAND!G6</f>
        <v>1185</v>
      </c>
      <c r="H7" s="23">
        <f>BIHAR!H16+'WEST BENGAL'!H11+JHARKHAND!H6</f>
        <v>1241</v>
      </c>
      <c r="I7" s="23">
        <f>BIHAR!I16+'WEST BENGAL'!I11+JHARKHAND!I6</f>
        <v>1254</v>
      </c>
      <c r="J7" s="23">
        <f>BIHAR!J16+'WEST BENGAL'!J11+JHARKHAND!J6</f>
        <v>1260</v>
      </c>
      <c r="K7" s="23">
        <f>BIHAR!K16+'WEST BENGAL'!K11+JHARKHAND!K6</f>
        <v>1238</v>
      </c>
      <c r="L7" s="79">
        <f>BIHAR!L16+'WEST BENGAL'!L11+JHARKHAND!L6</f>
        <v>1252</v>
      </c>
      <c r="M7" s="79">
        <f>BIHAR!M16+'WEST BENGAL'!M11+JHARKHAND!M6</f>
        <v>1289</v>
      </c>
      <c r="N7" s="79">
        <f>BIHAR!N16+'WEST BENGAL'!N11+JHARKHAND!N6</f>
        <v>1430</v>
      </c>
      <c r="O7" s="195">
        <f>BIHAR!O16+'WEST BENGAL'!O11+JHARKHAND!O6</f>
        <v>1464</v>
      </c>
      <c r="P7" s="16">
        <f t="shared" ref="P7" si="5">MAX(D7:O7)</f>
        <v>1464</v>
      </c>
      <c r="Q7" s="23">
        <f>SUMPRODUCT(D7:F7,$D$2:$F$2)/SUM($D$2:$F$2)</f>
        <v>1092.7032967032967</v>
      </c>
      <c r="R7" s="23">
        <f>SUMPRODUCT(G7:I7,$G$2:$I$2)/SUM($G$2:$I$2)</f>
        <v>1226.3695652173913</v>
      </c>
      <c r="S7" s="23">
        <f>SUMPRODUCT(J7:L7,$J$2:$L$2)/SUM($J$2:$L$2)</f>
        <v>1250.1304347826087</v>
      </c>
      <c r="T7" s="23">
        <f>SUMPRODUCT(M7:O7,$M$2:$O$2)/SUM($M$2:$O$2)</f>
        <v>1393.1444444444444</v>
      </c>
      <c r="U7" s="167">
        <f>O7</f>
        <v>1464</v>
      </c>
    </row>
    <row r="8" spans="1:32" x14ac:dyDescent="0.2">
      <c r="C8" s="8"/>
      <c r="M8" s="25"/>
      <c r="N8" s="25"/>
    </row>
    <row r="9" spans="1:32" x14ac:dyDescent="0.2">
      <c r="A9" s="4" t="s">
        <v>17</v>
      </c>
      <c r="B9" s="5" t="s">
        <v>16</v>
      </c>
      <c r="C9" s="2" t="s">
        <v>38</v>
      </c>
      <c r="D9" s="3">
        <f>BIHAR!D59+'WEST BENGAL'!D38+JHARKHAND!D15</f>
        <v>159606.81688083339</v>
      </c>
      <c r="E9" s="3">
        <f>BIHAR!E59+'WEST BENGAL'!E38+JHARKHAND!E15</f>
        <v>163904.20169596822</v>
      </c>
      <c r="F9" s="3">
        <f>BIHAR!F59+'WEST BENGAL'!F38+JHARKHAND!F15</f>
        <v>172965.68154666619</v>
      </c>
      <c r="G9" s="3">
        <f>BIHAR!G59+'WEST BENGAL'!G38+JHARKHAND!G15</f>
        <v>172933.75397983816</v>
      </c>
      <c r="H9" s="3">
        <f>BIHAR!H59+'WEST BENGAL'!H38+JHARKHAND!H15</f>
        <v>152809.31015483895</v>
      </c>
      <c r="I9" s="3">
        <f>BIHAR!I59+'WEST BENGAL'!I38+JHARKHAND!I15</f>
        <v>171757.58878816673</v>
      </c>
      <c r="J9" s="3">
        <f>BIHAR!J59+'WEST BENGAL'!J38+JHARKHAND!J15</f>
        <v>179037.23833616971</v>
      </c>
      <c r="K9" s="3">
        <f>BIHAR!K59+'WEST BENGAL'!K38+JHARKHAND!K15</f>
        <v>157367.23487933326</v>
      </c>
      <c r="L9" s="3">
        <f>BIHAR!L59+'WEST BENGAL'!L38+JHARKHAND!L15</f>
        <v>185341.28344112853</v>
      </c>
      <c r="M9" s="3">
        <f>BIHAR!M59+'WEST BENGAL'!M38+JHARKHAND!M15</f>
        <v>196482.38652548258</v>
      </c>
      <c r="N9" s="3">
        <f>BIHAR!N59+'WEST BENGAL'!N38+JHARKHAND!N15</f>
        <v>216230.93306258626</v>
      </c>
      <c r="O9" s="3">
        <f>BIHAR!O59+'WEST BENGAL'!O38+JHARKHAND!O15</f>
        <v>205705.11211564569</v>
      </c>
      <c r="P9" s="9"/>
      <c r="Q9" s="3">
        <f t="shared" ref="Q9:Q13" si="6">SUMPRODUCT(D9:F9,$D$2:$F$2)/SUM($D$2:$F$2)</f>
        <v>165474.78247692308</v>
      </c>
      <c r="R9" s="3">
        <f t="shared" ref="R9:R23" si="7">SUMPRODUCT(G9:I9,$G$2:$I$2)/SUM($G$2:$I$2)</f>
        <v>165769.15925891296</v>
      </c>
      <c r="S9" s="3">
        <f t="shared" ref="S9:S23" si="8">SUMPRODUCT(J9:L9,$J$2:$L$2)/SUM($J$2:$L$2)</f>
        <v>174095.12197256784</v>
      </c>
      <c r="T9" s="3">
        <f>SUMPRODUCT(M9:O9,$M$3:$O$3)/SUM($M$3:$O$3)</f>
        <v>205917.68699659317</v>
      </c>
      <c r="U9" s="3">
        <f>SUMPRODUCT(D9:O9,D$3:O$3)/SUM($D$3:$O$3)+9</f>
        <v>177780.11638083667</v>
      </c>
      <c r="V9" s="25">
        <f>SUMPRODUCT(D9:I9,$D$3:$I$3)/SUM($D$3:$I$3)</f>
        <v>165622.77517606557</v>
      </c>
      <c r="W9" s="183"/>
      <c r="X9" s="183"/>
      <c r="Y9" s="183"/>
    </row>
    <row r="10" spans="1:32" x14ac:dyDescent="0.2">
      <c r="A10" s="4" t="s">
        <v>39</v>
      </c>
      <c r="B10" s="5" t="s">
        <v>16</v>
      </c>
      <c r="C10" s="2" t="s">
        <v>38</v>
      </c>
      <c r="D10" s="3">
        <f>BIHAR!D60+JHARKHAND!D16</f>
        <v>44467.28333333334</v>
      </c>
      <c r="E10" s="3">
        <f>BIHAR!E60+JHARKHAND!E16</f>
        <v>38013.14274193548</v>
      </c>
      <c r="F10" s="3">
        <f>BIHAR!F60+JHARKHAND!F16</f>
        <v>34917.697500000017</v>
      </c>
      <c r="G10" s="3">
        <f>BIHAR!G60+JHARKHAND!G16</f>
        <v>22173.238709677418</v>
      </c>
      <c r="H10" s="3">
        <f>BIHAR!H60+JHARKHAND!H16</f>
        <v>13835.112903225809</v>
      </c>
      <c r="I10" s="3">
        <f>BIHAR!I60+JHARKHAND!I16</f>
        <v>23964.870833333334</v>
      </c>
      <c r="J10" s="3">
        <f>BIHAR!J60+JHARKHAND!J16</f>
        <v>24633.354838709689</v>
      </c>
      <c r="K10" s="3">
        <f>BIHAR!K60+JHARKHAND!K16</f>
        <v>22571.575000000008</v>
      </c>
      <c r="L10" s="3">
        <f>BIHAR!L60+JHARKHAND!L16</f>
        <v>26069.915322580637</v>
      </c>
      <c r="M10" s="3">
        <f>BIHAR!M60+JHARKHAND!M16</f>
        <v>23001.96370967742</v>
      </c>
      <c r="N10" s="3">
        <f>BIHAR!N60+JHARKHAND!N16</f>
        <v>23598.629310344826</v>
      </c>
      <c r="O10" s="3">
        <f>BIHAR!O60+JHARKHAND!O16</f>
        <v>26217.620967741939</v>
      </c>
      <c r="P10" s="9"/>
      <c r="Q10" s="3">
        <f t="shared" si="6"/>
        <v>39120.40494505495</v>
      </c>
      <c r="R10" s="3">
        <f t="shared" si="7"/>
        <v>19947.880706521737</v>
      </c>
      <c r="S10" s="3">
        <f t="shared" si="8"/>
        <v>24445.09375</v>
      </c>
      <c r="T10" s="3">
        <f t="shared" ref="T10:T13" si="9">SUMPRODUCT(M10:O10,$M$3:$O$3)/SUM($M$3:$O$3)</f>
        <v>24287.553571428572</v>
      </c>
      <c r="U10" s="3">
        <f t="shared" ref="U10" si="10">SUMPRODUCT(D10:O10,D$3:O$3)/SUM($D$3:$O$3)</f>
        <v>26924.256489071038</v>
      </c>
      <c r="V10" s="25">
        <f t="shared" ref="V10:V13" si="11">SUMPRODUCT(D10:I10,$D$3:$I$3)/SUM($D$3:$I$3)</f>
        <v>29481.758879781421</v>
      </c>
      <c r="W10" s="183"/>
      <c r="X10" s="183"/>
      <c r="Y10" s="183"/>
    </row>
    <row r="11" spans="1:32" x14ac:dyDescent="0.2">
      <c r="A11" s="4" t="s">
        <v>18</v>
      </c>
      <c r="B11" s="5" t="s">
        <v>16</v>
      </c>
      <c r="C11" s="2" t="s">
        <v>38</v>
      </c>
      <c r="D11" s="3">
        <f>BIHAR!D61+'WEST BENGAL'!D39+JHARKHAND!D17</f>
        <v>5063.1965</v>
      </c>
      <c r="E11" s="3">
        <f>BIHAR!E61+'WEST BENGAL'!E39+JHARKHAND!E17</f>
        <v>19366.883064516125</v>
      </c>
      <c r="F11" s="3">
        <f>BIHAR!F61+'WEST BENGAL'!F39+JHARKHAND!F17</f>
        <v>0</v>
      </c>
      <c r="G11" s="3">
        <f>BIHAR!G61+'WEST BENGAL'!G39+JHARKHAND!G17</f>
        <v>0</v>
      </c>
      <c r="H11" s="3">
        <f>BIHAR!H61+'WEST BENGAL'!H39+JHARKHAND!H17</f>
        <v>9244.9395161290304</v>
      </c>
      <c r="I11" s="3">
        <f>BIHAR!I61+'WEST BENGAL'!I39+JHARKHAND!I17</f>
        <v>8168.9708333333328</v>
      </c>
      <c r="J11" s="3">
        <f>BIHAR!J61+'WEST BENGAL'!J39+JHARKHAND!J17</f>
        <v>6028.3266129032245</v>
      </c>
      <c r="K11" s="3">
        <f>BIHAR!K61+'WEST BENGAL'!K39+JHARKHAND!K17</f>
        <v>25182.73333333333</v>
      </c>
      <c r="L11" s="3">
        <f>BIHAR!L61+'WEST BENGAL'!L39+JHARKHAND!L17</f>
        <v>21375.75</v>
      </c>
      <c r="M11" s="3">
        <f>BIHAR!M61+'WEST BENGAL'!M39+JHARKHAND!M17</f>
        <v>29750.471774193546</v>
      </c>
      <c r="N11" s="3">
        <f>BIHAR!N61+'WEST BENGAL'!N39+JHARKHAND!N17</f>
        <v>11452.909482758612</v>
      </c>
      <c r="O11" s="3">
        <f>BIHAR!O61+'WEST BENGAL'!O39+JHARKHAND!O17</f>
        <v>17368.068548387102</v>
      </c>
      <c r="P11" s="9"/>
      <c r="Q11" s="3">
        <f t="shared" si="6"/>
        <v>8266.6952747252744</v>
      </c>
      <c r="R11" s="3">
        <f t="shared" si="7"/>
        <v>5778.9375</v>
      </c>
      <c r="S11" s="3">
        <f t="shared" si="8"/>
        <v>17445.74320652174</v>
      </c>
      <c r="T11" s="3">
        <f t="shared" si="9"/>
        <v>19701.199175824171</v>
      </c>
      <c r="U11" s="3">
        <f>SUMPRODUCT(D11:O11,D$3:O$3)/SUM($D$3:$O$3)</f>
        <v>12791.663989071038</v>
      </c>
      <c r="V11" s="25">
        <f t="shared" si="11"/>
        <v>7016.0192349726767</v>
      </c>
      <c r="W11" s="166">
        <f>SUM(V10:V11)</f>
        <v>36497.778114754095</v>
      </c>
      <c r="X11" s="183"/>
      <c r="Y11" s="183"/>
    </row>
    <row r="12" spans="1:32" x14ac:dyDescent="0.2">
      <c r="A12" s="4" t="s">
        <v>33</v>
      </c>
      <c r="B12" s="5" t="s">
        <v>16</v>
      </c>
      <c r="C12" s="2" t="s">
        <v>38</v>
      </c>
      <c r="D12" s="3">
        <f>BIHAR!D62+'WEST BENGAL'!D40+JHARKHAND!D18</f>
        <v>-1.1368683772161603E-13</v>
      </c>
      <c r="E12" s="3">
        <f>BIHAR!E62+'WEST BENGAL'!E40+JHARKHAND!E18</f>
        <v>2.1827872842550278E-11</v>
      </c>
      <c r="F12" s="3">
        <f>BIHAR!F62+'WEST BENGAL'!F40+JHARKHAND!F18</f>
        <v>-2.9103830456733704E-11</v>
      </c>
      <c r="G12" s="3">
        <f>BIHAR!G62+'WEST BENGAL'!G40+JHARKHAND!G18</f>
        <v>0</v>
      </c>
      <c r="H12" s="3">
        <f>BIHAR!H62+'WEST BENGAL'!H40+JHARKHAND!H18</f>
        <v>1.8189894035458565E-12</v>
      </c>
      <c r="I12" s="3">
        <f>BIHAR!I62+'WEST BENGAL'!I40+JHARKHAND!I18</f>
        <v>0</v>
      </c>
      <c r="J12" s="3">
        <f>BIHAR!J62+'WEST BENGAL'!J40+JHARKHAND!J18</f>
        <v>0</v>
      </c>
      <c r="K12" s="3">
        <f>BIHAR!K62+'WEST BENGAL'!K40+JHARKHAND!K18</f>
        <v>0</v>
      </c>
      <c r="L12" s="3">
        <f>BIHAR!L62+'WEST BENGAL'!L40+JHARKHAND!L18</f>
        <v>0</v>
      </c>
      <c r="M12" s="3">
        <f>BIHAR!M62+'WEST BENGAL'!M40+JHARKHAND!M18</f>
        <v>0</v>
      </c>
      <c r="N12" s="3">
        <f>BIHAR!N62+'WEST BENGAL'!N40+JHARKHAND!N18</f>
        <v>0</v>
      </c>
      <c r="O12" s="3">
        <f>BIHAR!O62+'WEST BENGAL'!O40+JHARKHAND!O18</f>
        <v>0</v>
      </c>
      <c r="P12" s="9"/>
      <c r="Q12" s="3">
        <f t="shared" si="6"/>
        <v>-2.1962797880725381E-12</v>
      </c>
      <c r="R12" s="3">
        <f t="shared" si="7"/>
        <v>6.1292034249914729E-13</v>
      </c>
      <c r="S12" s="3">
        <f t="shared" si="8"/>
        <v>0</v>
      </c>
      <c r="T12" s="3">
        <f t="shared" si="9"/>
        <v>0</v>
      </c>
      <c r="U12" s="3">
        <f>SUMPRODUCT(D12:O12,D$3:O$3)/SUM($D$3:$O$3)</f>
        <v>-3.9200215629693834E-13</v>
      </c>
      <c r="V12" s="25">
        <f t="shared" si="11"/>
        <v>-7.8400431259387668E-13</v>
      </c>
      <c r="W12" s="183"/>
      <c r="X12" s="183"/>
      <c r="Y12" s="183"/>
    </row>
    <row r="13" spans="1:32" x14ac:dyDescent="0.2">
      <c r="A13" s="14" t="s">
        <v>41</v>
      </c>
      <c r="B13" s="14" t="s">
        <v>16</v>
      </c>
      <c r="C13" s="20" t="s">
        <v>38</v>
      </c>
      <c r="D13" s="15">
        <f>SUM(D9:D12)</f>
        <v>209137.29671416673</v>
      </c>
      <c r="E13" s="15">
        <f t="shared" ref="E13:N13" si="12">SUM(E9:E12)</f>
        <v>221284.22750241985</v>
      </c>
      <c r="F13" s="15">
        <f t="shared" si="12"/>
        <v>207883.37904666617</v>
      </c>
      <c r="G13" s="15">
        <f t="shared" si="12"/>
        <v>195106.99268951558</v>
      </c>
      <c r="H13" s="15">
        <f t="shared" si="12"/>
        <v>175889.3625741938</v>
      </c>
      <c r="I13" s="15">
        <f t="shared" si="12"/>
        <v>203891.43045483337</v>
      </c>
      <c r="J13" s="15">
        <f t="shared" si="12"/>
        <v>209698.91978778262</v>
      </c>
      <c r="K13" s="15">
        <f t="shared" si="12"/>
        <v>205121.54321266661</v>
      </c>
      <c r="L13" s="15">
        <f t="shared" si="12"/>
        <v>232786.94876370917</v>
      </c>
      <c r="M13" s="15">
        <f t="shared" si="12"/>
        <v>249234.82200935355</v>
      </c>
      <c r="N13" s="15">
        <f t="shared" si="12"/>
        <v>251282.47185568971</v>
      </c>
      <c r="O13" s="56">
        <f>SUM(O9:O12)</f>
        <v>249290.80163177472</v>
      </c>
      <c r="P13" s="9"/>
      <c r="Q13" s="15">
        <f t="shared" si="6"/>
        <v>212861.88269670331</v>
      </c>
      <c r="R13" s="15">
        <f t="shared" si="7"/>
        <v>191495.97746543473</v>
      </c>
      <c r="S13" s="15">
        <f t="shared" si="8"/>
        <v>215985.9589290896</v>
      </c>
      <c r="T13" s="15">
        <f t="shared" si="9"/>
        <v>249906.43974384593</v>
      </c>
      <c r="U13" s="15">
        <f>SUMPRODUCT(D13:O13,D$3:O$3)/SUM($D$3:$O$3)+9</f>
        <v>217496.03685897871</v>
      </c>
      <c r="V13" s="25">
        <f t="shared" si="11"/>
        <v>202120.5532908196</v>
      </c>
    </row>
    <row r="14" spans="1:32" x14ac:dyDescent="0.2">
      <c r="A14" s="4" t="s">
        <v>17</v>
      </c>
      <c r="B14" s="5" t="s">
        <v>16</v>
      </c>
      <c r="C14" s="2" t="s">
        <v>98</v>
      </c>
      <c r="D14" s="3">
        <f>BIHAR!D64+'WEST BENGAL'!D42+JHARKHAND!D20</f>
        <v>166189.34276416618</v>
      </c>
      <c r="E14" s="3">
        <f>BIHAR!E64+'WEST BENGAL'!E42+JHARKHAND!E20</f>
        <v>176072.69235137093</v>
      </c>
      <c r="F14" s="3">
        <f>BIHAR!F64+'WEST BENGAL'!F42+JHARKHAND!F20</f>
        <v>171373.00680911631</v>
      </c>
      <c r="G14" s="3">
        <f>BIHAR!G64+'WEST BENGAL'!G42+JHARKHAND!G20</f>
        <v>170587.54140137034</v>
      </c>
      <c r="H14" s="3">
        <f>BIHAR!H64+'WEST BENGAL'!H42+JHARKHAND!H20</f>
        <v>154526.94597807224</v>
      </c>
      <c r="I14" s="3">
        <f>BIHAR!I64+'WEST BENGAL'!I42+JHARKHAND!I20</f>
        <v>173352.10564899191</v>
      </c>
      <c r="J14" s="3">
        <f>BIHAR!J64+'WEST BENGAL'!J42+JHARKHAND!J20</f>
        <v>160234.19203438787</v>
      </c>
      <c r="K14" s="3">
        <f>BIHAR!K64+'WEST BENGAL'!K42+JHARKHAND!K20</f>
        <v>140828.88545191666</v>
      </c>
      <c r="L14" s="3">
        <f>BIHAR!L64+'WEST BENGAL'!L42+JHARKHAND!L20</f>
        <v>174679.12617540298</v>
      </c>
      <c r="M14" s="3">
        <f>BIHAR!M64+'WEST BENGAL'!M42+JHARKHAND!M20</f>
        <v>200486.22788757962</v>
      </c>
      <c r="N14" s="3">
        <f>BIHAR!N64+'WEST BENGAL'!N42+JHARKHAND!N20</f>
        <v>217893.14697553523</v>
      </c>
      <c r="O14" s="3">
        <f>BIHAR!O64+'WEST BENGAL'!O42+JHARKHAND!O20</f>
        <v>203497.28269927291</v>
      </c>
      <c r="P14" s="9"/>
      <c r="Q14" s="3">
        <f t="shared" ref="Q14:Q23" si="13">SUMPRODUCT(D14:F14,$D$2:$F$2)/SUM($D$2:$F$2)</f>
        <v>171265.09835264808</v>
      </c>
      <c r="R14" s="3">
        <f t="shared" si="7"/>
        <v>166077.30737209212</v>
      </c>
      <c r="S14" s="3">
        <f t="shared" si="8"/>
        <v>158773.68943544582</v>
      </c>
      <c r="T14" s="3">
        <f>SUMPRODUCT(M14:O14,$M$2:$O$2)/SUM($M$2:$O$2)</f>
        <v>206938.85492786017</v>
      </c>
      <c r="U14" s="3">
        <f>SUMPRODUCT(D14:O14,D$2:O$2)/SUM($D$2:$O$2)+9</f>
        <v>175614.2399997038</v>
      </c>
      <c r="V14" s="25">
        <f t="shared" ref="V14:V18" si="14">SUMPRODUCT(D14:I14,$D$2:$I$2)/SUM($D$2:$I$2)</f>
        <v>168657.02857007351</v>
      </c>
      <c r="W14" s="183"/>
      <c r="X14" s="183"/>
      <c r="Y14" s="183"/>
      <c r="Z14" s="166"/>
      <c r="AA14" s="166"/>
      <c r="AB14" s="166"/>
      <c r="AC14" s="166"/>
      <c r="AD14" s="166"/>
      <c r="AE14" s="166"/>
      <c r="AF14" s="166"/>
    </row>
    <row r="15" spans="1:32" x14ac:dyDescent="0.2">
      <c r="A15" s="4" t="s">
        <v>39</v>
      </c>
      <c r="B15" s="5" t="s">
        <v>16</v>
      </c>
      <c r="C15" s="2" t="s">
        <v>98</v>
      </c>
      <c r="D15" s="3">
        <f>BIHAR!D65+JHARKHAND!D21</f>
        <v>17483.70416666667</v>
      </c>
      <c r="E15" s="3">
        <f>BIHAR!E65+JHARKHAND!E21</f>
        <v>9497.0201612903202</v>
      </c>
      <c r="F15" s="3">
        <f>BIHAR!F65+JHARKHAND!F21</f>
        <v>6629.4624999999996</v>
      </c>
      <c r="G15" s="3">
        <f>BIHAR!G65+JHARKHAND!G21</f>
        <v>9914.5947580645152</v>
      </c>
      <c r="H15" s="3">
        <f>BIHAR!H65+JHARKHAND!H21</f>
        <v>8504.1955645161288</v>
      </c>
      <c r="I15" s="3">
        <f>BIHAR!I65+JHARKHAND!I21</f>
        <v>18437.289583333331</v>
      </c>
      <c r="J15" s="3">
        <f>BIHAR!J65+JHARKHAND!J21</f>
        <v>17470.822580645152</v>
      </c>
      <c r="K15" s="3">
        <f>BIHAR!K65+JHARKHAND!K21</f>
        <v>12530.154166666667</v>
      </c>
      <c r="L15" s="3">
        <f>BIHAR!L65+JHARKHAND!L21</f>
        <v>14231.161290322581</v>
      </c>
      <c r="M15" s="3">
        <f>BIHAR!M65+JHARKHAND!M21</f>
        <v>17026.33467741936</v>
      </c>
      <c r="N15" s="3">
        <f>BIHAR!N65+JHARKHAND!N21</f>
        <v>20969.540178571428</v>
      </c>
      <c r="O15" s="3">
        <f>BIHAR!O65+JHARKHAND!O21</f>
        <v>18197.322580645159</v>
      </c>
      <c r="P15" s="9"/>
      <c r="Q15" s="3">
        <f t="shared" si="13"/>
        <v>11184.64423076923</v>
      </c>
      <c r="R15" s="3">
        <f t="shared" si="7"/>
        <v>12218.49116847826</v>
      </c>
      <c r="S15" s="3">
        <f t="shared" si="8"/>
        <v>14768.110054347824</v>
      </c>
      <c r="T15" s="3">
        <f t="shared" ref="T15:T23" si="15">SUMPRODUCT(M15:O15,$M$2:$O$2)/SUM($M$2:$O$2)</f>
        <v>18656.45</v>
      </c>
      <c r="U15" s="3">
        <f>SUMPRODUCT(D15:O15,D$2:O$2)/SUM($D$2:$O$2)</f>
        <v>14190.823116438356</v>
      </c>
      <c r="V15" s="25">
        <f t="shared" si="14"/>
        <v>11704.392418032787</v>
      </c>
      <c r="W15" s="183"/>
      <c r="X15" s="183"/>
      <c r="Y15" s="183"/>
    </row>
    <row r="16" spans="1:32" x14ac:dyDescent="0.2">
      <c r="A16" s="4" t="s">
        <v>18</v>
      </c>
      <c r="B16" s="5" t="s">
        <v>16</v>
      </c>
      <c r="C16" s="2" t="s">
        <v>98</v>
      </c>
      <c r="D16" s="3">
        <f>BIHAR!D66+'WEST BENGAL'!D43+JHARKHAND!D22</f>
        <v>66174.279166666674</v>
      </c>
      <c r="E16" s="3">
        <f>BIHAR!E66+'WEST BENGAL'!E43+JHARKHAND!E22</f>
        <v>53107.113592741945</v>
      </c>
      <c r="F16" s="3">
        <f>BIHAR!F66+'WEST BENGAL'!F43+JHARKHAND!F22</f>
        <v>56589.874033333348</v>
      </c>
      <c r="G16" s="3">
        <f>BIHAR!G66+'WEST BENGAL'!G43+JHARKHAND!G22</f>
        <v>55507.548774193558</v>
      </c>
      <c r="H16" s="3">
        <f>BIHAR!H66+'WEST BENGAL'!H43+JHARKHAND!H22</f>
        <v>83820.341709677421</v>
      </c>
      <c r="I16" s="3">
        <f>BIHAR!I66+'WEST BENGAL'!I43+JHARKHAND!I22</f>
        <v>54121.47276666668</v>
      </c>
      <c r="J16" s="3">
        <f>BIHAR!J66+'WEST BENGAL'!J43+JHARKHAND!J22</f>
        <v>61280.420040322584</v>
      </c>
      <c r="K16" s="3">
        <f>BIHAR!K66+'WEST BENGAL'!K43+JHARKHAND!K22</f>
        <v>116721.93820833333</v>
      </c>
      <c r="L16" s="3">
        <f>BIHAR!L66+'WEST BENGAL'!L43+JHARKHAND!L22</f>
        <v>84771.64558064517</v>
      </c>
      <c r="M16" s="3">
        <f>BIHAR!M66+'WEST BENGAL'!M43+JHARKHAND!M22</f>
        <v>68839.791330645152</v>
      </c>
      <c r="N16" s="3">
        <f>BIHAR!N66+'WEST BENGAL'!N43+JHARKHAND!N22</f>
        <v>26873.492491071425</v>
      </c>
      <c r="O16" s="3">
        <f>BIHAR!O66+'WEST BENGAL'!O43+JHARKHAND!O22</f>
        <v>46927.334862903219</v>
      </c>
      <c r="P16" s="9"/>
      <c r="Q16" s="3">
        <f t="shared" si="13"/>
        <v>58563.133157967044</v>
      </c>
      <c r="R16" s="3">
        <f t="shared" si="7"/>
        <v>64595.747695652179</v>
      </c>
      <c r="S16" s="3">
        <f t="shared" si="8"/>
        <v>87274.697614130448</v>
      </c>
      <c r="T16" s="3">
        <f t="shared" si="15"/>
        <v>48235.985574999992</v>
      </c>
      <c r="U16" s="3">
        <f t="shared" ref="U16:U23" si="16">SUMPRODUCT(D16:O16,D$2:O$2)/SUM($D$2:$O$2)</f>
        <v>64774.150103082204</v>
      </c>
      <c r="V16" s="25">
        <f t="shared" si="14"/>
        <v>61595.922980191266</v>
      </c>
      <c r="W16" s="183">
        <f>V16+V15</f>
        <v>73300.315398224047</v>
      </c>
      <c r="X16" s="183"/>
      <c r="Y16" s="183"/>
    </row>
    <row r="17" spans="1:32" x14ac:dyDescent="0.2">
      <c r="A17" s="4" t="s">
        <v>33</v>
      </c>
      <c r="B17" s="5" t="s">
        <v>16</v>
      </c>
      <c r="C17" s="2" t="s">
        <v>98</v>
      </c>
      <c r="D17" s="3" t="e">
        <f>BIHAR!D67+'WEST BENGAL'!D44+'WEST BENGAL'!#REF!+JHARKHAND!D23</f>
        <v>#REF!</v>
      </c>
      <c r="E17" s="3" t="e">
        <f>BIHAR!E67+'WEST BENGAL'!E44+'WEST BENGAL'!#REF!+JHARKHAND!E23</f>
        <v>#REF!</v>
      </c>
      <c r="F17" s="3" t="e">
        <f>BIHAR!F67+'WEST BENGAL'!F44+'WEST BENGAL'!#REF!+JHARKHAND!F23</f>
        <v>#REF!</v>
      </c>
      <c r="G17" s="3" t="e">
        <f>BIHAR!G67+'WEST BENGAL'!G44+'WEST BENGAL'!#REF!+JHARKHAND!G23</f>
        <v>#REF!</v>
      </c>
      <c r="H17" s="3" t="e">
        <f>BIHAR!H67+'WEST BENGAL'!H44+'WEST BENGAL'!#REF!+JHARKHAND!H23</f>
        <v>#REF!</v>
      </c>
      <c r="I17" s="3" t="e">
        <f>BIHAR!I67+'WEST BENGAL'!I44+'WEST BENGAL'!#REF!+JHARKHAND!I23</f>
        <v>#REF!</v>
      </c>
      <c r="J17" s="3" t="e">
        <f>BIHAR!J67+'WEST BENGAL'!J44+'WEST BENGAL'!#REF!+JHARKHAND!J23</f>
        <v>#REF!</v>
      </c>
      <c r="K17" s="3" t="e">
        <f>BIHAR!K67+'WEST BENGAL'!K44+'WEST BENGAL'!#REF!+JHARKHAND!K23</f>
        <v>#REF!</v>
      </c>
      <c r="L17" s="3" t="e">
        <f>BIHAR!L67+'WEST BENGAL'!L44+'WEST BENGAL'!#REF!+JHARKHAND!L23</f>
        <v>#REF!</v>
      </c>
      <c r="M17" s="3" t="e">
        <f>BIHAR!M67+'WEST BENGAL'!M44+'WEST BENGAL'!#REF!+JHARKHAND!M23</f>
        <v>#REF!</v>
      </c>
      <c r="N17" s="3" t="e">
        <f>BIHAR!N67+'WEST BENGAL'!N44+'WEST BENGAL'!#REF!+JHARKHAND!N23</f>
        <v>#REF!</v>
      </c>
      <c r="O17" s="3" t="e">
        <f>BIHAR!O67+'WEST BENGAL'!O44+'WEST BENGAL'!#REF!+JHARKHAND!O23</f>
        <v>#REF!</v>
      </c>
      <c r="P17" s="9"/>
      <c r="Q17" s="3" t="e">
        <f t="shared" si="13"/>
        <v>#REF!</v>
      </c>
      <c r="R17" s="3" t="e">
        <f t="shared" si="7"/>
        <v>#REF!</v>
      </c>
      <c r="S17" s="3" t="e">
        <f t="shared" si="8"/>
        <v>#REF!</v>
      </c>
      <c r="T17" s="3" t="e">
        <f t="shared" si="15"/>
        <v>#REF!</v>
      </c>
      <c r="U17" s="3" t="e">
        <f t="shared" si="16"/>
        <v>#REF!</v>
      </c>
      <c r="V17" s="25" t="e">
        <f t="shared" si="14"/>
        <v>#REF!</v>
      </c>
      <c r="W17" s="183"/>
      <c r="X17" s="183"/>
      <c r="Y17" s="183"/>
    </row>
    <row r="18" spans="1:32" x14ac:dyDescent="0.2">
      <c r="A18" s="21" t="s">
        <v>41</v>
      </c>
      <c r="B18" s="21" t="s">
        <v>16</v>
      </c>
      <c r="C18" s="22" t="s">
        <v>98</v>
      </c>
      <c r="D18" s="23" t="e">
        <f>SUM(D14:D17)</f>
        <v>#REF!</v>
      </c>
      <c r="E18" s="23" t="e">
        <f t="shared" ref="E18:N18" si="17">SUM(E14:E17)</f>
        <v>#REF!</v>
      </c>
      <c r="F18" s="23" t="e">
        <f t="shared" si="17"/>
        <v>#REF!</v>
      </c>
      <c r="G18" s="23" t="e">
        <f t="shared" si="17"/>
        <v>#REF!</v>
      </c>
      <c r="H18" s="23" t="e">
        <f t="shared" si="17"/>
        <v>#REF!</v>
      </c>
      <c r="I18" s="23" t="e">
        <f t="shared" si="17"/>
        <v>#REF!</v>
      </c>
      <c r="J18" s="23" t="e">
        <f t="shared" si="17"/>
        <v>#REF!</v>
      </c>
      <c r="K18" s="23" t="e">
        <f t="shared" si="17"/>
        <v>#REF!</v>
      </c>
      <c r="L18" s="23" t="e">
        <f t="shared" si="17"/>
        <v>#REF!</v>
      </c>
      <c r="M18" s="23" t="e">
        <f t="shared" si="17"/>
        <v>#REF!</v>
      </c>
      <c r="N18" s="23" t="e">
        <f t="shared" si="17"/>
        <v>#REF!</v>
      </c>
      <c r="O18" s="23" t="e">
        <f>SUM(O14:O17)</f>
        <v>#REF!</v>
      </c>
      <c r="P18" s="9"/>
      <c r="Q18" s="23" t="e">
        <f t="shared" si="13"/>
        <v>#REF!</v>
      </c>
      <c r="R18" s="23" t="e">
        <f t="shared" si="7"/>
        <v>#REF!</v>
      </c>
      <c r="S18" s="23" t="e">
        <f t="shared" si="8"/>
        <v>#REF!</v>
      </c>
      <c r="T18" s="23" t="e">
        <f t="shared" si="15"/>
        <v>#REF!</v>
      </c>
      <c r="U18" s="23" t="e">
        <f>SUMPRODUCT(D18:O18,D$2:O$2)/SUM($D$2:$O$2)+9</f>
        <v>#REF!</v>
      </c>
      <c r="V18" s="25" t="e">
        <f t="shared" si="14"/>
        <v>#REF!</v>
      </c>
      <c r="W18" s="183"/>
      <c r="X18" s="183"/>
      <c r="Y18" s="183"/>
    </row>
    <row r="19" spans="1:32" x14ac:dyDescent="0.2">
      <c r="A19" s="4" t="s">
        <v>17</v>
      </c>
      <c r="B19" s="5" t="s">
        <v>16</v>
      </c>
      <c r="C19" s="2" t="s">
        <v>193</v>
      </c>
      <c r="D19" s="3">
        <f>BIHAR!D69+'WEST BENGAL'!D46+JHARKHAND!D25</f>
        <v>175408.74228124984</v>
      </c>
      <c r="E19" s="3">
        <f>BIHAR!E69+'WEST BENGAL'!E46+JHARKHAND!E25</f>
        <v>192377.70922830619</v>
      </c>
      <c r="F19" s="3">
        <f>BIHAR!F69+'WEST BENGAL'!F46+JHARKHAND!F25</f>
        <v>216244.66149016618</v>
      </c>
      <c r="G19" s="3">
        <f>BIHAR!G69+'WEST BENGAL'!G46+JHARKHAND!G25</f>
        <v>230776.39178693484</v>
      </c>
      <c r="H19" s="3">
        <f>BIHAR!H69+'WEST BENGAL'!H46+JHARKHAND!H25</f>
        <v>210409.22684991857</v>
      </c>
      <c r="I19" s="3">
        <f>BIHAR!I69+'WEST BENGAL'!I46+JHARKHAND!I25</f>
        <v>219460.31035216691</v>
      </c>
      <c r="J19" s="3">
        <f>BIHAR!J69+'WEST BENGAL'!J46+JHARKHAND!J25</f>
        <v>202010.16581588722</v>
      </c>
      <c r="K19" s="3">
        <f>BIHAR!K69+'WEST BENGAL'!K46+JHARKHAND!K25</f>
        <v>196517.70096099991</v>
      </c>
      <c r="L19" s="3">
        <f>BIHAR!L69+'WEST BENGAL'!L46+JHARKHAND!L25</f>
        <v>249656.36721661247</v>
      </c>
      <c r="M19" s="3">
        <f>BIHAR!M69+'WEST BENGAL'!M46+JHARKHAND!M25</f>
        <v>244978.78465314486</v>
      </c>
      <c r="N19" s="3">
        <f>BIHAR!N69+'WEST BENGAL'!N46+JHARKHAND!N25</f>
        <v>295202.74513446447</v>
      </c>
      <c r="O19" s="3">
        <f>BIHAR!O69+'WEST BENGAL'!O46+JHARKHAND!O25</f>
        <v>296431.23092959914</v>
      </c>
      <c r="P19" s="9"/>
      <c r="Q19" s="3">
        <f t="shared" si="13"/>
        <v>194651.77032109862</v>
      </c>
      <c r="R19" s="3">
        <f t="shared" si="7"/>
        <v>220223.51617725502</v>
      </c>
      <c r="S19" s="3">
        <f t="shared" si="8"/>
        <v>216273.84296562491</v>
      </c>
      <c r="T19" s="3">
        <f t="shared" si="15"/>
        <v>278326.52607588965</v>
      </c>
      <c r="U19" s="3">
        <f t="shared" si="16"/>
        <v>227179.33010190411</v>
      </c>
      <c r="V19" s="183"/>
      <c r="W19" s="183"/>
      <c r="X19" s="183"/>
      <c r="Y19" s="183"/>
      <c r="Z19" s="166"/>
      <c r="AA19" s="166"/>
      <c r="AB19" s="166"/>
      <c r="AC19" s="166"/>
      <c r="AD19" s="166"/>
      <c r="AE19" s="166"/>
      <c r="AF19" s="166"/>
    </row>
    <row r="20" spans="1:32" x14ac:dyDescent="0.2">
      <c r="A20" s="4" t="s">
        <v>39</v>
      </c>
      <c r="B20" s="5" t="s">
        <v>16</v>
      </c>
      <c r="C20" s="2" t="s">
        <v>193</v>
      </c>
      <c r="D20" s="3">
        <f>BIHAR!D70+JHARKHAND!D26</f>
        <v>16702.662499999999</v>
      </c>
      <c r="E20" s="3">
        <f>BIHAR!E70+JHARKHAND!E26</f>
        <v>8841.0564516129034</v>
      </c>
      <c r="F20" s="3">
        <f>BIHAR!F70+JHARKHAND!F26</f>
        <v>10478.258333333335</v>
      </c>
      <c r="G20" s="3">
        <f>BIHAR!G70+JHARKHAND!G26</f>
        <v>9590.3104838709678</v>
      </c>
      <c r="H20" s="3">
        <f>BIHAR!H70+JHARKHAND!H26</f>
        <v>10931.427419354841</v>
      </c>
      <c r="I20" s="3">
        <f>BIHAR!I70+JHARKHAND!I26</f>
        <v>15192.412500000004</v>
      </c>
      <c r="J20" s="3">
        <f>BIHAR!J70+JHARKHAND!J26</f>
        <v>21830.266129032254</v>
      </c>
      <c r="K20" s="3">
        <f>BIHAR!K70+JHARKHAND!K26</f>
        <v>25080.374999999993</v>
      </c>
      <c r="L20" s="3">
        <f>BIHAR!L70+JHARKHAND!L26</f>
        <v>27876.241935483871</v>
      </c>
      <c r="M20" s="3">
        <f>BIHAR!M70+JHARKHAND!M26</f>
        <v>38039.387096774197</v>
      </c>
      <c r="N20" s="3">
        <f>BIHAR!N70+JHARKHAND!N26</f>
        <v>37452.450892857145</v>
      </c>
      <c r="O20" s="3">
        <f>BIHAR!O70+JHARKHAND!O26</f>
        <v>33037.141129032258</v>
      </c>
      <c r="P20" s="9"/>
      <c r="Q20" s="3">
        <f t="shared" si="13"/>
        <v>11972.531593406593</v>
      </c>
      <c r="R20" s="3">
        <f t="shared" si="7"/>
        <v>11868.98097826087</v>
      </c>
      <c r="S20" s="3">
        <f t="shared" si="8"/>
        <v>24927.3152173913</v>
      </c>
      <c r="T20" s="3">
        <f t="shared" si="15"/>
        <v>36133.788888888892</v>
      </c>
      <c r="U20" s="3">
        <f t="shared" si="16"/>
        <v>21169.316780821919</v>
      </c>
      <c r="V20" s="183"/>
      <c r="W20" s="183"/>
      <c r="X20" s="183"/>
      <c r="Y20" s="183"/>
    </row>
    <row r="21" spans="1:32" x14ac:dyDescent="0.2">
      <c r="A21" s="4" t="s">
        <v>18</v>
      </c>
      <c r="B21" s="5" t="s">
        <v>16</v>
      </c>
      <c r="C21" s="2" t="s">
        <v>193</v>
      </c>
      <c r="D21" s="3">
        <f>BIHAR!D71+'WEST BENGAL'!D47+JHARKHAND!D27</f>
        <v>110264.15000000001</v>
      </c>
      <c r="E21" s="3">
        <f>BIHAR!E71+'WEST BENGAL'!E47+JHARKHAND!E27</f>
        <v>136999.3951612903</v>
      </c>
      <c r="F21" s="3">
        <f>BIHAR!F71+'WEST BENGAL'!F47+JHARKHAND!F27</f>
        <v>79832.754999999961</v>
      </c>
      <c r="G21" s="3">
        <f>BIHAR!G71+'WEST BENGAL'!G47+JHARKHAND!G27</f>
        <v>60749.254032258061</v>
      </c>
      <c r="H21" s="3">
        <f>BIHAR!H71+'WEST BENGAL'!H47+JHARKHAND!H27</f>
        <v>120094.59479032258</v>
      </c>
      <c r="I21" s="3">
        <f>BIHAR!I71+'WEST BENGAL'!I47+JHARKHAND!I27</f>
        <v>106233.39869166668</v>
      </c>
      <c r="J21" s="3">
        <f>BIHAR!J71+'WEST BENGAL'!J47+JHARKHAND!J27</f>
        <v>97864.390112903217</v>
      </c>
      <c r="K21" s="3">
        <f>BIHAR!K71+'WEST BENGAL'!K47+JHARKHAND!K27</f>
        <v>101276.22746666666</v>
      </c>
      <c r="L21" s="3">
        <f>BIHAR!L71+'WEST BENGAL'!L47+JHARKHAND!L27</f>
        <v>38196.903225806447</v>
      </c>
      <c r="M21" s="3">
        <f>BIHAR!M71+'WEST BENGAL'!M47+JHARKHAND!M27</f>
        <v>56553.653225806462</v>
      </c>
      <c r="N21" s="3">
        <f>BIHAR!N71+'WEST BENGAL'!N47+JHARKHAND!N27</f>
        <v>42576.053571428572</v>
      </c>
      <c r="O21" s="3">
        <f>BIHAR!O71+'WEST BENGAL'!O47+JHARKHAND!O27</f>
        <v>53445.056451612894</v>
      </c>
      <c r="P21" s="9"/>
      <c r="Q21" s="3">
        <f t="shared" si="13"/>
        <v>109339.43296703295</v>
      </c>
      <c r="R21" s="3">
        <f t="shared" si="7"/>
        <v>95577.839937500001</v>
      </c>
      <c r="S21" s="3">
        <f t="shared" si="8"/>
        <v>78871.596929347827</v>
      </c>
      <c r="T21" s="3">
        <f t="shared" si="15"/>
        <v>51134.327777777777</v>
      </c>
      <c r="U21" s="3">
        <f t="shared" si="16"/>
        <v>83839.24956643836</v>
      </c>
      <c r="V21" s="183"/>
      <c r="W21" s="183"/>
      <c r="X21" s="183"/>
      <c r="Y21" s="183"/>
    </row>
    <row r="22" spans="1:32" x14ac:dyDescent="0.2">
      <c r="A22" s="4" t="s">
        <v>33</v>
      </c>
      <c r="B22" s="5" t="s">
        <v>16</v>
      </c>
      <c r="C22" s="2" t="s">
        <v>193</v>
      </c>
      <c r="D22" s="3" t="e">
        <f>BIHAR!D72+'WEST BENGAL'!D48+'WEST BENGAL'!#REF!+JHARKHAND!D28</f>
        <v>#REF!</v>
      </c>
      <c r="E22" s="3" t="e">
        <f>BIHAR!E72+'WEST BENGAL'!E48+'WEST BENGAL'!#REF!+JHARKHAND!E28</f>
        <v>#REF!</v>
      </c>
      <c r="F22" s="3" t="e">
        <f>BIHAR!F72+'WEST BENGAL'!F48+'WEST BENGAL'!#REF!+JHARKHAND!F28</f>
        <v>#REF!</v>
      </c>
      <c r="G22" s="3" t="e">
        <f>BIHAR!G72+'WEST BENGAL'!G48+'WEST BENGAL'!#REF!+JHARKHAND!G28</f>
        <v>#REF!</v>
      </c>
      <c r="H22" s="3" t="e">
        <f>BIHAR!H72+'WEST BENGAL'!H48+'WEST BENGAL'!#REF!+JHARKHAND!H28</f>
        <v>#REF!</v>
      </c>
      <c r="I22" s="3" t="e">
        <f>BIHAR!I72+'WEST BENGAL'!I48+'WEST BENGAL'!#REF!+JHARKHAND!I28</f>
        <v>#REF!</v>
      </c>
      <c r="J22" s="3" t="e">
        <f>BIHAR!J72+'WEST BENGAL'!J48+'WEST BENGAL'!#REF!+JHARKHAND!J28</f>
        <v>#REF!</v>
      </c>
      <c r="K22" s="3" t="e">
        <f>BIHAR!K72+'WEST BENGAL'!K48+'WEST BENGAL'!#REF!+JHARKHAND!K28</f>
        <v>#REF!</v>
      </c>
      <c r="L22" s="3" t="e">
        <f>BIHAR!L72+'WEST BENGAL'!L48+'WEST BENGAL'!#REF!+JHARKHAND!L28</f>
        <v>#REF!</v>
      </c>
      <c r="M22" s="3" t="e">
        <f>BIHAR!M72+'WEST BENGAL'!M48+'WEST BENGAL'!#REF!+JHARKHAND!M28</f>
        <v>#REF!</v>
      </c>
      <c r="N22" s="3" t="e">
        <f>BIHAR!N72+'WEST BENGAL'!N48+'WEST BENGAL'!#REF!+JHARKHAND!N28</f>
        <v>#REF!</v>
      </c>
      <c r="O22" s="3" t="e">
        <f>BIHAR!O72+'WEST BENGAL'!O48+'WEST BENGAL'!#REF!+JHARKHAND!O28</f>
        <v>#REF!</v>
      </c>
      <c r="P22" s="9"/>
      <c r="Q22" s="3" t="e">
        <f t="shared" si="13"/>
        <v>#REF!</v>
      </c>
      <c r="R22" s="3" t="e">
        <f t="shared" si="7"/>
        <v>#REF!</v>
      </c>
      <c r="S22" s="3" t="e">
        <f t="shared" si="8"/>
        <v>#REF!</v>
      </c>
      <c r="T22" s="3" t="e">
        <f t="shared" si="15"/>
        <v>#REF!</v>
      </c>
      <c r="U22" s="3" t="e">
        <f t="shared" si="16"/>
        <v>#REF!</v>
      </c>
      <c r="V22" s="183"/>
      <c r="W22" s="183"/>
      <c r="X22" s="183"/>
      <c r="Y22" s="183"/>
    </row>
    <row r="23" spans="1:32" x14ac:dyDescent="0.2">
      <c r="A23" s="21" t="s">
        <v>41</v>
      </c>
      <c r="B23" s="21" t="s">
        <v>16</v>
      </c>
      <c r="C23" s="22" t="s">
        <v>193</v>
      </c>
      <c r="D23" s="23" t="e">
        <f>SUM(D19:D22)</f>
        <v>#REF!</v>
      </c>
      <c r="E23" s="23" t="e">
        <f t="shared" ref="E23:N23" si="18">SUM(E19:E22)</f>
        <v>#REF!</v>
      </c>
      <c r="F23" s="23" t="e">
        <f t="shared" si="18"/>
        <v>#REF!</v>
      </c>
      <c r="G23" s="23" t="e">
        <f t="shared" si="18"/>
        <v>#REF!</v>
      </c>
      <c r="H23" s="23" t="e">
        <f t="shared" si="18"/>
        <v>#REF!</v>
      </c>
      <c r="I23" s="23" t="e">
        <f>SUM(I19:I22)</f>
        <v>#REF!</v>
      </c>
      <c r="J23" s="23" t="e">
        <f>SUM(J19:J22)</f>
        <v>#REF!</v>
      </c>
      <c r="K23" s="23" t="e">
        <f>SUM(K19:K22)</f>
        <v>#REF!</v>
      </c>
      <c r="L23" s="83" t="e">
        <f t="shared" si="18"/>
        <v>#REF!</v>
      </c>
      <c r="M23" s="83" t="e">
        <f t="shared" si="18"/>
        <v>#REF!</v>
      </c>
      <c r="N23" s="83" t="e">
        <f t="shared" si="18"/>
        <v>#REF!</v>
      </c>
      <c r="O23" s="83" t="e">
        <f>SUM(O19:O22)</f>
        <v>#REF!</v>
      </c>
      <c r="P23" s="9"/>
      <c r="Q23" s="23" t="e">
        <f t="shared" si="13"/>
        <v>#REF!</v>
      </c>
      <c r="R23" s="23" t="e">
        <f t="shared" si="7"/>
        <v>#REF!</v>
      </c>
      <c r="S23" s="23" t="e">
        <f t="shared" si="8"/>
        <v>#REF!</v>
      </c>
      <c r="T23" s="23" t="e">
        <f t="shared" si="15"/>
        <v>#REF!</v>
      </c>
      <c r="U23" s="23" t="e">
        <f t="shared" si="16"/>
        <v>#REF!</v>
      </c>
      <c r="V23" s="183"/>
      <c r="W23" s="183"/>
      <c r="X23" s="183"/>
      <c r="Y23" s="183"/>
    </row>
    <row r="24" spans="1:32" x14ac:dyDescent="0.2">
      <c r="C24" s="8"/>
    </row>
    <row r="25" spans="1:32" hidden="1" x14ac:dyDescent="0.2">
      <c r="A25" s="33" t="s">
        <v>20</v>
      </c>
      <c r="B25" s="33" t="s">
        <v>21</v>
      </c>
      <c r="C25" s="20" t="s">
        <v>38</v>
      </c>
      <c r="D25" s="26">
        <f>(BIHAR!D59*BIHAR!D87+'WEST BENGAL'!D38*'WEST BENGAL'!D60+JHARKHAND!D15*JHARKHAND!D37)/Consolidate!D9</f>
        <v>3.0529487998512876</v>
      </c>
      <c r="E25" s="26">
        <f>(BIHAR!E59*BIHAR!E87+'WEST BENGAL'!E38*'WEST BENGAL'!E60+JHARKHAND!E15*JHARKHAND!E37)/Consolidate!E9</f>
        <v>3.1859218936274174</v>
      </c>
      <c r="F25" s="26">
        <f>(BIHAR!F59*BIHAR!F87+'WEST BENGAL'!F38*'WEST BENGAL'!F60+JHARKHAND!F15*JHARKHAND!F37)/Consolidate!F9</f>
        <v>3.0934750358223453</v>
      </c>
      <c r="G25" s="26">
        <f>(BIHAR!G59*BIHAR!G87+'WEST BENGAL'!G38*'WEST BENGAL'!G60+JHARKHAND!G15*JHARKHAND!G37)/Consolidate!G9</f>
        <v>3.1704964433860559</v>
      </c>
      <c r="H25" s="26">
        <f>(BIHAR!H59*BIHAR!H87+'WEST BENGAL'!H38*'WEST BENGAL'!H60+JHARKHAND!H15*JHARKHAND!H37)/Consolidate!H9</f>
        <v>3.237037929380628</v>
      </c>
      <c r="I25" s="26">
        <f>(BIHAR!I59*BIHAR!I87+'WEST BENGAL'!I38*'WEST BENGAL'!I60+JHARKHAND!I15*JHARKHAND!I37)/Consolidate!I9</f>
        <v>3.2104730581265177</v>
      </c>
      <c r="J25" s="26">
        <f>(BIHAR!J59*BIHAR!J87+'WEST BENGAL'!J38*'WEST BENGAL'!J60+JHARKHAND!J15*JHARKHAND!J37)/Consolidate!J9</f>
        <v>3.0744134264601</v>
      </c>
      <c r="K25" s="26">
        <f>(BIHAR!K59*BIHAR!K87+'WEST BENGAL'!K38*'WEST BENGAL'!K60+JHARKHAND!K15*JHARKHAND!K37)/Consolidate!K9</f>
        <v>2.9628136306443031</v>
      </c>
      <c r="L25" s="26">
        <f>(BIHAR!L59*BIHAR!L87+'WEST BENGAL'!L38*'WEST BENGAL'!L60+JHARKHAND!L15*JHARKHAND!L37)/Consolidate!L9</f>
        <v>2.8044572689720124</v>
      </c>
      <c r="M25" s="26">
        <f>(BIHAR!M59*BIHAR!M87+'WEST BENGAL'!M38*'WEST BENGAL'!M60+JHARKHAND!M15*JHARKHAND!M37)/Consolidate!M9</f>
        <v>2.6176266902755057</v>
      </c>
      <c r="N25" s="26">
        <f>(BIHAR!N59*BIHAR!N87+'WEST BENGAL'!N38*'WEST BENGAL'!N60+JHARKHAND!N15*JHARKHAND!N37)/Consolidate!N9</f>
        <v>2.4977425404319611</v>
      </c>
      <c r="O25" s="26">
        <f>(BIHAR!O59*BIHAR!O87+'WEST BENGAL'!O38*'WEST BENGAL'!O60+JHARKHAND!O15*JHARKHAND!O37)/Consolidate!O9</f>
        <v>2.5550340239146969</v>
      </c>
      <c r="Q25" s="26">
        <f>SUMPRODUCT(D25:F25,D9:F9)/SUM(D9:F9)</f>
        <v>3.1109666218367122</v>
      </c>
      <c r="R25" s="26">
        <f>SUMPRODUCT(G25:I25,G9:I9)/SUM(G9:I9)</f>
        <v>3.2047364899612019</v>
      </c>
      <c r="S25" s="26">
        <f>SUMPRODUCT(J25:L25,J9:L9)/SUM(J9:L9)</f>
        <v>2.9448557422434298</v>
      </c>
      <c r="T25" s="26">
        <f>SUMPRODUCT(M25:O25,M9:O9)/SUM(M9:O9)</f>
        <v>2.5548887590586684</v>
      </c>
      <c r="U25" s="26">
        <f>SUMPRODUCT(D25:O25,D9:O9)/SUM(D9:O9)</f>
        <v>2.9310788926014792</v>
      </c>
    </row>
    <row r="26" spans="1:32" hidden="1" x14ac:dyDescent="0.2">
      <c r="A26" s="34" t="s">
        <v>20</v>
      </c>
      <c r="B26" s="34" t="s">
        <v>21</v>
      </c>
      <c r="C26" s="22" t="s">
        <v>98</v>
      </c>
      <c r="D26" s="168">
        <f>(BIHAR!D64*BIHAR!D88+'WEST BENGAL'!D42*'WEST BENGAL'!D61+JHARKHAND!D20*JHARKHAND!D38)/Consolidate!D14</f>
        <v>3.0129284042738966</v>
      </c>
      <c r="E26" s="168">
        <f>(BIHAR!E64*BIHAR!E88+'WEST BENGAL'!E42*'WEST BENGAL'!E61+JHARKHAND!E20*JHARKHAND!E38)/Consolidate!E14</f>
        <v>2.9425349872819919</v>
      </c>
      <c r="F26" s="168">
        <f>(BIHAR!F64*BIHAR!F88+'WEST BENGAL'!F42*'WEST BENGAL'!F61+JHARKHAND!F20*JHARKHAND!F38)/Consolidate!F14</f>
        <v>3.1648238693745681</v>
      </c>
      <c r="G26" s="168">
        <f>(BIHAR!G64*BIHAR!G88+'WEST BENGAL'!G42*'WEST BENGAL'!G61+JHARKHAND!G20*JHARKHAND!G38)/Consolidate!G14</f>
        <v>2.9596151524010481</v>
      </c>
      <c r="H26" s="168">
        <f>(BIHAR!H64*BIHAR!H88+'WEST BENGAL'!H42*'WEST BENGAL'!H61+JHARKHAND!H20*JHARKHAND!H38)/Consolidate!H14</f>
        <v>3.2104689947650638</v>
      </c>
      <c r="I26" s="168">
        <f>(BIHAR!I64*BIHAR!I88+'WEST BENGAL'!I42*'WEST BENGAL'!I61+JHARKHAND!I20*JHARKHAND!I38)/Consolidate!I14</f>
        <v>3.0213371592162681</v>
      </c>
      <c r="J26" s="168">
        <f>(BIHAR!J64*BIHAR!J88+'WEST BENGAL'!J42*'WEST BENGAL'!J61+JHARKHAND!J20*JHARKHAND!J38)/Consolidate!J14</f>
        <v>3.0522419632446018</v>
      </c>
      <c r="K26" s="168">
        <f>(BIHAR!K64*BIHAR!K88+'WEST BENGAL'!K42*'WEST BENGAL'!K61+JHARKHAND!K20*JHARKHAND!K38)/Consolidate!K14</f>
        <v>3.1229430905291733</v>
      </c>
      <c r="L26" s="168">
        <f>(BIHAR!L64*BIHAR!L88+'WEST BENGAL'!L42*'WEST BENGAL'!L61+JHARKHAND!L20*JHARKHAND!L38)/Consolidate!L14</f>
        <v>2.812912378854254</v>
      </c>
      <c r="M26" s="168">
        <f>(BIHAR!M64*BIHAR!M88+'WEST BENGAL'!M42*'WEST BENGAL'!M61+JHARKHAND!M20*JHARKHAND!M38)/Consolidate!M14</f>
        <v>2.7131025379719014</v>
      </c>
      <c r="N26" s="168">
        <f>(BIHAR!N64*BIHAR!N88+'WEST BENGAL'!N42*'WEST BENGAL'!N61+JHARKHAND!N20*JHARKHAND!N38)/Consolidate!N14</f>
        <v>2.7020760039202303</v>
      </c>
      <c r="O26" s="168">
        <f>(BIHAR!O64*BIHAR!O88+'WEST BENGAL'!O42*'WEST BENGAL'!O61+JHARKHAND!O20*JHARKHAND!O38)/Consolidate!O14</f>
        <v>2.6364921021547301</v>
      </c>
      <c r="Q26" s="35">
        <f>SUMPRODUCT(D26:F26,$D$14:$F$14)/SUM($D$14:$F$14)</f>
        <v>3.0394772629154265</v>
      </c>
      <c r="R26" s="35">
        <f>SUMPRODUCT(G26:I26,$G$14:$I$14)/SUM($G$14:$I$14)</f>
        <v>3.0588461112766701</v>
      </c>
      <c r="S26" s="35">
        <f>SUMPRODUCT(J26:L26,$J$14:$L$14)/SUM($J$14:$L$14)</f>
        <v>2.9852957863689515</v>
      </c>
      <c r="T26" s="35">
        <f>SUMPRODUCT(M26:O26,$M$14:$O$14)/SUM($M$14:$O$14)</f>
        <v>2.6841697560429578</v>
      </c>
      <c r="U26" s="35">
        <f>SUMPRODUCT(D26:O26,$D$14:$O$14)/SUM($D$14:$O$14)</f>
        <v>2.9271025969790547</v>
      </c>
    </row>
    <row r="27" spans="1:32" hidden="1" x14ac:dyDescent="0.2">
      <c r="A27" s="34" t="s">
        <v>20</v>
      </c>
      <c r="B27" s="34" t="s">
        <v>21</v>
      </c>
      <c r="C27" s="22" t="s">
        <v>193</v>
      </c>
      <c r="D27" s="35">
        <f>(BIHAR!D69*BIHAR!D89+'WEST BENGAL'!D46*'WEST BENGAL'!D62+JHARKHAND!D29*JHARKHAND!D39)/Consolidate!D19</f>
        <v>3.420031236685444</v>
      </c>
      <c r="E27" s="35">
        <f>(BIHAR!E69*BIHAR!E89+'WEST BENGAL'!E46*'WEST BENGAL'!E62+JHARKHAND!E29*JHARKHAND!E39)/Consolidate!E19</f>
        <v>3.0950462581301239</v>
      </c>
      <c r="F27" s="35">
        <f>(BIHAR!F69*BIHAR!F89+'WEST BENGAL'!F46*'WEST BENGAL'!F62+JHARKHAND!F29*JHARKHAND!F39)/Consolidate!F19</f>
        <v>3.1296319533477459</v>
      </c>
      <c r="G27" s="35">
        <f>(BIHAR!G69*BIHAR!G89+'WEST BENGAL'!G46*'WEST BENGAL'!G62+JHARKHAND!G29*JHARKHAND!G39)/Consolidate!G19</f>
        <v>3.146396123522321</v>
      </c>
      <c r="H27" s="35">
        <f>(BIHAR!H69*BIHAR!H89+'WEST BENGAL'!H46*'WEST BENGAL'!H62+JHARKHAND!H29*JHARKHAND!H39)/Consolidate!H19</f>
        <v>3.3553903195913319</v>
      </c>
      <c r="I27" s="35">
        <f>(BIHAR!I69*BIHAR!I89+'WEST BENGAL'!I46*'WEST BENGAL'!I62+JHARKHAND!I29*JHARKHAND!I39)/Consolidate!I19</f>
        <v>3.4633217912383727</v>
      </c>
      <c r="J27" s="35">
        <f>(BIHAR!J69*BIHAR!J89+'WEST BENGAL'!J46*'WEST BENGAL'!J62+JHARKHAND!J29*JHARKHAND!J39)/Consolidate!J19</f>
        <v>3.4500593036109892</v>
      </c>
      <c r="K27" s="35">
        <f>(BIHAR!K69*BIHAR!K89+'WEST BENGAL'!K46*'WEST BENGAL'!K62+JHARKHAND!K29*JHARKHAND!K39)/Consolidate!K19</f>
        <v>3.4364831695778033</v>
      </c>
      <c r="L27" s="27">
        <f>(BIHAR!L69*BIHAR!L89+'WEST BENGAL'!L46*'WEST BENGAL'!L62+JHARKHAND!L29*JHARKHAND!L39)/Consolidate!L19</f>
        <v>3.1139370772778001</v>
      </c>
      <c r="M27" s="27">
        <f>(BIHAR!M69*BIHAR!M89+'WEST BENGAL'!M46*'WEST BENGAL'!M62+JHARKHAND!M29*JHARKHAND!M39)/Consolidate!M19</f>
        <v>3.2587222765659511</v>
      </c>
      <c r="N27" s="27">
        <f>(BIHAR!N69*BIHAR!N89+'WEST BENGAL'!N46*'WEST BENGAL'!N62+JHARKHAND!N29*JHARKHAND!N39)/Consolidate!N19</f>
        <v>3.0163522862859704</v>
      </c>
      <c r="O27" s="27">
        <f>(BIHAR!O69*BIHAR!O89+'WEST BENGAL'!O46*'WEST BENGAL'!O62+JHARKHAND!O29*JHARKHAND!O39)/Consolidate!O19</f>
        <v>3.0026763924999349</v>
      </c>
      <c r="Q27" s="35">
        <f>SUMPRODUCT(D27:F27,$D$14:$F$14)/SUM($D$14:$F$14)</f>
        <v>3.2117363000551742</v>
      </c>
      <c r="R27" s="35">
        <f>SUMPRODUCT(G27:I27,$G$14:$I$14)/SUM($G$14:$I$14)</f>
        <v>3.3214027697019199</v>
      </c>
      <c r="S27" s="35">
        <f>SUMPRODUCT(J27:L27,$J$14:$L$14)/SUM($J$14:$L$14)</f>
        <v>3.3226258992545366</v>
      </c>
      <c r="T27" s="35">
        <f>SUMPRODUCT(M27:O27,$M$14:$O$14)/SUM($M$14:$O$14)</f>
        <v>3.0900145428176762</v>
      </c>
      <c r="U27" s="35">
        <f>SUMPRODUCT(D27:O27,$D$14:$O$14)/SUM($D$14:$O$14)</f>
        <v>3.2267733697971366</v>
      </c>
    </row>
    <row r="29" spans="1:32" hidden="1" x14ac:dyDescent="0.2">
      <c r="A29" s="28" t="s">
        <v>22</v>
      </c>
      <c r="D29" s="24"/>
      <c r="O29" s="24"/>
    </row>
    <row r="30" spans="1:32" hidden="1" x14ac:dyDescent="0.2">
      <c r="A30" s="36" t="s">
        <v>23</v>
      </c>
      <c r="B30" s="36" t="s">
        <v>21</v>
      </c>
      <c r="C30" s="37" t="str">
        <f>+C25</f>
        <v>FY 23-24</v>
      </c>
      <c r="D30" s="38">
        <v>39.505866766271275</v>
      </c>
      <c r="E30" s="38">
        <v>43.164339930527767</v>
      </c>
      <c r="F30" s="38">
        <v>41.883471289266751</v>
      </c>
      <c r="G30" s="38">
        <v>40.488292040390071</v>
      </c>
      <c r="H30" s="38">
        <v>40.366274770171898</v>
      </c>
      <c r="I30" s="38">
        <v>40.278410548997009</v>
      </c>
      <c r="J30" s="38">
        <v>40.135896453201696</v>
      </c>
      <c r="K30" s="38">
        <v>40.171525554108847</v>
      </c>
      <c r="L30" s="84">
        <v>40.172190310931853</v>
      </c>
      <c r="M30" s="84">
        <v>39.954947708022061</v>
      </c>
      <c r="N30" s="84">
        <v>39.765444643178711</v>
      </c>
      <c r="O30" s="84">
        <v>37.668034072553709</v>
      </c>
      <c r="Q30" s="38">
        <f>SUMPRODUCT(D30:F30,D9:F9)/SUM(D9:F9)</f>
        <v>41.541980666340578</v>
      </c>
      <c r="R30" s="38">
        <f>SUMPRODUCT(G30:I30,G9:I9)/SUM(G9:I9)</f>
        <v>40.378354267523605</v>
      </c>
      <c r="S30" s="38">
        <f>SUMPRODUCT(J30:L30,J9:L9)/SUM(J9:L9)</f>
        <v>40.159535559234428</v>
      </c>
      <c r="T30" s="38">
        <f>SUMPRODUCT(M30:O30,M9:O9)/SUM(M9:O9)</f>
        <v>39.127989415554588</v>
      </c>
      <c r="U30" s="38">
        <f>SUMPRODUCT(D30:O30,D9:O9)/SUM(D9:O9)</f>
        <v>40.233235959918879</v>
      </c>
    </row>
    <row r="31" spans="1:32" hidden="1" x14ac:dyDescent="0.2">
      <c r="A31" s="39" t="s">
        <v>23</v>
      </c>
      <c r="B31" s="39" t="s">
        <v>21</v>
      </c>
      <c r="C31" s="40" t="str">
        <f>+C26</f>
        <v>FY 24-25</v>
      </c>
      <c r="D31" s="171">
        <v>40.390525039037556</v>
      </c>
      <c r="E31" s="171">
        <v>40.28855804392262</v>
      </c>
      <c r="F31" s="171">
        <v>40.110017929845071</v>
      </c>
      <c r="G31" s="171">
        <v>40.388446886013448</v>
      </c>
      <c r="H31" s="171">
        <v>40.268682214577673</v>
      </c>
      <c r="I31" s="171">
        <v>40.179058261584792</v>
      </c>
      <c r="J31" s="171">
        <v>40.200487223962469</v>
      </c>
      <c r="K31" s="171">
        <v>40.098043907326634</v>
      </c>
      <c r="L31" s="171">
        <v>40.129004722730826</v>
      </c>
      <c r="M31" s="171">
        <v>39.674310233334012</v>
      </c>
      <c r="N31" s="171">
        <v>39.622886802558206</v>
      </c>
      <c r="O31" s="171">
        <v>39.608031763655987</v>
      </c>
      <c r="Q31" s="35">
        <f>SUMPRODUCT(D31:F31,$D$14:$F$14)/SUM($D$14:$F$14)</f>
        <v>40.26198055763475</v>
      </c>
      <c r="R31" s="35">
        <f>SUMPRODUCT(G31:I31,$G$14:$I$14)/SUM($G$14:$I$14)</f>
        <v>40.27850004379134</v>
      </c>
      <c r="S31" s="35">
        <f>SUMPRODUCT(J31:L31,$J$14:$L$14)/SUM($J$14:$L$14)</f>
        <v>40.143915663254475</v>
      </c>
      <c r="T31" s="35">
        <f>SUMPRODUCT(M31:O31,$M$14:$O$14)/SUM($M$14:$O$14)</f>
        <v>39.634604125473729</v>
      </c>
      <c r="U31" s="35">
        <f>SUMPRODUCT(D31:O31,$D$14:$O$14)/SUM($D$14:$O$14)</f>
        <v>40.054329923105676</v>
      </c>
    </row>
    <row r="32" spans="1:32" hidden="1" x14ac:dyDescent="0.2">
      <c r="A32" s="39" t="s">
        <v>23</v>
      </c>
      <c r="B32" s="39" t="s">
        <v>21</v>
      </c>
      <c r="C32" s="40" t="str">
        <f>+C27</f>
        <v>FY 25-26</v>
      </c>
      <c r="D32" s="169">
        <v>39.668827165463732</v>
      </c>
      <c r="E32" s="169">
        <v>39.581597889356232</v>
      </c>
      <c r="F32" s="169">
        <v>41.247674649769849</v>
      </c>
      <c r="G32" s="169">
        <v>41.185119179759695</v>
      </c>
      <c r="H32" s="169">
        <v>39.699687203173745</v>
      </c>
      <c r="I32" s="169">
        <v>41.63633232631615</v>
      </c>
      <c r="J32" s="169">
        <v>41.517349649390397</v>
      </c>
      <c r="K32" s="169">
        <v>41.151716849684519</v>
      </c>
      <c r="L32" s="170">
        <v>41.064457517448474</v>
      </c>
      <c r="M32" s="170">
        <v>41.040000000000006</v>
      </c>
      <c r="N32" s="170">
        <v>40.950000000000003</v>
      </c>
      <c r="O32" s="170">
        <v>41.03</v>
      </c>
      <c r="Q32" s="35">
        <f>SUMPRODUCT(D32:F32,$D$14:$F$14)/SUM($D$14:$F$14)</f>
        <v>40.165703597854559</v>
      </c>
      <c r="R32" s="35">
        <f>SUMPRODUCT(G32:I32,$G$14:$I$14)/SUM($G$14:$I$14)</f>
        <v>40.881547145315864</v>
      </c>
      <c r="S32" s="35">
        <f>SUMPRODUCT(J32:L32,$J$14:$L$14)/SUM($J$14:$L$14)</f>
        <v>41.242826051270768</v>
      </c>
      <c r="T32" s="35">
        <f>SUMPRODUCT(M32:O32,$M$14:$O$14)/SUM($M$14:$O$14)</f>
        <v>41.005193490073047</v>
      </c>
      <c r="U32" s="35">
        <f>SUMPRODUCT(D32:O32,$D$14:$O$14)/SUM($D$14:$O$14)</f>
        <v>40.825182365111871</v>
      </c>
    </row>
    <row r="33" spans="1:21" hidden="1" x14ac:dyDescent="0.2">
      <c r="C33" s="4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Q33" s="42"/>
      <c r="R33" s="42"/>
      <c r="S33" s="42"/>
      <c r="T33" s="42"/>
      <c r="U33" s="42"/>
    </row>
    <row r="34" spans="1:21" hidden="1" x14ac:dyDescent="0.2">
      <c r="A34" s="28" t="s">
        <v>24</v>
      </c>
    </row>
    <row r="35" spans="1:21" hidden="1" x14ac:dyDescent="0.2">
      <c r="A35" s="21" t="s">
        <v>23</v>
      </c>
      <c r="B35" s="21" t="s">
        <v>21</v>
      </c>
      <c r="C35" s="22" t="str">
        <f>+C30</f>
        <v>FY 23-24</v>
      </c>
      <c r="D35" s="168">
        <v>40.821937050522948</v>
      </c>
      <c r="E35" s="168">
        <v>43.813181624673064</v>
      </c>
      <c r="F35" s="168">
        <v>42.466038269086823</v>
      </c>
      <c r="G35" s="168">
        <v>41.045352388932997</v>
      </c>
      <c r="H35" s="168">
        <v>40.735332791362481</v>
      </c>
      <c r="I35" s="168">
        <v>40.474852988106178</v>
      </c>
      <c r="J35" s="168">
        <v>40.436418680271373</v>
      </c>
      <c r="K35" s="168">
        <v>40.487046550635355</v>
      </c>
      <c r="L35" s="168">
        <v>40.050294467963582</v>
      </c>
      <c r="M35" s="168">
        <v>39.76141715165317</v>
      </c>
      <c r="N35" s="168">
        <v>39.730649258766142</v>
      </c>
      <c r="O35" s="168">
        <v>37.573853928209886</v>
      </c>
      <c r="Q35" s="172">
        <f>SUMPRODUCT(D35:F35,D13:F13)/SUM(D13:F13)</f>
        <v>42.394377676531207</v>
      </c>
      <c r="R35" s="172">
        <f>SUMPRODUCT(G35:I35,G13:I13)/SUM(G13:I13)</f>
        <v>40.748165542117583</v>
      </c>
      <c r="S35" s="172">
        <f>SUMPRODUCT(J35:L35,J13:L13)/SUM(J13:L13)</f>
        <v>40.313659414574083</v>
      </c>
      <c r="T35" s="172">
        <f>SUMPRODUCT(M35:O35,M13:O13)/SUM(M13:O13)</f>
        <v>39.023800653388577</v>
      </c>
      <c r="U35" s="172">
        <f>SUMPRODUCT(D35:O35,D13:O13)/SUM(D13:O13)</f>
        <v>40.54761960597925</v>
      </c>
    </row>
    <row r="36" spans="1:21" hidden="1" x14ac:dyDescent="0.2">
      <c r="A36" s="21" t="s">
        <v>23</v>
      </c>
      <c r="B36" s="21" t="s">
        <v>21</v>
      </c>
      <c r="C36" s="22" t="str">
        <f>+C31</f>
        <v>FY 24-25</v>
      </c>
      <c r="D36" s="168">
        <v>39.79594133879138</v>
      </c>
      <c r="E36" s="168">
        <v>40.200717708960802</v>
      </c>
      <c r="F36" s="168">
        <v>39.963434739101601</v>
      </c>
      <c r="G36" s="168">
        <v>40.068534967917827</v>
      </c>
      <c r="H36" s="168">
        <v>40.112316355872878</v>
      </c>
      <c r="I36" s="168">
        <v>40.122146916685885</v>
      </c>
      <c r="J36" s="168">
        <v>39.920104653963975</v>
      </c>
      <c r="K36" s="168">
        <v>39.936021437879262</v>
      </c>
      <c r="L36" s="168">
        <v>39.909729792776609</v>
      </c>
      <c r="M36" s="168">
        <v>39.887150567489392</v>
      </c>
      <c r="N36" s="168">
        <v>39.651686750087805</v>
      </c>
      <c r="O36" s="168">
        <v>39.649926696759579</v>
      </c>
      <c r="Q36" s="35" t="e">
        <f>SUMPRODUCT(D36:F36,$D$18:$F$18)/SUM($D$18:$F$18)</f>
        <v>#REF!</v>
      </c>
      <c r="R36" s="35" t="e">
        <f>SUMPRODUCT(G36:I36,$G$18:$I$18)/SUM($G$18:$I$18)</f>
        <v>#REF!</v>
      </c>
      <c r="S36" s="35" t="e">
        <f>SUMPRODUCT(J36:L36,$J$18:$L$18)/SUM($J$18:$L$18)</f>
        <v>#REF!</v>
      </c>
      <c r="T36" s="35" t="e">
        <f>SUMPRODUCT(M36:O36,$M$18:$O$18)/SUM($M$18:$O$18)</f>
        <v>#REF!</v>
      </c>
      <c r="U36" s="35" t="e">
        <f>SUMPRODUCT(D36:O36,$D$18:$O$18)/SUM($D$18:$O$18)</f>
        <v>#REF!</v>
      </c>
    </row>
    <row r="37" spans="1:21" hidden="1" x14ac:dyDescent="0.2">
      <c r="A37" s="21" t="s">
        <v>23</v>
      </c>
      <c r="B37" s="21" t="s">
        <v>21</v>
      </c>
      <c r="C37" s="22" t="str">
        <f>+C32</f>
        <v>FY 25-26</v>
      </c>
      <c r="D37" s="35">
        <v>41.240410107774139</v>
      </c>
      <c r="E37" s="35">
        <v>42.052586655297603</v>
      </c>
      <c r="F37" s="35">
        <v>42.100918915591215</v>
      </c>
      <c r="G37" s="35">
        <v>41.89913094809544</v>
      </c>
      <c r="H37" s="35">
        <v>42.377159154151457</v>
      </c>
      <c r="I37" s="35">
        <v>44.355577039563173</v>
      </c>
      <c r="J37" s="35">
        <v>44.620350155565198</v>
      </c>
      <c r="K37" s="35">
        <v>44.158209979000382</v>
      </c>
      <c r="L37" s="173">
        <v>42.11595154790443</v>
      </c>
      <c r="M37" s="173">
        <v>42.220807428838974</v>
      </c>
      <c r="N37" s="173">
        <v>41.367606858017325</v>
      </c>
      <c r="O37" s="173">
        <v>41.63847682119205</v>
      </c>
      <c r="Q37" s="35" t="e">
        <f>SUMPRODUCT(D37:F37,$D$18:$F$18)/SUM($D$18:$F$18)</f>
        <v>#REF!</v>
      </c>
      <c r="R37" s="35" t="e">
        <f>SUMPRODUCT(G37:I37,$G$18:$I$18)/SUM($G$18:$I$18)</f>
        <v>#REF!</v>
      </c>
      <c r="S37" s="35" t="e">
        <f>SUMPRODUCT(J37:L37,$J$18:$L$18)/SUM($J$18:$L$18)</f>
        <v>#REF!</v>
      </c>
      <c r="T37" s="35" t="e">
        <f>SUMPRODUCT(M37:O37,$M$18:$O$18)/SUM($M$18:$O$18)</f>
        <v>#REF!</v>
      </c>
      <c r="U37" s="35" t="e">
        <f>SUMPRODUCT(D37:O37,$D$18:$O$18)/SUM($D$18:$O$18)</f>
        <v>#REF!</v>
      </c>
    </row>
    <row r="38" spans="1:21" hidden="1" x14ac:dyDescent="0.2">
      <c r="M38" s="42"/>
      <c r="N38" s="42"/>
      <c r="O38" s="42"/>
    </row>
    <row r="39" spans="1:21" hidden="1" x14ac:dyDescent="0.2"/>
    <row r="40" spans="1:21" hidden="1" x14ac:dyDescent="0.2"/>
    <row r="41" spans="1:21" hidden="1" x14ac:dyDescent="0.2"/>
  </sheetData>
  <conditionalFormatting sqref="P5:P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{78AE3D43-CCF6-46A5-90DD-197393AEEF76}</x14:id>
        </ext>
      </extLst>
    </cfRule>
  </conditionalFormatting>
  <conditionalFormatting sqref="P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{0E366189-E0C8-4E62-9728-DF2013A459DB}</x14:id>
        </ext>
      </extLst>
    </cfRule>
  </conditionalFormatting>
  <pageMargins left="0.7" right="0.7" top="0.36" bottom="0.35" header="0.3" footer="0.3"/>
  <pageSetup paperSize="9" scale="6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AE3D43-CCF6-46A5-90DD-197393AEE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P5:P7</xm:sqref>
        </x14:conditionalFormatting>
        <x14:conditionalFormatting xmlns:xm="http://schemas.microsoft.com/office/excel/2006/main">
          <x14:cfRule type="dataBar" id="{0E366189-E0C8-4E62-9728-DF2013A459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F113"/>
  <sheetViews>
    <sheetView showGridLines="0" zoomScale="86" zoomScaleNormal="90" workbookViewId="0">
      <pane xSplit="3" ySplit="4" topLeftCell="D5" activePane="bottomRight" state="frozen"/>
      <selection activeCell="U27" sqref="U27"/>
      <selection pane="topRight" activeCell="U27" sqref="U27"/>
      <selection pane="bottomLeft" activeCell="U27" sqref="U27"/>
      <selection pane="bottomRight" activeCell="Z24" sqref="Z24"/>
    </sheetView>
  </sheetViews>
  <sheetFormatPr defaultColWidth="8.85546875" defaultRowHeight="12.75" x14ac:dyDescent="0.2"/>
  <cols>
    <col min="1" max="1" width="19.28515625" style="8" customWidth="1"/>
    <col min="2" max="2" width="6.140625" style="8" bestFit="1" customWidth="1"/>
    <col min="3" max="3" width="13.85546875" style="29" customWidth="1"/>
    <col min="4" max="4" width="8.28515625" style="8" customWidth="1"/>
    <col min="5" max="5" width="8.42578125" style="8" customWidth="1"/>
    <col min="6" max="15" width="8.28515625" style="8" customWidth="1"/>
    <col min="16" max="16" width="8" style="8" customWidth="1"/>
    <col min="17" max="20" width="9.28515625" style="8" customWidth="1"/>
    <col min="21" max="21" width="8.7109375" style="8" customWidth="1"/>
    <col min="22" max="22" width="10.42578125" style="8" bestFit="1" customWidth="1"/>
    <col min="23" max="23" width="9.42578125" style="8" bestFit="1" customWidth="1"/>
    <col min="24" max="16384" width="8.85546875" style="8"/>
  </cols>
  <sheetData>
    <row r="1" spans="1:27" hidden="1" x14ac:dyDescent="0.2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27" hidden="1" x14ac:dyDescent="0.2">
      <c r="A2" s="20"/>
      <c r="B2" s="20"/>
      <c r="C2" s="20"/>
      <c r="D2" s="20">
        <v>30</v>
      </c>
      <c r="E2" s="20">
        <v>31</v>
      </c>
      <c r="F2" s="20">
        <v>30</v>
      </c>
      <c r="G2" s="20">
        <v>31</v>
      </c>
      <c r="H2" s="20">
        <v>31</v>
      </c>
      <c r="I2" s="20">
        <v>30</v>
      </c>
      <c r="J2" s="20">
        <v>31</v>
      </c>
      <c r="K2" s="20">
        <v>30</v>
      </c>
      <c r="L2" s="20">
        <v>31</v>
      </c>
      <c r="M2" s="20">
        <v>31</v>
      </c>
      <c r="N2" s="20">
        <v>28</v>
      </c>
      <c r="O2" s="20">
        <v>31</v>
      </c>
      <c r="Q2" s="76" t="s">
        <v>42</v>
      </c>
      <c r="R2" s="76"/>
      <c r="S2" s="76"/>
      <c r="T2" s="76"/>
      <c r="U2" s="63">
        <f>SUM(D2:O2)</f>
        <v>365</v>
      </c>
    </row>
    <row r="3" spans="1:27" hidden="1" x14ac:dyDescent="0.2">
      <c r="A3" s="20"/>
      <c r="B3" s="20"/>
      <c r="C3" s="20"/>
      <c r="D3" s="20">
        <v>30</v>
      </c>
      <c r="E3" s="20">
        <v>31</v>
      </c>
      <c r="F3" s="20">
        <v>30</v>
      </c>
      <c r="G3" s="20">
        <v>31</v>
      </c>
      <c r="H3" s="20">
        <v>31</v>
      </c>
      <c r="I3" s="20">
        <v>30</v>
      </c>
      <c r="J3" s="20">
        <v>31</v>
      </c>
      <c r="K3" s="20">
        <v>30</v>
      </c>
      <c r="L3" s="20">
        <v>31</v>
      </c>
      <c r="M3" s="20">
        <v>31</v>
      </c>
      <c r="N3" s="20">
        <v>29</v>
      </c>
      <c r="O3" s="20">
        <v>31</v>
      </c>
      <c r="Q3" s="76" t="s">
        <v>42</v>
      </c>
      <c r="R3" s="76"/>
      <c r="S3" s="76"/>
      <c r="T3" s="76"/>
      <c r="U3" s="63">
        <f>SUM(D3:O3)</f>
        <v>366</v>
      </c>
    </row>
    <row r="4" spans="1:27" x14ac:dyDescent="0.2">
      <c r="A4" s="10" t="s">
        <v>1</v>
      </c>
      <c r="B4" s="11" t="s">
        <v>2</v>
      </c>
      <c r="C4" s="10" t="s">
        <v>3</v>
      </c>
      <c r="D4" s="12" t="s">
        <v>25</v>
      </c>
      <c r="E4" s="12" t="s">
        <v>4</v>
      </c>
      <c r="F4" s="12" t="s">
        <v>26</v>
      </c>
      <c r="G4" s="12" t="s">
        <v>43</v>
      </c>
      <c r="H4" s="12" t="s">
        <v>27</v>
      </c>
      <c r="I4" s="12" t="s">
        <v>44</v>
      </c>
      <c r="J4" s="12" t="s">
        <v>28</v>
      </c>
      <c r="K4" s="12" t="s">
        <v>29</v>
      </c>
      <c r="L4" s="12" t="s">
        <v>30</v>
      </c>
      <c r="M4" s="12" t="s">
        <v>45</v>
      </c>
      <c r="N4" s="12" t="s">
        <v>31</v>
      </c>
      <c r="O4" s="12" t="s">
        <v>46</v>
      </c>
      <c r="Q4" s="13" t="s">
        <v>34</v>
      </c>
      <c r="R4" s="13" t="s">
        <v>35</v>
      </c>
      <c r="S4" s="13" t="s">
        <v>36</v>
      </c>
      <c r="T4" s="13" t="s">
        <v>37</v>
      </c>
      <c r="U4" s="13" t="s">
        <v>49</v>
      </c>
    </row>
    <row r="5" spans="1:27" x14ac:dyDescent="0.2">
      <c r="A5" s="14" t="s">
        <v>5</v>
      </c>
      <c r="B5" s="14" t="s">
        <v>6</v>
      </c>
      <c r="C5" s="20" t="s">
        <v>7</v>
      </c>
      <c r="D5" s="15">
        <v>196.2</v>
      </c>
      <c r="E5" s="15">
        <v>190.93548387096774</v>
      </c>
      <c r="F5" s="15">
        <v>185.16666666666666</v>
      </c>
      <c r="G5" s="15">
        <v>192.70967741935485</v>
      </c>
      <c r="H5" s="15">
        <v>222.19354838709677</v>
      </c>
      <c r="I5" s="15">
        <v>257.2</v>
      </c>
      <c r="J5" s="15">
        <v>244.70967741935485</v>
      </c>
      <c r="K5" s="15">
        <v>270.06666666666666</v>
      </c>
      <c r="L5" s="15">
        <v>276.74193548387098</v>
      </c>
      <c r="M5" s="15">
        <v>246.89655172413794</v>
      </c>
      <c r="N5" s="15">
        <v>253.71428571428572</v>
      </c>
      <c r="O5" s="15">
        <v>226.7</v>
      </c>
      <c r="P5" s="16"/>
      <c r="Q5" s="15">
        <f>SUMPRODUCT(D5:F5,$D$2:$F$2)/SUM($D$2:$F$2)</f>
        <v>190.76923076923077</v>
      </c>
      <c r="R5" s="15">
        <f>SUMPRODUCT(G5:I5,$G$2:$I$2)/SUM($G$2:$I$2)</f>
        <v>223.67391304347825</v>
      </c>
      <c r="S5" s="15">
        <f>SUMPRODUCT(J5:L5,$J$2:$L$2)/SUM($J$2:$L$2)</f>
        <v>263.77173913043481</v>
      </c>
      <c r="T5" s="15">
        <f>SUMPRODUCT(M5:O5,$M$2:$O$2)/SUM($M$2:$O$2)</f>
        <v>242.06103448275863</v>
      </c>
      <c r="U5" s="15">
        <f>SUMPRODUCT(D5:O5,$D$2:$O$2)/SUM($D$2:$O$2)</f>
        <v>230.11094000944732</v>
      </c>
    </row>
    <row r="6" spans="1:27" x14ac:dyDescent="0.2">
      <c r="A6" s="14" t="s">
        <v>5</v>
      </c>
      <c r="B6" s="14" t="s">
        <v>6</v>
      </c>
      <c r="C6" s="20" t="s">
        <v>8</v>
      </c>
      <c r="D6" s="15">
        <v>269</v>
      </c>
      <c r="E6" s="15">
        <v>243</v>
      </c>
      <c r="F6" s="15">
        <v>262</v>
      </c>
      <c r="G6" s="15">
        <v>268</v>
      </c>
      <c r="H6" s="15">
        <v>290</v>
      </c>
      <c r="I6" s="15">
        <v>263</v>
      </c>
      <c r="J6" s="15">
        <v>274</v>
      </c>
      <c r="K6" s="15">
        <v>276</v>
      </c>
      <c r="L6" s="15">
        <v>271</v>
      </c>
      <c r="M6" s="15">
        <v>265</v>
      </c>
      <c r="N6" s="15">
        <v>244</v>
      </c>
      <c r="O6" s="15">
        <v>239</v>
      </c>
      <c r="P6" s="16"/>
      <c r="Q6" s="15">
        <f t="shared" ref="Q6:Q13" si="0">SUMPRODUCT(D6:F6,$D$2:$F$2)/SUM($D$2:$F$2)</f>
        <v>257.83516483516485</v>
      </c>
      <c r="R6" s="15">
        <f t="shared" ref="R6:R13" si="1">SUMPRODUCT(G6:I6,$G$2:$I$2)/SUM($G$2:$I$2)</f>
        <v>273.78260869565219</v>
      </c>
      <c r="S6" s="15">
        <f t="shared" ref="S6:S13" si="2">SUMPRODUCT(J6:L6,$J$2:$L$2)/SUM($J$2:$L$2)</f>
        <v>273.64130434782606</v>
      </c>
      <c r="T6" s="15">
        <f t="shared" ref="T6:T13" si="3">SUMPRODUCT(M6:O6,$M$2:$O$2)/SUM($M$2:$O$2)</f>
        <v>249.51111111111112</v>
      </c>
      <c r="U6" s="15">
        <f t="shared" ref="U6:U12" si="4">SUMPRODUCT(D6:O6,$D$2:$O$2)/SUM($D$2:$O$2)</f>
        <v>263.786301369863</v>
      </c>
    </row>
    <row r="7" spans="1:27" x14ac:dyDescent="0.2">
      <c r="A7" s="14" t="s">
        <v>5</v>
      </c>
      <c r="B7" s="14" t="s">
        <v>6</v>
      </c>
      <c r="C7" s="20" t="s">
        <v>9</v>
      </c>
      <c r="D7" s="15">
        <v>226</v>
      </c>
      <c r="E7" s="15">
        <v>257</v>
      </c>
      <c r="F7" s="15">
        <v>259</v>
      </c>
      <c r="G7" s="15">
        <v>291</v>
      </c>
      <c r="H7" s="15">
        <v>302</v>
      </c>
      <c r="I7" s="15">
        <v>292</v>
      </c>
      <c r="J7" s="15">
        <v>312</v>
      </c>
      <c r="K7" s="15">
        <v>309</v>
      </c>
      <c r="L7" s="15">
        <v>334</v>
      </c>
      <c r="M7" s="15">
        <v>335</v>
      </c>
      <c r="N7" s="15">
        <v>335</v>
      </c>
      <c r="O7" s="15">
        <v>355</v>
      </c>
      <c r="P7" s="16"/>
      <c r="Q7" s="15">
        <f t="shared" si="0"/>
        <v>247.43956043956044</v>
      </c>
      <c r="R7" s="15">
        <f t="shared" si="1"/>
        <v>295.03260869565219</v>
      </c>
      <c r="S7" s="15">
        <f t="shared" si="2"/>
        <v>318.43478260869563</v>
      </c>
      <c r="T7" s="15">
        <f t="shared" si="3"/>
        <v>341.88888888888891</v>
      </c>
      <c r="U7" s="15">
        <f t="shared" si="4"/>
        <v>300.61917808219181</v>
      </c>
    </row>
    <row r="8" spans="1:27" x14ac:dyDescent="0.2">
      <c r="A8" s="14" t="s">
        <v>5</v>
      </c>
      <c r="B8" s="14" t="s">
        <v>6</v>
      </c>
      <c r="C8" s="20" t="s">
        <v>10</v>
      </c>
      <c r="D8" s="15">
        <v>368</v>
      </c>
      <c r="E8" s="15">
        <v>357</v>
      </c>
      <c r="F8" s="15">
        <v>336</v>
      </c>
      <c r="G8" s="15">
        <v>375</v>
      </c>
      <c r="H8" s="15">
        <v>413</v>
      </c>
      <c r="I8" s="15">
        <v>419</v>
      </c>
      <c r="J8" s="15">
        <v>416</v>
      </c>
      <c r="K8" s="15">
        <v>416</v>
      </c>
      <c r="L8" s="15">
        <v>436</v>
      </c>
      <c r="M8" s="15">
        <v>428</v>
      </c>
      <c r="N8" s="15">
        <v>430</v>
      </c>
      <c r="O8" s="15">
        <v>440</v>
      </c>
      <c r="P8" s="16"/>
      <c r="Q8" s="15">
        <f t="shared" si="0"/>
        <v>353.7032967032967</v>
      </c>
      <c r="R8" s="15">
        <f t="shared" si="1"/>
        <v>402.1521739130435</v>
      </c>
      <c r="S8" s="15">
        <f t="shared" si="2"/>
        <v>422.73913043478262</v>
      </c>
      <c r="T8" s="15">
        <f t="shared" si="3"/>
        <v>432.75555555555553</v>
      </c>
      <c r="U8" s="15">
        <f t="shared" si="4"/>
        <v>402.8082191780822</v>
      </c>
    </row>
    <row r="9" spans="1:27" x14ac:dyDescent="0.2">
      <c r="A9" s="14" t="s">
        <v>5</v>
      </c>
      <c r="B9" s="17" t="s">
        <v>6</v>
      </c>
      <c r="C9" s="18" t="s">
        <v>11</v>
      </c>
      <c r="D9" s="19">
        <v>419</v>
      </c>
      <c r="E9" s="19">
        <v>388</v>
      </c>
      <c r="F9" s="19">
        <v>356</v>
      </c>
      <c r="G9" s="19">
        <v>354</v>
      </c>
      <c r="H9" s="19">
        <v>345</v>
      </c>
      <c r="I9" s="19">
        <v>330</v>
      </c>
      <c r="J9" s="19">
        <v>344</v>
      </c>
      <c r="K9" s="19">
        <v>360</v>
      </c>
      <c r="L9" s="19">
        <v>364</v>
      </c>
      <c r="M9" s="19">
        <v>357</v>
      </c>
      <c r="N9" s="19">
        <v>352</v>
      </c>
      <c r="O9" s="19">
        <v>349</v>
      </c>
      <c r="P9" s="16"/>
      <c r="Q9" s="19">
        <f t="shared" si="0"/>
        <v>387.67032967032969</v>
      </c>
      <c r="R9" s="19">
        <f t="shared" si="1"/>
        <v>343.14130434782606</v>
      </c>
      <c r="S9" s="19">
        <f t="shared" si="2"/>
        <v>355.95652173913044</v>
      </c>
      <c r="T9" s="19">
        <f t="shared" si="3"/>
        <v>352.68888888888887</v>
      </c>
      <c r="U9" s="19">
        <f t="shared" si="4"/>
        <v>359.82739726027398</v>
      </c>
    </row>
    <row r="10" spans="1:27" x14ac:dyDescent="0.2">
      <c r="A10" s="14" t="s">
        <v>5</v>
      </c>
      <c r="B10" s="17" t="s">
        <v>6</v>
      </c>
      <c r="C10" s="18" t="s">
        <v>12</v>
      </c>
      <c r="D10" s="19">
        <v>324</v>
      </c>
      <c r="E10" s="19">
        <v>312</v>
      </c>
      <c r="F10" s="19">
        <v>312</v>
      </c>
      <c r="G10" s="19">
        <v>316</v>
      </c>
      <c r="H10" s="19">
        <v>336</v>
      </c>
      <c r="I10" s="19">
        <v>347</v>
      </c>
      <c r="J10" s="19">
        <v>356</v>
      </c>
      <c r="K10" s="19">
        <v>369</v>
      </c>
      <c r="L10" s="19">
        <v>373</v>
      </c>
      <c r="M10" s="19">
        <v>376</v>
      </c>
      <c r="N10" s="19">
        <v>383</v>
      </c>
      <c r="O10" s="19">
        <v>460</v>
      </c>
      <c r="P10" s="16"/>
      <c r="Q10" s="19">
        <f t="shared" si="0"/>
        <v>315.95604395604397</v>
      </c>
      <c r="R10" s="19">
        <f t="shared" si="1"/>
        <v>332.8478260869565</v>
      </c>
      <c r="S10" s="19">
        <f t="shared" si="2"/>
        <v>365.96739130434781</v>
      </c>
      <c r="T10" s="19">
        <f t="shared" si="3"/>
        <v>407.11111111111109</v>
      </c>
      <c r="U10" s="19">
        <f t="shared" si="4"/>
        <v>355.29589041095892</v>
      </c>
      <c r="W10" s="221" t="s">
        <v>216</v>
      </c>
      <c r="X10" s="221"/>
      <c r="Y10" s="221"/>
      <c r="Z10" s="221"/>
      <c r="AA10" s="221"/>
    </row>
    <row r="11" spans="1:27" x14ac:dyDescent="0.2">
      <c r="A11" s="14" t="s">
        <v>5</v>
      </c>
      <c r="B11" s="14" t="s">
        <v>6</v>
      </c>
      <c r="C11" s="20" t="s">
        <v>13</v>
      </c>
      <c r="D11" s="15">
        <v>489</v>
      </c>
      <c r="E11" s="15">
        <v>487</v>
      </c>
      <c r="F11" s="15">
        <v>431</v>
      </c>
      <c r="G11" s="15">
        <v>395</v>
      </c>
      <c r="H11" s="15">
        <v>407</v>
      </c>
      <c r="I11" s="15">
        <v>367</v>
      </c>
      <c r="J11" s="15">
        <v>405</v>
      </c>
      <c r="K11" s="15">
        <v>356</v>
      </c>
      <c r="L11" s="15">
        <v>398</v>
      </c>
      <c r="M11" s="15">
        <v>412</v>
      </c>
      <c r="N11" s="15">
        <v>407</v>
      </c>
      <c r="O11" s="15">
        <v>478</v>
      </c>
      <c r="P11" s="16">
        <f t="shared" ref="P11:P14" si="5">MAX(D11:O11)</f>
        <v>489</v>
      </c>
      <c r="Q11" s="15">
        <f t="shared" si="0"/>
        <v>469.19780219780222</v>
      </c>
      <c r="R11" s="15">
        <f t="shared" si="1"/>
        <v>389.91304347826087</v>
      </c>
      <c r="S11" s="15">
        <f t="shared" si="2"/>
        <v>386.66304347826087</v>
      </c>
      <c r="T11" s="15">
        <f t="shared" si="3"/>
        <v>433.17777777777781</v>
      </c>
      <c r="U11" s="15">
        <f t="shared" si="4"/>
        <v>419.52876712328765</v>
      </c>
      <c r="W11" s="215" t="s">
        <v>66</v>
      </c>
      <c r="X11" s="215" t="s">
        <v>54</v>
      </c>
      <c r="Y11" s="215" t="s">
        <v>55</v>
      </c>
      <c r="Z11" s="215" t="s">
        <v>64</v>
      </c>
      <c r="AA11" s="215" t="s">
        <v>58</v>
      </c>
    </row>
    <row r="12" spans="1:27" x14ac:dyDescent="0.2">
      <c r="A12" s="14" t="s">
        <v>5</v>
      </c>
      <c r="B12" s="14" t="s">
        <v>6</v>
      </c>
      <c r="C12" s="20" t="s">
        <v>14</v>
      </c>
      <c r="D12" s="15">
        <v>474</v>
      </c>
      <c r="E12" s="15">
        <v>444</v>
      </c>
      <c r="F12" s="15">
        <v>445</v>
      </c>
      <c r="G12" s="15">
        <v>453</v>
      </c>
      <c r="H12" s="15">
        <v>444</v>
      </c>
      <c r="I12" s="15">
        <v>413</v>
      </c>
      <c r="J12" s="15">
        <v>394</v>
      </c>
      <c r="K12" s="15">
        <v>359</v>
      </c>
      <c r="L12" s="15">
        <v>388</v>
      </c>
      <c r="M12" s="15">
        <v>371</v>
      </c>
      <c r="N12" s="15">
        <v>355</v>
      </c>
      <c r="O12" s="15">
        <v>352</v>
      </c>
      <c r="P12" s="16">
        <f t="shared" si="5"/>
        <v>474</v>
      </c>
      <c r="Q12" s="15">
        <f t="shared" si="0"/>
        <v>454.2197802197802</v>
      </c>
      <c r="R12" s="15">
        <f t="shared" si="1"/>
        <v>436.92391304347825</v>
      </c>
      <c r="S12" s="15">
        <f t="shared" si="2"/>
        <v>380.56521739130437</v>
      </c>
      <c r="T12" s="15">
        <f t="shared" si="3"/>
        <v>359.47777777777776</v>
      </c>
      <c r="U12" s="167">
        <f t="shared" si="4"/>
        <v>407.93424657534246</v>
      </c>
      <c r="W12" s="194" t="s">
        <v>13</v>
      </c>
      <c r="X12" s="15">
        <v>489</v>
      </c>
      <c r="Y12" s="15">
        <f>'WEST BENGAL'!V6</f>
        <v>137</v>
      </c>
      <c r="Z12" s="15"/>
      <c r="AA12" s="15">
        <f>SUM(X12:Z12)</f>
        <v>626</v>
      </c>
    </row>
    <row r="13" spans="1:27" x14ac:dyDescent="0.2">
      <c r="A13" s="14" t="s">
        <v>5</v>
      </c>
      <c r="B13" s="14" t="s">
        <v>6</v>
      </c>
      <c r="C13" s="20" t="s">
        <v>32</v>
      </c>
      <c r="D13" s="15">
        <v>360</v>
      </c>
      <c r="E13" s="15">
        <v>346</v>
      </c>
      <c r="F13" s="15">
        <v>357</v>
      </c>
      <c r="G13" s="15">
        <v>374</v>
      </c>
      <c r="H13" s="15">
        <v>385</v>
      </c>
      <c r="I13" s="15">
        <v>372</v>
      </c>
      <c r="J13" s="15">
        <v>369</v>
      </c>
      <c r="K13" s="15">
        <v>360</v>
      </c>
      <c r="L13" s="15">
        <v>379</v>
      </c>
      <c r="M13" s="15">
        <v>385</v>
      </c>
      <c r="N13" s="15">
        <v>431</v>
      </c>
      <c r="O13" s="15">
        <v>528</v>
      </c>
      <c r="P13" s="16">
        <f t="shared" si="5"/>
        <v>528</v>
      </c>
      <c r="Q13" s="15">
        <f t="shared" si="0"/>
        <v>354.24175824175825</v>
      </c>
      <c r="R13" s="15">
        <f t="shared" si="1"/>
        <v>377.05434782608694</v>
      </c>
      <c r="S13" s="15">
        <f t="shared" si="2"/>
        <v>369.43478260869563</v>
      </c>
      <c r="T13" s="15">
        <f t="shared" si="3"/>
        <v>448.56666666666666</v>
      </c>
      <c r="U13" s="167">
        <f>O13</f>
        <v>528</v>
      </c>
      <c r="W13" s="194" t="s">
        <v>14</v>
      </c>
      <c r="X13" s="15">
        <v>474</v>
      </c>
      <c r="Y13" s="15">
        <f>'WEST BENGAL'!V7</f>
        <v>144</v>
      </c>
      <c r="Z13" s="15"/>
      <c r="AA13" s="15">
        <f>SUM(X13:Z13)</f>
        <v>618</v>
      </c>
    </row>
    <row r="14" spans="1:27" x14ac:dyDescent="0.2">
      <c r="A14" s="14" t="s">
        <v>5</v>
      </c>
      <c r="B14" s="14" t="s">
        <v>6</v>
      </c>
      <c r="C14" s="20" t="s">
        <v>38</v>
      </c>
      <c r="D14" s="15">
        <v>548</v>
      </c>
      <c r="E14" s="15">
        <v>519</v>
      </c>
      <c r="F14" s="15">
        <v>538</v>
      </c>
      <c r="G14" s="15">
        <v>555</v>
      </c>
      <c r="H14" s="15">
        <v>554</v>
      </c>
      <c r="I14" s="15">
        <v>555</v>
      </c>
      <c r="J14" s="15">
        <v>628</v>
      </c>
      <c r="K14" s="15">
        <v>638</v>
      </c>
      <c r="L14" s="15">
        <v>655</v>
      </c>
      <c r="M14" s="15">
        <v>650</v>
      </c>
      <c r="N14" s="15">
        <v>681</v>
      </c>
      <c r="O14" s="15">
        <v>659</v>
      </c>
      <c r="P14" s="16">
        <f t="shared" si="5"/>
        <v>681</v>
      </c>
      <c r="Q14" s="15">
        <f>MAX(D14:F14)</f>
        <v>548</v>
      </c>
      <c r="R14" s="15">
        <f>MAX(G14:I14)</f>
        <v>555</v>
      </c>
      <c r="S14" s="15">
        <f>MAX(J14:L14)</f>
        <v>655</v>
      </c>
      <c r="T14" s="15">
        <f>MAX(M14:O14)</f>
        <v>681</v>
      </c>
      <c r="U14" s="167">
        <f t="shared" ref="U14" si="6">O14</f>
        <v>659</v>
      </c>
      <c r="W14" s="194" t="s">
        <v>32</v>
      </c>
      <c r="X14" s="15">
        <v>528</v>
      </c>
      <c r="Y14" s="15">
        <f>'WEST BENGAL'!V8</f>
        <v>164</v>
      </c>
      <c r="Z14" s="15"/>
      <c r="AA14" s="15">
        <f t="shared" ref="AA14:AA17" si="7">SUM(X14:Z14)</f>
        <v>692</v>
      </c>
    </row>
    <row r="15" spans="1:27" x14ac:dyDescent="0.2">
      <c r="A15" s="14" t="s">
        <v>5</v>
      </c>
      <c r="B15" s="14" t="s">
        <v>6</v>
      </c>
      <c r="C15" s="20" t="s">
        <v>98</v>
      </c>
      <c r="D15" s="15">
        <v>656</v>
      </c>
      <c r="E15" s="15">
        <v>665</v>
      </c>
      <c r="F15" s="15">
        <v>646</v>
      </c>
      <c r="G15" s="15">
        <v>644</v>
      </c>
      <c r="H15" s="15">
        <v>633</v>
      </c>
      <c r="I15" s="15">
        <v>639</v>
      </c>
      <c r="J15" s="15">
        <v>617</v>
      </c>
      <c r="K15" s="15">
        <v>604</v>
      </c>
      <c r="L15" s="15">
        <v>653</v>
      </c>
      <c r="M15" s="15">
        <v>684</v>
      </c>
      <c r="N15" s="15">
        <v>732</v>
      </c>
      <c r="O15" s="15">
        <v>784</v>
      </c>
      <c r="P15" s="16">
        <f>MAX(D15:O15)</f>
        <v>784</v>
      </c>
      <c r="Q15" s="15">
        <f>MAX(D15:F15)</f>
        <v>665</v>
      </c>
      <c r="R15" s="15">
        <f>MAX(G15:I15)</f>
        <v>644</v>
      </c>
      <c r="S15" s="15">
        <f>MAX(J15:L15)</f>
        <v>653</v>
      </c>
      <c r="T15" s="15">
        <f>MAX(M15:O15)</f>
        <v>784</v>
      </c>
      <c r="U15" s="167">
        <f t="shared" ref="U15:U16" si="8">O15</f>
        <v>784</v>
      </c>
      <c r="W15" s="194" t="s">
        <v>38</v>
      </c>
      <c r="X15" s="15">
        <v>681</v>
      </c>
      <c r="Y15" s="15">
        <f>'WEST BENGAL'!V9</f>
        <v>174</v>
      </c>
      <c r="Z15" s="15">
        <f>JHARKHAND!O4</f>
        <v>39</v>
      </c>
      <c r="AA15" s="15">
        <f t="shared" si="7"/>
        <v>894</v>
      </c>
    </row>
    <row r="16" spans="1:27" x14ac:dyDescent="0.2">
      <c r="A16" s="21" t="s">
        <v>5</v>
      </c>
      <c r="B16" s="21" t="s">
        <v>6</v>
      </c>
      <c r="C16" s="22" t="s">
        <v>193</v>
      </c>
      <c r="D16" s="23">
        <v>805</v>
      </c>
      <c r="E16" s="23">
        <v>800</v>
      </c>
      <c r="F16" s="23">
        <v>812</v>
      </c>
      <c r="G16" s="23">
        <v>867</v>
      </c>
      <c r="H16" s="23">
        <v>897</v>
      </c>
      <c r="I16" s="23">
        <v>897</v>
      </c>
      <c r="J16" s="23">
        <v>905</v>
      </c>
      <c r="K16" s="23">
        <v>883</v>
      </c>
      <c r="L16" s="79">
        <v>893</v>
      </c>
      <c r="M16" s="79">
        <v>928</v>
      </c>
      <c r="N16" s="79">
        <f>M16+120</f>
        <v>1048</v>
      </c>
      <c r="O16" s="79">
        <v>1087</v>
      </c>
      <c r="P16" s="16">
        <f t="shared" ref="P16" si="9">MAX(D16:O16)</f>
        <v>1087</v>
      </c>
      <c r="Q16" s="15">
        <f>MAX(D16:F16)</f>
        <v>812</v>
      </c>
      <c r="R16" s="15">
        <f>MAX(G16:I16)</f>
        <v>897</v>
      </c>
      <c r="S16" s="15">
        <f>MAX(J16:L16)</f>
        <v>905</v>
      </c>
      <c r="T16" s="15">
        <f>MAX(M16:O16)</f>
        <v>1087</v>
      </c>
      <c r="U16" s="167">
        <f t="shared" si="8"/>
        <v>1087</v>
      </c>
      <c r="W16" s="194" t="s">
        <v>98</v>
      </c>
      <c r="X16" s="15">
        <v>784</v>
      </c>
      <c r="Y16" s="15">
        <f>'WEST BENGAL'!V10</f>
        <v>151</v>
      </c>
      <c r="Z16" s="15">
        <f>JHARKHAND!O5</f>
        <v>103</v>
      </c>
      <c r="AA16" s="15">
        <f t="shared" si="7"/>
        <v>1038</v>
      </c>
    </row>
    <row r="17" spans="1:27" x14ac:dyDescent="0.2">
      <c r="A17" s="21" t="s">
        <v>5</v>
      </c>
      <c r="B17" s="21" t="s">
        <v>6</v>
      </c>
      <c r="C17" s="22" t="s">
        <v>235</v>
      </c>
      <c r="D17" s="23">
        <v>1073</v>
      </c>
      <c r="E17" s="23">
        <v>1042</v>
      </c>
      <c r="F17" s="23">
        <v>1046</v>
      </c>
      <c r="G17" s="23"/>
      <c r="H17" s="23"/>
      <c r="I17" s="23"/>
      <c r="J17" s="23"/>
      <c r="K17" s="23"/>
      <c r="L17" s="79"/>
      <c r="M17" s="79"/>
      <c r="N17" s="79"/>
      <c r="O17" s="79"/>
      <c r="P17" s="16">
        <f t="shared" ref="P17" si="10">MAX(D17:O17)</f>
        <v>1073</v>
      </c>
      <c r="Q17" s="15">
        <f>MAX(D17:F17)</f>
        <v>1073</v>
      </c>
      <c r="R17" s="15">
        <f>MAX(G17:I17)</f>
        <v>0</v>
      </c>
      <c r="S17" s="15">
        <f>MAX(J17:L17)</f>
        <v>0</v>
      </c>
      <c r="T17" s="15">
        <f>MAX(M17:O17)</f>
        <v>0</v>
      </c>
      <c r="U17" s="167">
        <f t="shared" ref="U17" si="11">O17</f>
        <v>0</v>
      </c>
      <c r="W17" s="194" t="s">
        <v>193</v>
      </c>
      <c r="X17" s="15">
        <v>1087</v>
      </c>
      <c r="Y17" s="15">
        <f>'WEST BENGAL'!V11</f>
        <v>232</v>
      </c>
      <c r="Z17" s="15">
        <f>JHARKHAND!O6</f>
        <v>145</v>
      </c>
      <c r="AA17" s="15">
        <f t="shared" si="7"/>
        <v>1464</v>
      </c>
    </row>
    <row r="18" spans="1:27" x14ac:dyDescent="0.2">
      <c r="C18" s="8"/>
      <c r="M18" s="25"/>
      <c r="N18" s="25"/>
      <c r="W18" s="194" t="s">
        <v>235</v>
      </c>
      <c r="X18" s="15"/>
      <c r="Y18" s="15"/>
      <c r="Z18" s="15"/>
      <c r="AA18" s="15"/>
    </row>
    <row r="19" spans="1:27" x14ac:dyDescent="0.2">
      <c r="A19" s="14" t="s">
        <v>15</v>
      </c>
      <c r="B19" s="14" t="s">
        <v>6</v>
      </c>
      <c r="C19" s="20" t="s">
        <v>7</v>
      </c>
      <c r="D19" s="15">
        <v>3901.3666666666668</v>
      </c>
      <c r="E19" s="15">
        <v>3261.0322580645161</v>
      </c>
      <c r="F19" s="15">
        <v>3352.3666666666668</v>
      </c>
      <c r="G19" s="15">
        <v>3603.8064516129034</v>
      </c>
      <c r="H19" s="15">
        <v>3729.7096774193546</v>
      </c>
      <c r="I19" s="15">
        <v>3648.6</v>
      </c>
      <c r="J19" s="15">
        <v>3136.516129032258</v>
      </c>
      <c r="K19" s="15">
        <v>3520.0666666666666</v>
      </c>
      <c r="L19" s="15">
        <v>3799</v>
      </c>
      <c r="M19" s="15">
        <v>3147.8620689655172</v>
      </c>
      <c r="N19" s="15">
        <v>3668.3214285714284</v>
      </c>
      <c r="O19" s="15">
        <v>3355</v>
      </c>
      <c r="Q19" s="15">
        <f t="shared" ref="Q19:Q27" si="12">SUMPRODUCT(D19:F19,$D$2:$F$2)/SUM($D$2:$F$2)</f>
        <v>3502.2417582417584</v>
      </c>
      <c r="R19" s="15">
        <f t="shared" ref="R19:R27" si="13">SUMPRODUCT(G19:I19,$G$2:$I$2)/SUM($G$2:$I$2)</f>
        <v>3660.836956521739</v>
      </c>
      <c r="S19" s="15">
        <f t="shared" ref="S19:S27" si="14">SUMPRODUCT(J19:L19,$J$2:$L$2)/SUM($J$2:$L$2)</f>
        <v>3484.8152173913045</v>
      </c>
      <c r="T19" s="15">
        <f t="shared" ref="T19:T27" si="15">SUMPRODUCT(M19:O19,$M$2:$O$2)/SUM($M$2:$O$2)</f>
        <v>3381.1302681992333</v>
      </c>
      <c r="U19" s="80">
        <f>SUMPRODUCT(D19:O19,$D$2:$O$2)/SUM($D$2:$O$2)</f>
        <v>3507.9608880491264</v>
      </c>
    </row>
    <row r="20" spans="1:27" x14ac:dyDescent="0.2">
      <c r="A20" s="14" t="s">
        <v>15</v>
      </c>
      <c r="B20" s="14" t="s">
        <v>6</v>
      </c>
      <c r="C20" s="20" t="s">
        <v>8</v>
      </c>
      <c r="D20" s="15">
        <v>4522</v>
      </c>
      <c r="E20" s="15">
        <v>3969</v>
      </c>
      <c r="F20" s="15">
        <v>4069</v>
      </c>
      <c r="G20" s="15">
        <v>4448</v>
      </c>
      <c r="H20" s="15">
        <v>4707</v>
      </c>
      <c r="I20" s="15">
        <v>3729</v>
      </c>
      <c r="J20" s="15">
        <v>3559</v>
      </c>
      <c r="K20" s="15">
        <v>3483</v>
      </c>
      <c r="L20" s="15">
        <v>3388</v>
      </c>
      <c r="M20" s="15">
        <v>3899</v>
      </c>
      <c r="N20" s="15">
        <v>3849</v>
      </c>
      <c r="O20" s="15">
        <v>3692</v>
      </c>
      <c r="Q20" s="15">
        <f t="shared" si="12"/>
        <v>4184.2747252747249</v>
      </c>
      <c r="R20" s="15">
        <f t="shared" si="13"/>
        <v>4300.815217391304</v>
      </c>
      <c r="S20" s="15">
        <f t="shared" si="14"/>
        <v>3476.5978260869565</v>
      </c>
      <c r="T20" s="15">
        <f t="shared" si="15"/>
        <v>3812.1444444444446</v>
      </c>
      <c r="U20" s="15">
        <f t="shared" ref="U20:U26" si="16">SUMPRODUCT(D20:O20,$D$2:$O$2)/SUM($D$2:$O$2)</f>
        <v>3943.5178082191783</v>
      </c>
    </row>
    <row r="21" spans="1:27" x14ac:dyDescent="0.2">
      <c r="A21" s="14" t="s">
        <v>15</v>
      </c>
      <c r="B21" s="14" t="s">
        <v>6</v>
      </c>
      <c r="C21" s="20" t="s">
        <v>9</v>
      </c>
      <c r="D21" s="15">
        <v>3314</v>
      </c>
      <c r="E21" s="15">
        <v>3172</v>
      </c>
      <c r="F21" s="15">
        <v>3184</v>
      </c>
      <c r="G21" s="15">
        <v>3938</v>
      </c>
      <c r="H21" s="15">
        <v>4024</v>
      </c>
      <c r="I21" s="15">
        <v>3762</v>
      </c>
      <c r="J21" s="15">
        <v>3794</v>
      </c>
      <c r="K21" s="15">
        <v>3602</v>
      </c>
      <c r="L21" s="15">
        <v>3999</v>
      </c>
      <c r="M21" s="15">
        <v>5589</v>
      </c>
      <c r="N21" s="15">
        <v>6014.6095717884127</v>
      </c>
      <c r="O21" s="15">
        <v>6343</v>
      </c>
      <c r="Q21" s="15">
        <f t="shared" si="12"/>
        <v>3222.7692307692309</v>
      </c>
      <c r="R21" s="15">
        <f t="shared" si="13"/>
        <v>3909.586956521739</v>
      </c>
      <c r="S21" s="15">
        <f t="shared" si="14"/>
        <v>3800.467391304348</v>
      </c>
      <c r="T21" s="15">
        <f t="shared" si="15"/>
        <v>5981.1229778897277</v>
      </c>
      <c r="U21" s="15">
        <f t="shared" si="16"/>
        <v>4221.6385424933578</v>
      </c>
    </row>
    <row r="22" spans="1:27" x14ac:dyDescent="0.2">
      <c r="A22" s="14" t="s">
        <v>15</v>
      </c>
      <c r="B22" s="14" t="s">
        <v>6</v>
      </c>
      <c r="C22" s="20" t="s">
        <v>10</v>
      </c>
      <c r="D22" s="15">
        <v>6318</v>
      </c>
      <c r="E22" s="15">
        <v>6738</v>
      </c>
      <c r="F22" s="15">
        <v>6208</v>
      </c>
      <c r="G22" s="15">
        <v>6968</v>
      </c>
      <c r="H22" s="15">
        <v>7930</v>
      </c>
      <c r="I22" s="15">
        <v>7973</v>
      </c>
      <c r="J22" s="15">
        <v>7652</v>
      </c>
      <c r="K22" s="15">
        <v>6691</v>
      </c>
      <c r="L22" s="15">
        <v>8015</v>
      </c>
      <c r="M22" s="15">
        <v>8657</v>
      </c>
      <c r="N22" s="15">
        <v>10316</v>
      </c>
      <c r="O22" s="15">
        <v>11222</v>
      </c>
      <c r="Q22" s="15">
        <f t="shared" si="12"/>
        <v>6424.8131868131868</v>
      </c>
      <c r="R22" s="15">
        <f t="shared" si="13"/>
        <v>7619.869565217391</v>
      </c>
      <c r="S22" s="15">
        <f t="shared" si="14"/>
        <v>7460.945652173913</v>
      </c>
      <c r="T22" s="15">
        <f t="shared" si="15"/>
        <v>10056.633333333333</v>
      </c>
      <c r="U22" s="15">
        <f t="shared" si="16"/>
        <v>7882.7123287671229</v>
      </c>
    </row>
    <row r="23" spans="1:27" x14ac:dyDescent="0.2">
      <c r="A23" s="14" t="s">
        <v>15</v>
      </c>
      <c r="B23" s="17" t="s">
        <v>6</v>
      </c>
      <c r="C23" s="18" t="s">
        <v>11</v>
      </c>
      <c r="D23" s="19">
        <v>10764</v>
      </c>
      <c r="E23" s="19">
        <v>9650</v>
      </c>
      <c r="F23" s="19">
        <v>9257</v>
      </c>
      <c r="G23" s="19">
        <v>10915</v>
      </c>
      <c r="H23" s="19">
        <v>8860</v>
      </c>
      <c r="I23" s="19">
        <v>9599</v>
      </c>
      <c r="J23" s="19">
        <v>10216</v>
      </c>
      <c r="K23" s="19">
        <v>10500</v>
      </c>
      <c r="L23" s="19">
        <f>+L42/6.8</f>
        <v>16161.02242469165</v>
      </c>
      <c r="M23" s="19">
        <f>+M42/7</f>
        <v>16711.962252601959</v>
      </c>
      <c r="N23" s="19">
        <f>+N42/7</f>
        <v>20009.535492036586</v>
      </c>
      <c r="O23" s="19">
        <f>+O42/7.2</f>
        <v>17875.673900109879</v>
      </c>
      <c r="Q23" s="19">
        <f t="shared" si="12"/>
        <v>9887.6923076923085</v>
      </c>
      <c r="R23" s="19">
        <f t="shared" si="13"/>
        <v>9793.423913043478</v>
      </c>
      <c r="S23" s="19">
        <f t="shared" si="14"/>
        <v>12311.822773537404</v>
      </c>
      <c r="T23" s="19">
        <f t="shared" si="15"/>
        <v>18138.707939012125</v>
      </c>
      <c r="U23" s="19">
        <f t="shared" si="16"/>
        <v>12509.442218291872</v>
      </c>
    </row>
    <row r="24" spans="1:27" x14ac:dyDescent="0.2">
      <c r="A24" s="14" t="s">
        <v>15</v>
      </c>
      <c r="B24" s="17" t="s">
        <v>6</v>
      </c>
      <c r="C24" s="18" t="s">
        <v>12</v>
      </c>
      <c r="D24" s="19">
        <f>+D45/7</f>
        <v>15162.669679523804</v>
      </c>
      <c r="E24" s="19">
        <f>+E45/7.3</f>
        <v>9694.7105095006609</v>
      </c>
      <c r="F24" s="19">
        <f>+F45/6.7</f>
        <v>8729.3358205223849</v>
      </c>
      <c r="G24" s="19">
        <f>+G45/5.9</f>
        <v>11287.542417304539</v>
      </c>
      <c r="H24" s="19">
        <f>+H45/7</f>
        <v>11392.750934447005</v>
      </c>
      <c r="I24" s="19">
        <f>+I45/7.2</f>
        <v>11512.26030011574</v>
      </c>
      <c r="J24" s="19">
        <f>+J45/7</f>
        <v>9830.925694585254</v>
      </c>
      <c r="K24" s="19">
        <v>8730</v>
      </c>
      <c r="L24" s="19">
        <v>9028</v>
      </c>
      <c r="M24" s="19">
        <v>11214</v>
      </c>
      <c r="N24" s="19">
        <v>8456</v>
      </c>
      <c r="O24" s="19">
        <v>10541</v>
      </c>
      <c r="Q24" s="19">
        <f t="shared" si="12"/>
        <v>11179.079019735233</v>
      </c>
      <c r="R24" s="19">
        <f t="shared" si="13"/>
        <v>11396.270683780111</v>
      </c>
      <c r="S24" s="19">
        <f t="shared" si="14"/>
        <v>9201.3771362189436</v>
      </c>
      <c r="T24" s="19">
        <f t="shared" si="15"/>
        <v>10124.144444444444</v>
      </c>
      <c r="U24" s="19">
        <f t="shared" si="16"/>
        <v>10475.21312393375</v>
      </c>
    </row>
    <row r="25" spans="1:27" x14ac:dyDescent="0.2">
      <c r="A25" s="14" t="s">
        <v>15</v>
      </c>
      <c r="B25" s="14" t="s">
        <v>6</v>
      </c>
      <c r="C25" s="20" t="s">
        <v>13</v>
      </c>
      <c r="D25" s="15">
        <v>11658</v>
      </c>
      <c r="E25" s="15">
        <v>10615</v>
      </c>
      <c r="F25" s="15">
        <v>9536</v>
      </c>
      <c r="G25" s="15">
        <v>7106</v>
      </c>
      <c r="H25" s="15">
        <v>5274</v>
      </c>
      <c r="I25" s="15">
        <v>5578</v>
      </c>
      <c r="J25" s="15">
        <v>5379</v>
      </c>
      <c r="K25" s="15">
        <v>2916</v>
      </c>
      <c r="L25" s="15">
        <v>2916</v>
      </c>
      <c r="M25" s="15">
        <v>6078</v>
      </c>
      <c r="N25" s="15">
        <v>8949</v>
      </c>
      <c r="O25" s="15">
        <v>11559</v>
      </c>
      <c r="P25" s="16">
        <f t="shared" ref="P25:P30" si="17">MAX(D25:O25)</f>
        <v>11658</v>
      </c>
      <c r="Q25" s="15">
        <f t="shared" si="12"/>
        <v>10603.131868131868</v>
      </c>
      <c r="R25" s="15">
        <f t="shared" si="13"/>
        <v>5990.434782608696</v>
      </c>
      <c r="S25" s="15">
        <f t="shared" si="14"/>
        <v>3745.9239130434785</v>
      </c>
      <c r="T25" s="15">
        <f t="shared" si="15"/>
        <v>8859.1</v>
      </c>
      <c r="U25" s="15">
        <f t="shared" si="16"/>
        <v>7282.0520547945207</v>
      </c>
    </row>
    <row r="26" spans="1:27" x14ac:dyDescent="0.2">
      <c r="A26" s="14" t="s">
        <v>15</v>
      </c>
      <c r="B26" s="14" t="s">
        <v>6</v>
      </c>
      <c r="C26" s="20" t="s">
        <v>14</v>
      </c>
      <c r="D26" s="15">
        <v>8814</v>
      </c>
      <c r="E26" s="15">
        <v>6689</v>
      </c>
      <c r="F26" s="15">
        <v>9876</v>
      </c>
      <c r="G26" s="15">
        <v>9004</v>
      </c>
      <c r="H26" s="15">
        <v>6902</v>
      </c>
      <c r="I26" s="15">
        <v>7457</v>
      </c>
      <c r="J26" s="15">
        <v>5036</v>
      </c>
      <c r="K26" s="15">
        <v>5423</v>
      </c>
      <c r="L26" s="15">
        <v>7834</v>
      </c>
      <c r="M26" s="15">
        <v>8932</v>
      </c>
      <c r="N26" s="15">
        <v>9852</v>
      </c>
      <c r="O26" s="15">
        <v>9110</v>
      </c>
      <c r="P26" s="16">
        <f t="shared" si="17"/>
        <v>9876</v>
      </c>
      <c r="Q26" s="15">
        <f t="shared" si="12"/>
        <v>8440.2087912087918</v>
      </c>
      <c r="R26" s="15">
        <f t="shared" si="13"/>
        <v>7791.260869565217</v>
      </c>
      <c r="S26" s="15">
        <f t="shared" si="14"/>
        <v>6105</v>
      </c>
      <c r="T26" s="15">
        <f t="shared" si="15"/>
        <v>9279.5333333333328</v>
      </c>
      <c r="U26" s="15">
        <f t="shared" si="16"/>
        <v>7894.9945205479453</v>
      </c>
    </row>
    <row r="27" spans="1:27" x14ac:dyDescent="0.2">
      <c r="A27" s="14" t="s">
        <v>15</v>
      </c>
      <c r="B27" s="14" t="s">
        <v>6</v>
      </c>
      <c r="C27" s="20" t="str">
        <f>+C13</f>
        <v>FY 22-23</v>
      </c>
      <c r="D27" s="15">
        <v>9116</v>
      </c>
      <c r="E27" s="15">
        <v>7045</v>
      </c>
      <c r="F27" s="15">
        <v>9979</v>
      </c>
      <c r="G27" s="15">
        <v>10214.367519072037</v>
      </c>
      <c r="H27" s="15">
        <v>10164.185248451884</v>
      </c>
      <c r="I27" s="15">
        <v>10082</v>
      </c>
      <c r="J27" s="15">
        <v>9530.5726196528831</v>
      </c>
      <c r="K27" s="15">
        <v>9184.6788673295414</v>
      </c>
      <c r="L27" s="56">
        <v>10431.181484458712</v>
      </c>
      <c r="M27" s="57">
        <v>9151.8605263104764</v>
      </c>
      <c r="N27" s="57">
        <v>10517.933878372996</v>
      </c>
      <c r="O27" s="57">
        <v>9611.6453516129004</v>
      </c>
      <c r="P27" s="16">
        <f t="shared" si="17"/>
        <v>10517.933878372996</v>
      </c>
      <c r="Q27" s="15">
        <f t="shared" si="12"/>
        <v>8695</v>
      </c>
      <c r="R27" s="15">
        <f t="shared" si="13"/>
        <v>10154.294954274364</v>
      </c>
      <c r="S27" s="15">
        <f t="shared" si="14"/>
        <v>9721.247209210278</v>
      </c>
      <c r="T27" s="15">
        <f t="shared" si="15"/>
        <v>9735.2314534452071</v>
      </c>
      <c r="U27" s="15">
        <f>SUMPRODUCT(D27:O27,$D$2:$O$2)/SUM($D$2:$O$2)</f>
        <v>9577.98824616618</v>
      </c>
    </row>
    <row r="28" spans="1:27" x14ac:dyDescent="0.2">
      <c r="A28" s="14" t="s">
        <v>15</v>
      </c>
      <c r="B28" s="14" t="s">
        <v>6</v>
      </c>
      <c r="C28" s="20" t="str">
        <f>+C14</f>
        <v>FY 23-24</v>
      </c>
      <c r="D28" s="15">
        <v>4785</v>
      </c>
      <c r="E28" s="15">
        <v>4810</v>
      </c>
      <c r="F28" s="15">
        <v>4769</v>
      </c>
      <c r="G28" s="15">
        <v>5187</v>
      </c>
      <c r="H28" s="15">
        <v>5292</v>
      </c>
      <c r="I28" s="15">
        <v>5241</v>
      </c>
      <c r="J28" s="15">
        <v>5523</v>
      </c>
      <c r="K28" s="15">
        <v>5496</v>
      </c>
      <c r="L28" s="15">
        <v>5651</v>
      </c>
      <c r="M28" s="15">
        <v>5918</v>
      </c>
      <c r="N28" s="15">
        <v>11267</v>
      </c>
      <c r="O28" s="15">
        <v>13259</v>
      </c>
      <c r="P28" s="16">
        <f t="shared" si="17"/>
        <v>13259</v>
      </c>
      <c r="Q28" s="15">
        <f t="shared" ref="Q28" si="18">SUMPRODUCT(D28:F28,$D$2:$F$2)/SUM($D$2:$F$2)</f>
        <v>4788.2417582417584</v>
      </c>
      <c r="R28" s="15">
        <f t="shared" ref="R28" si="19">SUMPRODUCT(G28:I28,$G$2:$I$2)/SUM($G$2:$I$2)</f>
        <v>5239.989130434783</v>
      </c>
      <c r="S28" s="15">
        <f t="shared" ref="S28" si="20">SUMPRODUCT(J28:L28,$J$2:$L$2)/SUM($J$2:$L$2)</f>
        <v>5557.326086956522</v>
      </c>
      <c r="T28" s="15">
        <f>SUMPRODUCT(M28:O28,$M$3:$O$3)/SUM($M$3:$O$3)</f>
        <v>10123.406593406593</v>
      </c>
      <c r="U28" s="15">
        <f>SUMPRODUCT(D28:O28,$D$3:$O$3)/SUM($D$3:$O$3)</f>
        <v>6421.6202185792354</v>
      </c>
    </row>
    <row r="29" spans="1:27" x14ac:dyDescent="0.2">
      <c r="A29" s="14" t="s">
        <v>15</v>
      </c>
      <c r="B29" s="14" t="s">
        <v>6</v>
      </c>
      <c r="C29" s="20" t="str">
        <f>C15</f>
        <v>FY 24-25</v>
      </c>
      <c r="D29" s="15">
        <v>7611</v>
      </c>
      <c r="E29" s="15">
        <v>6577</v>
      </c>
      <c r="F29" s="15">
        <v>6103</v>
      </c>
      <c r="G29" s="15">
        <v>6234</v>
      </c>
      <c r="H29" s="15">
        <v>5847</v>
      </c>
      <c r="I29" s="15">
        <v>6038</v>
      </c>
      <c r="J29" s="15">
        <v>5850</v>
      </c>
      <c r="K29" s="15">
        <v>5559</v>
      </c>
      <c r="L29" s="15">
        <v>6012</v>
      </c>
      <c r="M29" s="15">
        <v>6685</v>
      </c>
      <c r="N29" s="15">
        <v>7040</v>
      </c>
      <c r="O29" s="15">
        <v>6945</v>
      </c>
      <c r="P29" s="16">
        <f t="shared" si="17"/>
        <v>7611</v>
      </c>
      <c r="Q29" s="15">
        <f t="shared" ref="Q29" si="21">SUMPRODUCT(D29:F29,$D$2:$F$2)/SUM($D$2:$F$2)</f>
        <v>6761.6153846153848</v>
      </c>
      <c r="R29" s="15">
        <f t="shared" ref="R29" si="22">SUMPRODUCT(G29:I29,$G$2:$I$2)/SUM($G$2:$I$2)</f>
        <v>6039.684782608696</v>
      </c>
      <c r="S29" s="15">
        <f t="shared" ref="S29" si="23">SUMPRODUCT(J29:L29,$J$2:$L$2)/SUM($J$2:$L$2)</f>
        <v>5809.695652173913</v>
      </c>
      <c r="T29" s="15">
        <f>SUMPRODUCT(M29:O29,$M$2:$O$2)/SUM($M$2:$O$2)</f>
        <v>6885</v>
      </c>
      <c r="U29" s="15">
        <f>SUMPRODUCT(D29:O29,$D$2:$O$2)/SUM($D$2:$O$2)</f>
        <v>6370.1369863013697</v>
      </c>
    </row>
    <row r="30" spans="1:27" x14ac:dyDescent="0.2">
      <c r="A30" s="21" t="s">
        <v>15</v>
      </c>
      <c r="B30" s="21" t="s">
        <v>6</v>
      </c>
      <c r="C30" s="22" t="str">
        <f>C16</f>
        <v>FY 25-26</v>
      </c>
      <c r="D30" s="23">
        <v>6568</v>
      </c>
      <c r="E30" s="23">
        <v>6083</v>
      </c>
      <c r="F30" s="23">
        <v>6478</v>
      </c>
      <c r="G30" s="23">
        <v>6633</v>
      </c>
      <c r="H30" s="23">
        <v>6704</v>
      </c>
      <c r="I30" s="23">
        <v>6552</v>
      </c>
      <c r="J30" s="23">
        <v>6008</v>
      </c>
      <c r="K30" s="23">
        <v>5877</v>
      </c>
      <c r="L30" s="23">
        <v>6362</v>
      </c>
      <c r="M30" s="23">
        <v>6378</v>
      </c>
      <c r="N30" s="23">
        <v>6759</v>
      </c>
      <c r="O30" s="23">
        <v>7148</v>
      </c>
      <c r="P30" s="16">
        <f t="shared" si="17"/>
        <v>7148</v>
      </c>
      <c r="Q30" s="58">
        <f t="shared" ref="Q30" si="24">SUMPRODUCT(D30:F30,$D$2:$F$2)/SUM($D$2:$F$2)</f>
        <v>6373.1098901098903</v>
      </c>
      <c r="R30" s="58">
        <f t="shared" ref="R30" si="25">SUMPRODUCT(G30:I30,$G$2:$I$2)/SUM($G$2:$I$2)</f>
        <v>6630.510869565217</v>
      </c>
      <c r="S30" s="58">
        <f t="shared" ref="S30" si="26">SUMPRODUCT(J30:L30,$J$2:$L$2)/SUM($J$2:$L$2)</f>
        <v>6084.565217391304</v>
      </c>
      <c r="T30" s="58">
        <f>SUMPRODUCT(M30:O30,$M$2:$O$2)/SUM($M$2:$O$2)</f>
        <v>6761.7555555555555</v>
      </c>
      <c r="U30" s="58">
        <f>SUMPRODUCT(D30:O30,$D$2:$O$2)/SUM($D$2:$O$2)</f>
        <v>6461.0904109589037</v>
      </c>
    </row>
    <row r="31" spans="1:27" x14ac:dyDescent="0.2">
      <c r="A31" s="21" t="s">
        <v>15</v>
      </c>
      <c r="B31" s="21" t="s">
        <v>6</v>
      </c>
      <c r="C31" s="22" t="str">
        <f>C17</f>
        <v>FY 26-27</v>
      </c>
      <c r="D31" s="23">
        <v>6486</v>
      </c>
      <c r="E31" s="23">
        <v>6190</v>
      </c>
      <c r="F31" s="23">
        <v>7055</v>
      </c>
      <c r="G31" s="23"/>
      <c r="H31" s="23"/>
      <c r="I31" s="23"/>
      <c r="J31" s="23"/>
      <c r="K31" s="23"/>
      <c r="L31" s="23"/>
      <c r="M31" s="23"/>
      <c r="N31" s="83"/>
      <c r="O31" s="83"/>
      <c r="P31" s="16">
        <f t="shared" ref="P31" si="27">MAX(D31:O31)</f>
        <v>7055</v>
      </c>
      <c r="Q31" s="58">
        <f t="shared" ref="Q31" si="28">SUMPRODUCT(D31:F31,$D$2:$F$2)/SUM($D$2:$F$2)</f>
        <v>6572.7472527472528</v>
      </c>
      <c r="R31" s="58">
        <f t="shared" ref="R31" si="29">SUMPRODUCT(G31:I31,$G$2:$I$2)/SUM($G$2:$I$2)</f>
        <v>0</v>
      </c>
      <c r="S31" s="58">
        <f t="shared" ref="S31" si="30">SUMPRODUCT(J31:L31,$J$2:$L$2)/SUM($J$2:$L$2)</f>
        <v>0</v>
      </c>
      <c r="T31" s="58">
        <f>SUMPRODUCT(M31:O31,$M$2:$O$2)/SUM($M$2:$O$2)</f>
        <v>0</v>
      </c>
      <c r="U31" s="58">
        <f>SUMPRODUCT(D31:O31,$D$2:$O$2)/SUM($D$2:$O$2)</f>
        <v>1638.6849315068494</v>
      </c>
    </row>
    <row r="32" spans="1:27" x14ac:dyDescent="0.2">
      <c r="C32" s="8"/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Q32" s="25"/>
      <c r="R32" s="25"/>
      <c r="S32" s="25"/>
      <c r="T32" s="25"/>
      <c r="U32" s="25"/>
    </row>
    <row r="33" spans="1:25" x14ac:dyDescent="0.2">
      <c r="A33" s="10" t="s">
        <v>1</v>
      </c>
      <c r="B33" s="11" t="s">
        <v>2</v>
      </c>
      <c r="C33" s="10" t="s">
        <v>3</v>
      </c>
      <c r="D33" s="12" t="s">
        <v>25</v>
      </c>
      <c r="E33" s="12" t="s">
        <v>4</v>
      </c>
      <c r="F33" s="12" t="s">
        <v>26</v>
      </c>
      <c r="G33" s="12" t="s">
        <v>43</v>
      </c>
      <c r="H33" s="12" t="s">
        <v>27</v>
      </c>
      <c r="I33" s="12" t="s">
        <v>44</v>
      </c>
      <c r="J33" s="12" t="s">
        <v>28</v>
      </c>
      <c r="K33" s="12" t="s">
        <v>29</v>
      </c>
      <c r="L33" s="12" t="s">
        <v>30</v>
      </c>
      <c r="M33" s="12" t="s">
        <v>45</v>
      </c>
      <c r="N33" s="12" t="s">
        <v>31</v>
      </c>
      <c r="O33" s="12" t="s">
        <v>46</v>
      </c>
      <c r="Q33" s="13" t="s">
        <v>34</v>
      </c>
      <c r="R33" s="13" t="s">
        <v>35</v>
      </c>
      <c r="S33" s="13" t="s">
        <v>36</v>
      </c>
      <c r="T33" s="13" t="s">
        <v>37</v>
      </c>
      <c r="U33" s="13" t="s">
        <v>49</v>
      </c>
    </row>
    <row r="34" spans="1:25" x14ac:dyDescent="0.2">
      <c r="A34" s="4" t="s">
        <v>17</v>
      </c>
      <c r="B34" s="14" t="s">
        <v>16</v>
      </c>
      <c r="C34" s="20" t="s">
        <v>7</v>
      </c>
      <c r="D34" s="15">
        <v>27523.336666666666</v>
      </c>
      <c r="E34" s="15">
        <v>19529.787096774195</v>
      </c>
      <c r="F34" s="15">
        <v>21279.55</v>
      </c>
      <c r="G34" s="15">
        <v>23337.600000000002</v>
      </c>
      <c r="H34" s="15">
        <v>24493.670967741939</v>
      </c>
      <c r="I34" s="15">
        <v>22991.326666666675</v>
      </c>
      <c r="J34" s="15">
        <v>21279.338709677417</v>
      </c>
      <c r="K34" s="15">
        <v>26886.831600000001</v>
      </c>
      <c r="L34" s="15">
        <v>36137.998864516136</v>
      </c>
      <c r="M34" s="15">
        <v>36482.189172413804</v>
      </c>
      <c r="N34" s="15">
        <v>44226.084250000007</v>
      </c>
      <c r="O34" s="15">
        <v>36454.152066666662</v>
      </c>
      <c r="Q34" s="15">
        <f t="shared" ref="Q34:Q63" si="31">SUMPRODUCT(D34:F34,$D$2:$F$2)/SUM($D$2:$F$2)</f>
        <v>22741.86813186813</v>
      </c>
      <c r="R34" s="15">
        <f t="shared" ref="R34:R63" si="32">SUMPRODUCT(G34:I34,$G$2:$I$2)/SUM($G$2:$I$2)</f>
        <v>23614.23043478261</v>
      </c>
      <c r="S34" s="15">
        <f t="shared" ref="S34:S63" si="33">SUMPRODUCT(J34:L34,$J$2:$L$2)/SUM($J$2:$L$2)</f>
        <v>28114.591443478261</v>
      </c>
      <c r="T34" s="15">
        <f t="shared" ref="T34:T58" si="34">SUMPRODUCT(M34:O34,$M$2:$O$2)/SUM($M$2:$O$2)</f>
        <v>38881.743749016605</v>
      </c>
      <c r="U34" s="15">
        <f t="shared" ref="U34:U43" si="35">SUMPRODUCT(D34:O34,$D$2:$O$2)/SUM($D$2:$O$2)</f>
        <v>28295.667260853417</v>
      </c>
      <c r="V34" s="183">
        <f t="shared" ref="V34:V40" si="36">S34/Q34</f>
        <v>1.2362481076953105</v>
      </c>
      <c r="W34" s="183">
        <f>R34/Q34</f>
        <v>1.0383593070655459</v>
      </c>
      <c r="X34" s="183">
        <f>S34/R34</f>
        <v>1.1905783472861702</v>
      </c>
      <c r="Y34" s="183">
        <f>T34/Q34</f>
        <v>1.7096987601705289</v>
      </c>
    </row>
    <row r="35" spans="1:25" x14ac:dyDescent="0.2">
      <c r="A35" s="14" t="s">
        <v>41</v>
      </c>
      <c r="B35" s="14" t="s">
        <v>16</v>
      </c>
      <c r="C35" s="20" t="s">
        <v>7</v>
      </c>
      <c r="D35" s="15">
        <v>27523.336666666666</v>
      </c>
      <c r="E35" s="15">
        <v>19529.787096774195</v>
      </c>
      <c r="F35" s="15">
        <v>21279.55</v>
      </c>
      <c r="G35" s="15">
        <v>23337.600000000002</v>
      </c>
      <c r="H35" s="15">
        <v>24493.670967741939</v>
      </c>
      <c r="I35" s="15">
        <v>22991.326666666675</v>
      </c>
      <c r="J35" s="15">
        <v>21279.338709677417</v>
      </c>
      <c r="K35" s="15">
        <v>26886.831600000001</v>
      </c>
      <c r="L35" s="15">
        <v>36137.998864516136</v>
      </c>
      <c r="M35" s="15">
        <v>36482.189172413804</v>
      </c>
      <c r="N35" s="15">
        <v>44226.084250000007</v>
      </c>
      <c r="O35" s="15">
        <v>36454.152066666662</v>
      </c>
      <c r="Q35" s="15">
        <f t="shared" ref="Q35" si="37">SUMPRODUCT(D35:F35,$D$2:$F$2)/SUM($D$2:$F$2)</f>
        <v>22741.86813186813</v>
      </c>
      <c r="R35" s="15">
        <f t="shared" ref="R35" si="38">SUMPRODUCT(G35:I35,$G$2:$I$2)/SUM($G$2:$I$2)</f>
        <v>23614.23043478261</v>
      </c>
      <c r="S35" s="15">
        <f t="shared" ref="S35" si="39">SUMPRODUCT(J35:L35,$J$2:$L$2)/SUM($J$2:$L$2)</f>
        <v>28114.591443478261</v>
      </c>
      <c r="T35" s="15">
        <f t="shared" ref="T35" si="40">SUMPRODUCT(M35:O35,$M$2:$O$2)/SUM($M$2:$O$2)</f>
        <v>38881.743749016605</v>
      </c>
      <c r="U35" s="15">
        <f t="shared" si="35"/>
        <v>28295.667260853417</v>
      </c>
      <c r="V35" s="183">
        <f t="shared" ref="V35" si="41">S35/Q35</f>
        <v>1.2362481076953105</v>
      </c>
      <c r="W35" s="183">
        <f>R35/Q35</f>
        <v>1.0383593070655459</v>
      </c>
      <c r="X35" s="183">
        <f>S35/R35</f>
        <v>1.1905783472861702</v>
      </c>
      <c r="Y35" s="183">
        <f>T35/Q35</f>
        <v>1.7096987601705289</v>
      </c>
    </row>
    <row r="36" spans="1:25" x14ac:dyDescent="0.2">
      <c r="A36" s="4" t="s">
        <v>17</v>
      </c>
      <c r="B36" s="14" t="s">
        <v>16</v>
      </c>
      <c r="C36" s="20" t="s">
        <v>8</v>
      </c>
      <c r="D36" s="15">
        <v>28376.166666666668</v>
      </c>
      <c r="E36" s="15">
        <v>19995.941548387076</v>
      </c>
      <c r="F36" s="15">
        <v>21898.074666666664</v>
      </c>
      <c r="G36" s="15">
        <v>30228.652645161292</v>
      </c>
      <c r="H36" s="15">
        <v>25438.455899999997</v>
      </c>
      <c r="I36" s="15">
        <v>29278.398899999997</v>
      </c>
      <c r="J36" s="15">
        <v>28639.441241379318</v>
      </c>
      <c r="K36" s="15">
        <v>23539.300344827607</v>
      </c>
      <c r="L36" s="15">
        <v>28268.190516129031</v>
      </c>
      <c r="M36" s="15">
        <v>32102</v>
      </c>
      <c r="N36" s="15">
        <v>34487</v>
      </c>
      <c r="O36" s="15">
        <v>31243.602290322578</v>
      </c>
      <c r="Q36" s="15">
        <f t="shared" si="31"/>
        <v>23385.729978021973</v>
      </c>
      <c r="R36" s="15">
        <f t="shared" si="32"/>
        <v>28304.699259782607</v>
      </c>
      <c r="S36" s="15">
        <f t="shared" si="33"/>
        <v>26851.256465517246</v>
      </c>
      <c r="T36" s="15">
        <f t="shared" si="34"/>
        <v>32548.32967777778</v>
      </c>
      <c r="U36" s="15">
        <f t="shared" si="35"/>
        <v>27758.353495144074</v>
      </c>
      <c r="V36" s="183">
        <f t="shared" si="36"/>
        <v>1.1481897931239347</v>
      </c>
      <c r="W36" s="183">
        <f t="shared" ref="W36:W42" si="42">R36/Q36</f>
        <v>1.2103406344973411</v>
      </c>
      <c r="X36" s="183">
        <f t="shared" ref="X36:X42" si="43">S36/R36</f>
        <v>0.94865012410393212</v>
      </c>
      <c r="Y36" s="183">
        <f t="shared" ref="Y36:Y42" si="44">T36/Q36</f>
        <v>1.3918030229702842</v>
      </c>
    </row>
    <row r="37" spans="1:25" x14ac:dyDescent="0.2">
      <c r="A37" s="14" t="s">
        <v>41</v>
      </c>
      <c r="B37" s="14" t="s">
        <v>16</v>
      </c>
      <c r="C37" s="20" t="s">
        <v>8</v>
      </c>
      <c r="D37" s="15">
        <v>28376.166666666668</v>
      </c>
      <c r="E37" s="15">
        <v>19995.941548387076</v>
      </c>
      <c r="F37" s="15">
        <v>21898.074666666664</v>
      </c>
      <c r="G37" s="15">
        <v>30228.652645161292</v>
      </c>
      <c r="H37" s="15">
        <v>25438.455899999997</v>
      </c>
      <c r="I37" s="15">
        <v>29278.398899999997</v>
      </c>
      <c r="J37" s="15">
        <v>28639.441241379318</v>
      </c>
      <c r="K37" s="15">
        <v>23539.300344827607</v>
      </c>
      <c r="L37" s="15">
        <v>28268.190516129031</v>
      </c>
      <c r="M37" s="15">
        <v>32102</v>
      </c>
      <c r="N37" s="15">
        <v>34487</v>
      </c>
      <c r="O37" s="15">
        <v>31243.602290322578</v>
      </c>
      <c r="Q37" s="15">
        <f t="shared" ref="Q37" si="45">SUMPRODUCT(D37:F37,$D$2:$F$2)/SUM($D$2:$F$2)</f>
        <v>23385.729978021973</v>
      </c>
      <c r="R37" s="15">
        <f t="shared" ref="R37" si="46">SUMPRODUCT(G37:I37,$G$2:$I$2)/SUM($G$2:$I$2)</f>
        <v>28304.699259782607</v>
      </c>
      <c r="S37" s="15">
        <f t="shared" ref="S37" si="47">SUMPRODUCT(J37:L37,$J$2:$L$2)/SUM($J$2:$L$2)</f>
        <v>26851.256465517246</v>
      </c>
      <c r="T37" s="15">
        <f t="shared" ref="T37" si="48">SUMPRODUCT(M37:O37,$M$2:$O$2)/SUM($M$2:$O$2)</f>
        <v>32548.32967777778</v>
      </c>
      <c r="U37" s="15">
        <f t="shared" si="35"/>
        <v>27758.353495144074</v>
      </c>
      <c r="V37" s="183">
        <f t="shared" ref="V37" si="49">S37/Q37</f>
        <v>1.1481897931239347</v>
      </c>
      <c r="W37" s="183">
        <f t="shared" ref="W37" si="50">R37/Q37</f>
        <v>1.2103406344973411</v>
      </c>
      <c r="X37" s="183">
        <f t="shared" ref="X37" si="51">S37/R37</f>
        <v>0.94865012410393212</v>
      </c>
      <c r="Y37" s="183">
        <f t="shared" ref="Y37" si="52">T37/Q37</f>
        <v>1.3918030229702842</v>
      </c>
    </row>
    <row r="38" spans="1:25" x14ac:dyDescent="0.2">
      <c r="A38" s="4" t="s">
        <v>17</v>
      </c>
      <c r="B38" s="14" t="s">
        <v>16</v>
      </c>
      <c r="C38" s="20" t="s">
        <v>9</v>
      </c>
      <c r="D38" s="15">
        <v>19667.126533333336</v>
      </c>
      <c r="E38" s="15">
        <v>20038</v>
      </c>
      <c r="F38" s="15">
        <v>19100</v>
      </c>
      <c r="G38" s="15">
        <v>24313</v>
      </c>
      <c r="H38" s="15">
        <v>30251</v>
      </c>
      <c r="I38" s="15">
        <v>24912</v>
      </c>
      <c r="J38" s="15">
        <v>22918</v>
      </c>
      <c r="K38" s="15">
        <v>22726</v>
      </c>
      <c r="L38" s="15">
        <v>29284</v>
      </c>
      <c r="M38" s="15">
        <v>36401</v>
      </c>
      <c r="N38" s="15">
        <v>47756</v>
      </c>
      <c r="O38" s="15">
        <v>56938.586064516145</v>
      </c>
      <c r="Q38" s="15">
        <f t="shared" si="31"/>
        <v>19606.503252747254</v>
      </c>
      <c r="R38" s="15">
        <f t="shared" si="32"/>
        <v>26509.17391304348</v>
      </c>
      <c r="S38" s="15">
        <f t="shared" si="33"/>
        <v>25000.456521739132</v>
      </c>
      <c r="T38" s="15">
        <f t="shared" si="34"/>
        <v>47007.724088888892</v>
      </c>
      <c r="U38" s="15">
        <f t="shared" si="35"/>
        <v>29462.391682191785</v>
      </c>
      <c r="V38" s="183">
        <f t="shared" si="36"/>
        <v>1.2751104161439943</v>
      </c>
      <c r="W38" s="183">
        <f t="shared" si="42"/>
        <v>1.3520602613996979</v>
      </c>
      <c r="X38" s="183">
        <f t="shared" si="43"/>
        <v>0.94308697071235392</v>
      </c>
      <c r="Y38" s="183">
        <f t="shared" si="44"/>
        <v>2.3975577635090128</v>
      </c>
    </row>
    <row r="39" spans="1:25" x14ac:dyDescent="0.2">
      <c r="A39" s="14" t="s">
        <v>41</v>
      </c>
      <c r="B39" s="14" t="s">
        <v>16</v>
      </c>
      <c r="C39" s="20" t="s">
        <v>9</v>
      </c>
      <c r="D39" s="15">
        <v>19667.126533333336</v>
      </c>
      <c r="E39" s="15">
        <v>20038</v>
      </c>
      <c r="F39" s="15">
        <v>19100</v>
      </c>
      <c r="G39" s="15">
        <v>24313</v>
      </c>
      <c r="H39" s="15">
        <v>30251</v>
      </c>
      <c r="I39" s="15">
        <v>24912</v>
      </c>
      <c r="J39" s="15">
        <v>22918</v>
      </c>
      <c r="K39" s="15">
        <v>22726</v>
      </c>
      <c r="L39" s="15">
        <v>29284</v>
      </c>
      <c r="M39" s="15">
        <v>36401</v>
      </c>
      <c r="N39" s="15">
        <v>47756</v>
      </c>
      <c r="O39" s="15">
        <v>56938.586064516145</v>
      </c>
      <c r="Q39" s="15">
        <f t="shared" ref="Q39" si="53">SUMPRODUCT(D39:F39,$D$2:$F$2)/SUM($D$2:$F$2)</f>
        <v>19606.503252747254</v>
      </c>
      <c r="R39" s="15">
        <f t="shared" ref="R39" si="54">SUMPRODUCT(G39:I39,$G$2:$I$2)/SUM($G$2:$I$2)</f>
        <v>26509.17391304348</v>
      </c>
      <c r="S39" s="15">
        <f t="shared" ref="S39" si="55">SUMPRODUCT(J39:L39,$J$2:$L$2)/SUM($J$2:$L$2)</f>
        <v>25000.456521739132</v>
      </c>
      <c r="T39" s="15">
        <f t="shared" ref="T39" si="56">SUMPRODUCT(M39:O39,$M$2:$O$2)/SUM($M$2:$O$2)</f>
        <v>47007.724088888892</v>
      </c>
      <c r="U39" s="15">
        <f t="shared" si="35"/>
        <v>29462.391682191785</v>
      </c>
      <c r="V39" s="183">
        <f t="shared" ref="V39" si="57">S39/Q39</f>
        <v>1.2751104161439943</v>
      </c>
      <c r="W39" s="183">
        <f t="shared" ref="W39" si="58">R39/Q39</f>
        <v>1.3520602613996979</v>
      </c>
      <c r="X39" s="183">
        <f t="shared" ref="X39" si="59">S39/R39</f>
        <v>0.94308697071235392</v>
      </c>
      <c r="Y39" s="183">
        <f t="shared" ref="Y39" si="60">T39/Q39</f>
        <v>2.3975577635090128</v>
      </c>
    </row>
    <row r="40" spans="1:25" x14ac:dyDescent="0.2">
      <c r="A40" s="4" t="s">
        <v>17</v>
      </c>
      <c r="B40" s="17" t="s">
        <v>16</v>
      </c>
      <c r="C40" s="18" t="s">
        <v>10</v>
      </c>
      <c r="D40" s="19">
        <v>48457</v>
      </c>
      <c r="E40" s="19">
        <v>40866</v>
      </c>
      <c r="F40" s="19">
        <v>47102</v>
      </c>
      <c r="G40" s="19">
        <v>54007</v>
      </c>
      <c r="H40" s="19">
        <v>55935</v>
      </c>
      <c r="I40" s="19">
        <v>45109</v>
      </c>
      <c r="J40" s="19">
        <v>50462.566542372915</v>
      </c>
      <c r="K40" s="19">
        <v>47188</v>
      </c>
      <c r="L40" s="19">
        <v>77510</v>
      </c>
      <c r="M40" s="19">
        <v>79145</v>
      </c>
      <c r="N40" s="19">
        <v>105888</v>
      </c>
      <c r="O40" s="19">
        <v>109209</v>
      </c>
      <c r="Q40" s="19">
        <f t="shared" si="31"/>
        <v>45424.351648351651</v>
      </c>
      <c r="R40" s="19">
        <f t="shared" si="32"/>
        <v>51755.130434782608</v>
      </c>
      <c r="S40" s="19">
        <f t="shared" si="33"/>
        <v>58508.582204495222</v>
      </c>
      <c r="T40" s="19">
        <f t="shared" si="34"/>
        <v>97820.422222222216</v>
      </c>
      <c r="U40" s="19">
        <f t="shared" si="35"/>
        <v>63237.57688442072</v>
      </c>
      <c r="V40" s="183">
        <f t="shared" si="36"/>
        <v>1.2880444096909498</v>
      </c>
      <c r="W40" s="183">
        <f t="shared" si="42"/>
        <v>1.1393697115467951</v>
      </c>
      <c r="X40" s="183">
        <f t="shared" si="43"/>
        <v>1.1304885469899981</v>
      </c>
      <c r="Y40" s="183">
        <f t="shared" si="44"/>
        <v>2.1534797674051536</v>
      </c>
    </row>
    <row r="41" spans="1:25" x14ac:dyDescent="0.2">
      <c r="A41" s="14" t="s">
        <v>41</v>
      </c>
      <c r="B41" s="17" t="s">
        <v>16</v>
      </c>
      <c r="C41" s="18" t="s">
        <v>10</v>
      </c>
      <c r="D41" s="19">
        <v>48457</v>
      </c>
      <c r="E41" s="19">
        <v>40866</v>
      </c>
      <c r="F41" s="19">
        <v>47102</v>
      </c>
      <c r="G41" s="19">
        <v>54007</v>
      </c>
      <c r="H41" s="19">
        <v>55935</v>
      </c>
      <c r="I41" s="19">
        <v>45109</v>
      </c>
      <c r="J41" s="19">
        <v>50462.566542372915</v>
      </c>
      <c r="K41" s="19">
        <v>47188</v>
      </c>
      <c r="L41" s="19">
        <v>77510</v>
      </c>
      <c r="M41" s="19">
        <v>79145</v>
      </c>
      <c r="N41" s="19">
        <v>105888</v>
      </c>
      <c r="O41" s="19">
        <v>109209</v>
      </c>
      <c r="Q41" s="19">
        <f t="shared" ref="Q41" si="61">SUMPRODUCT(D41:F41,$D$2:$F$2)/SUM($D$2:$F$2)</f>
        <v>45424.351648351651</v>
      </c>
      <c r="R41" s="19">
        <f t="shared" ref="R41" si="62">SUMPRODUCT(G41:I41,$G$2:$I$2)/SUM($G$2:$I$2)</f>
        <v>51755.130434782608</v>
      </c>
      <c r="S41" s="19">
        <f t="shared" ref="S41" si="63">SUMPRODUCT(J41:L41,$J$2:$L$2)/SUM($J$2:$L$2)</f>
        <v>58508.582204495222</v>
      </c>
      <c r="T41" s="19">
        <f t="shared" ref="T41" si="64">SUMPRODUCT(M41:O41,$M$2:$O$2)/SUM($M$2:$O$2)</f>
        <v>97820.422222222216</v>
      </c>
      <c r="U41" s="19">
        <f t="shared" si="35"/>
        <v>63237.57688442072</v>
      </c>
      <c r="V41" s="183">
        <f t="shared" ref="V41" si="65">S41/Q41</f>
        <v>1.2880444096909498</v>
      </c>
      <c r="W41" s="183">
        <f t="shared" ref="W41" si="66">R41/Q41</f>
        <v>1.1393697115467951</v>
      </c>
      <c r="X41" s="183">
        <f t="shared" ref="X41" si="67">S41/R41</f>
        <v>1.1304885469899981</v>
      </c>
      <c r="Y41" s="183">
        <f t="shared" ref="Y41" si="68">T41/Q41</f>
        <v>2.1534797674051536</v>
      </c>
    </row>
    <row r="42" spans="1:25" x14ac:dyDescent="0.2">
      <c r="A42" s="4" t="s">
        <v>17</v>
      </c>
      <c r="B42" s="17" t="s">
        <v>16</v>
      </c>
      <c r="C42" s="18" t="s">
        <v>11</v>
      </c>
      <c r="D42" s="19">
        <v>86579.456320833313</v>
      </c>
      <c r="E42" s="19">
        <v>75371.565160483849</v>
      </c>
      <c r="F42" s="19">
        <v>78555.868590833328</v>
      </c>
      <c r="G42" s="19">
        <v>85168.530271774216</v>
      </c>
      <c r="H42" s="19">
        <v>71577.144422580634</v>
      </c>
      <c r="I42" s="19">
        <v>80956.449163333324</v>
      </c>
      <c r="J42" s="19">
        <v>82719.946241935482</v>
      </c>
      <c r="K42" s="19">
        <v>90173.745007500009</v>
      </c>
      <c r="L42" s="19">
        <v>109894.95248790321</v>
      </c>
      <c r="M42" s="19">
        <v>116983.73576821372</v>
      </c>
      <c r="N42" s="19">
        <v>140066.74844425611</v>
      </c>
      <c r="O42" s="19">
        <v>128704.85208079114</v>
      </c>
      <c r="P42" s="9"/>
      <c r="Q42" s="19">
        <f t="shared" si="31"/>
        <v>80116.244695879082</v>
      </c>
      <c r="R42" s="19">
        <f t="shared" si="32"/>
        <v>79215.319461141306</v>
      </c>
      <c r="S42" s="19">
        <f t="shared" si="33"/>
        <v>94307.328378804334</v>
      </c>
      <c r="T42" s="19">
        <f t="shared" si="34"/>
        <v>128202.39088620358</v>
      </c>
      <c r="U42" s="19">
        <f t="shared" si="35"/>
        <v>95322.95081742006</v>
      </c>
      <c r="V42" s="183">
        <f>S42/Q42</f>
        <v>1.1771311640578579</v>
      </c>
      <c r="W42" s="183">
        <f t="shared" si="42"/>
        <v>0.98875477453845118</v>
      </c>
      <c r="X42" s="183">
        <f t="shared" si="43"/>
        <v>1.1905188165663629</v>
      </c>
      <c r="Y42" s="183">
        <f t="shared" si="44"/>
        <v>1.6002046947265101</v>
      </c>
    </row>
    <row r="43" spans="1:25" x14ac:dyDescent="0.2">
      <c r="A43" s="14" t="s">
        <v>41</v>
      </c>
      <c r="B43" s="17" t="s">
        <v>16</v>
      </c>
      <c r="C43" s="18" t="s">
        <v>11</v>
      </c>
      <c r="D43" s="19">
        <v>86579.456320833313</v>
      </c>
      <c r="E43" s="19">
        <v>75371.565160483849</v>
      </c>
      <c r="F43" s="19">
        <v>78555.868590833328</v>
      </c>
      <c r="G43" s="19">
        <v>85168.530271774216</v>
      </c>
      <c r="H43" s="19">
        <v>71577.144422580634</v>
      </c>
      <c r="I43" s="19">
        <v>80956.449163333324</v>
      </c>
      <c r="J43" s="19">
        <v>82719.946241935482</v>
      </c>
      <c r="K43" s="19">
        <v>90173.745007500009</v>
      </c>
      <c r="L43" s="19">
        <v>109894.95248790321</v>
      </c>
      <c r="M43" s="19">
        <v>116983.73576821372</v>
      </c>
      <c r="N43" s="19">
        <v>140066.74844425611</v>
      </c>
      <c r="O43" s="19">
        <v>128704.85208079114</v>
      </c>
      <c r="P43" s="9"/>
      <c r="Q43" s="19">
        <f t="shared" ref="Q43:Q44" si="69">SUMPRODUCT(D43:F43,$D$2:$F$2)/SUM($D$2:$F$2)</f>
        <v>80116.244695879082</v>
      </c>
      <c r="R43" s="19">
        <f t="shared" ref="R43:R44" si="70">SUMPRODUCT(G43:I43,$G$2:$I$2)/SUM($G$2:$I$2)</f>
        <v>79215.319461141306</v>
      </c>
      <c r="S43" s="19">
        <f t="shared" ref="S43:S44" si="71">SUMPRODUCT(J43:L43,$J$2:$L$2)/SUM($J$2:$L$2)</f>
        <v>94307.328378804334</v>
      </c>
      <c r="T43" s="19">
        <f t="shared" ref="T43" si="72">SUMPRODUCT(M43:O43,$M$2:$O$2)/SUM($M$2:$O$2)</f>
        <v>128202.39088620358</v>
      </c>
      <c r="U43" s="19">
        <f t="shared" si="35"/>
        <v>95322.95081742006</v>
      </c>
      <c r="V43" s="183">
        <f>S43/Q43</f>
        <v>1.1771311640578579</v>
      </c>
      <c r="W43" s="183">
        <f t="shared" ref="W43" si="73">R43/Q43</f>
        <v>0.98875477453845118</v>
      </c>
      <c r="X43" s="183">
        <f t="shared" ref="X43" si="74">S43/R43</f>
        <v>1.1905188165663629</v>
      </c>
      <c r="Y43" s="183">
        <f t="shared" ref="Y43" si="75">T43/Q43</f>
        <v>1.6002046947265101</v>
      </c>
    </row>
    <row r="44" spans="1:25" x14ac:dyDescent="0.2">
      <c r="A44" s="4" t="s">
        <v>17</v>
      </c>
      <c r="B44" s="17" t="s">
        <v>16</v>
      </c>
      <c r="C44" s="18" t="s">
        <v>12</v>
      </c>
      <c r="D44" s="19">
        <v>106138.68775666662</v>
      </c>
      <c r="E44" s="19">
        <v>70771.386719354821</v>
      </c>
      <c r="F44" s="19">
        <v>58486.549997499977</v>
      </c>
      <c r="G44" s="19">
        <v>66596.500262096786</v>
      </c>
      <c r="H44" s="19">
        <v>79749.256541129042</v>
      </c>
      <c r="I44" s="19">
        <v>82888.274160833331</v>
      </c>
      <c r="J44" s="19">
        <v>68816.479862096778</v>
      </c>
      <c r="K44" s="19">
        <v>61248.123854166668</v>
      </c>
      <c r="L44" s="19">
        <v>70042.150955645164</v>
      </c>
      <c r="M44" s="19">
        <v>77520.703603225818</v>
      </c>
      <c r="N44" s="19">
        <v>96911.85966206895</v>
      </c>
      <c r="O44" s="19">
        <v>106217.28316370968</v>
      </c>
      <c r="P44" s="9"/>
      <c r="Q44" s="19">
        <f t="shared" si="69"/>
        <v>78380.990339835116</v>
      </c>
      <c r="R44" s="19">
        <f t="shared" si="70"/>
        <v>76340.942236141302</v>
      </c>
      <c r="S44" s="19">
        <f t="shared" si="71"/>
        <v>66761.535554076094</v>
      </c>
      <c r="T44" s="19">
        <f>SUMPRODUCT(M44:O44,$M$3:$O$3)/SUM($M$3:$O$3)</f>
        <v>93476.06065906593</v>
      </c>
      <c r="U44" s="19">
        <f>SUMPRODUCT(D44:O44,$D$3:$O$3)/SUM($D$3:$O$3)</f>
        <v>78700.599993442622</v>
      </c>
      <c r="V44" s="73"/>
    </row>
    <row r="45" spans="1:25" x14ac:dyDescent="0.2">
      <c r="A45" s="14" t="s">
        <v>41</v>
      </c>
      <c r="B45" s="17" t="s">
        <v>16</v>
      </c>
      <c r="C45" s="18" t="s">
        <v>12</v>
      </c>
      <c r="D45" s="19">
        <v>106138.68775666662</v>
      </c>
      <c r="E45" s="19">
        <v>70771.386719354821</v>
      </c>
      <c r="F45" s="19">
        <v>58486.549997499977</v>
      </c>
      <c r="G45" s="19">
        <v>66596.500262096786</v>
      </c>
      <c r="H45" s="19">
        <v>79749.256541129042</v>
      </c>
      <c r="I45" s="19">
        <v>82888.274160833331</v>
      </c>
      <c r="J45" s="19">
        <v>68816.479862096778</v>
      </c>
      <c r="K45" s="19">
        <v>61248.123854166668</v>
      </c>
      <c r="L45" s="19">
        <v>70042.150955645164</v>
      </c>
      <c r="M45" s="19">
        <v>77520.703603225818</v>
      </c>
      <c r="N45" s="19">
        <v>96911.85966206895</v>
      </c>
      <c r="O45" s="19">
        <v>106217.28316370968</v>
      </c>
      <c r="P45" s="9"/>
      <c r="Q45" s="19">
        <f t="shared" si="31"/>
        <v>78380.990339835116</v>
      </c>
      <c r="R45" s="19">
        <f t="shared" si="32"/>
        <v>76340.942236141302</v>
      </c>
      <c r="S45" s="19">
        <f t="shared" si="33"/>
        <v>66761.535554076094</v>
      </c>
      <c r="T45" s="19">
        <f>SUMPRODUCT(M45:O45,$M$3:$O$3)/SUM($M$3:$O$3)</f>
        <v>93476.06065906593</v>
      </c>
      <c r="U45" s="19">
        <f>SUMPRODUCT(D45:O45,$D$3:$O$3)/SUM($D$3:$O$3)</f>
        <v>78700.599993442622</v>
      </c>
      <c r="V45" s="73"/>
    </row>
    <row r="46" spans="1:25" x14ac:dyDescent="0.2">
      <c r="A46" s="4" t="s">
        <v>17</v>
      </c>
      <c r="B46" s="1" t="s">
        <v>16</v>
      </c>
      <c r="C46" s="2" t="s">
        <v>13</v>
      </c>
      <c r="D46" s="3">
        <v>126498.799383333</v>
      </c>
      <c r="E46" s="3">
        <v>97054.735670968003</v>
      </c>
      <c r="F46" s="3">
        <v>59593.570736666719</v>
      </c>
      <c r="G46" s="3">
        <v>56343.743953225756</v>
      </c>
      <c r="H46" s="3">
        <v>34460.35589596771</v>
      </c>
      <c r="I46" s="3">
        <v>35385.086246666724</v>
      </c>
      <c r="J46" s="3">
        <v>26911.151145967819</v>
      </c>
      <c r="K46" s="3">
        <v>22352.043647499984</v>
      </c>
      <c r="L46" s="3">
        <v>28598.387096774193</v>
      </c>
      <c r="M46" s="3">
        <v>47413.825033871195</v>
      </c>
      <c r="N46" s="3">
        <v>61661.3105919644</v>
      </c>
      <c r="O46" s="3">
        <v>79789.620662903224</v>
      </c>
      <c r="P46" s="9"/>
      <c r="Q46" s="3">
        <f t="shared" si="31"/>
        <v>94411.735268131859</v>
      </c>
      <c r="R46" s="3">
        <f t="shared" si="32"/>
        <v>42135.648725271734</v>
      </c>
      <c r="S46" s="3">
        <f t="shared" si="33"/>
        <v>25993.010814673937</v>
      </c>
      <c r="T46" s="3">
        <f t="shared" si="34"/>
        <v>62998.0390352779</v>
      </c>
      <c r="U46" s="3">
        <f t="shared" ref="U46:U57" si="76">SUMPRODUCT(D46:O46,$D$2:$O$2)/SUM($D$2:$O$2)</f>
        <v>56244.18657602743</v>
      </c>
    </row>
    <row r="47" spans="1:25" x14ac:dyDescent="0.2">
      <c r="A47" s="4" t="s">
        <v>18</v>
      </c>
      <c r="B47" s="1" t="s">
        <v>16</v>
      </c>
      <c r="C47" s="2" t="s">
        <v>13</v>
      </c>
      <c r="D47" s="3">
        <v>12728.514859166668</v>
      </c>
      <c r="E47" s="3">
        <v>15609.740291129026</v>
      </c>
      <c r="F47" s="3">
        <v>4755.7527366666673</v>
      </c>
      <c r="G47" s="3">
        <v>19038.247880645165</v>
      </c>
      <c r="H47" s="3">
        <v>32165.984808064513</v>
      </c>
      <c r="I47" s="3">
        <v>39180.08511</v>
      </c>
      <c r="J47" s="3">
        <v>61418.504346774193</v>
      </c>
      <c r="K47" s="3">
        <v>41772.044034999999</v>
      </c>
      <c r="L47" s="3">
        <v>58093.919439516147</v>
      </c>
      <c r="M47" s="3">
        <v>35150.792473387097</v>
      </c>
      <c r="N47" s="3">
        <v>5884.0887250000033</v>
      </c>
      <c r="O47" s="3">
        <v>24985.03328709678</v>
      </c>
      <c r="P47" s="9"/>
      <c r="Q47" s="3">
        <f t="shared" ref="Q47" si="77">SUMPRODUCT(D47:F47,$D$2:$F$2)/SUM($D$2:$F$2)</f>
        <v>11081.648097802197</v>
      </c>
      <c r="R47" s="3">
        <f t="shared" ref="R47" si="78">SUMPRODUCT(G47:I47,$G$2:$I$2)/SUM($G$2:$I$2)</f>
        <v>30029.714854891299</v>
      </c>
      <c r="S47" s="3">
        <f t="shared" ref="S47" si="79">SUMPRODUCT(J47:L47,$J$2:$L$2)/SUM($J$2:$L$2)</f>
        <v>53891.809330706528</v>
      </c>
      <c r="T47" s="3">
        <f t="shared" ref="T47" si="80">SUMPRODUCT(M47:O47,$M$2:$O$2)/SUM($M$2:$O$2)</f>
        <v>22544.056476388891</v>
      </c>
      <c r="U47" s="3">
        <f t="shared" ref="U47" si="81">SUMPRODUCT(D47:O47,$D$2:$O$2)/SUM($D$2:$O$2)</f>
        <v>29474.452835205477</v>
      </c>
    </row>
    <row r="48" spans="1:25" x14ac:dyDescent="0.2">
      <c r="A48" s="4" t="s">
        <v>33</v>
      </c>
      <c r="B48" s="1" t="s">
        <v>16</v>
      </c>
      <c r="C48" s="2" t="s">
        <v>13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9"/>
      <c r="Q48" s="3">
        <f t="shared" si="31"/>
        <v>0</v>
      </c>
      <c r="R48" s="3">
        <f t="shared" si="32"/>
        <v>0</v>
      </c>
      <c r="S48" s="3">
        <f t="shared" si="33"/>
        <v>0</v>
      </c>
      <c r="T48" s="3">
        <f t="shared" si="34"/>
        <v>0</v>
      </c>
      <c r="U48" s="3">
        <f t="shared" si="76"/>
        <v>0</v>
      </c>
    </row>
    <row r="49" spans="1:32" x14ac:dyDescent="0.2">
      <c r="A49" s="14" t="s">
        <v>41</v>
      </c>
      <c r="B49" s="14" t="s">
        <v>16</v>
      </c>
      <c r="C49" s="20" t="s">
        <v>13</v>
      </c>
      <c r="D49" s="15">
        <f>D46+D48+D47</f>
        <v>139227.31424249968</v>
      </c>
      <c r="E49" s="15">
        <f t="shared" ref="E49:O49" si="82">E46+E48+E47</f>
        <v>112664.47596209703</v>
      </c>
      <c r="F49" s="15">
        <f t="shared" si="82"/>
        <v>64349.323473333388</v>
      </c>
      <c r="G49" s="15">
        <f t="shared" si="82"/>
        <v>75381.991833870925</v>
      </c>
      <c r="H49" s="15">
        <f t="shared" si="82"/>
        <v>66626.34070403222</v>
      </c>
      <c r="I49" s="15">
        <f t="shared" si="82"/>
        <v>74565.171356666717</v>
      </c>
      <c r="J49" s="15">
        <f t="shared" si="82"/>
        <v>88329.655492742007</v>
      </c>
      <c r="K49" s="15">
        <f t="shared" si="82"/>
        <v>64124.087682499987</v>
      </c>
      <c r="L49" s="15">
        <f t="shared" si="82"/>
        <v>86692.306536290344</v>
      </c>
      <c r="M49" s="15">
        <f t="shared" si="82"/>
        <v>82564.617507258285</v>
      </c>
      <c r="N49" s="15">
        <f t="shared" si="82"/>
        <v>67545.399316964409</v>
      </c>
      <c r="O49" s="15">
        <f t="shared" si="82"/>
        <v>104774.65395000001</v>
      </c>
      <c r="P49" s="9"/>
      <c r="Q49" s="15">
        <f t="shared" si="31"/>
        <v>105493.38336593406</v>
      </c>
      <c r="R49" s="15">
        <f t="shared" si="32"/>
        <v>72165.36358016303</v>
      </c>
      <c r="S49" s="15">
        <f t="shared" si="33"/>
        <v>79884.820145380465</v>
      </c>
      <c r="T49" s="15">
        <f t="shared" si="34"/>
        <v>85542.095511666776</v>
      </c>
      <c r="U49" s="15">
        <f t="shared" si="76"/>
        <v>85718.6394112329</v>
      </c>
      <c r="V49" s="8">
        <v>85719</v>
      </c>
    </row>
    <row r="50" spans="1:32" ht="21" customHeight="1" x14ac:dyDescent="0.2">
      <c r="A50" s="4" t="s">
        <v>17</v>
      </c>
      <c r="B50" s="5" t="s">
        <v>16</v>
      </c>
      <c r="C50" s="2" t="s">
        <v>14</v>
      </c>
      <c r="D50" s="3">
        <v>74041.66870750011</v>
      </c>
      <c r="E50" s="3">
        <v>59697.980930645026</v>
      </c>
      <c r="F50" s="3">
        <v>73126.752808333578</v>
      </c>
      <c r="G50" s="3">
        <v>67383.264921774447</v>
      </c>
      <c r="H50" s="3">
        <v>40668.069600000112</v>
      </c>
      <c r="I50" s="3">
        <v>45165.96161166668</v>
      </c>
      <c r="J50" s="3">
        <v>32415.287988709624</v>
      </c>
      <c r="K50" s="3">
        <v>30519.747775833286</v>
      </c>
      <c r="L50" s="3">
        <v>42518.675940322544</v>
      </c>
      <c r="M50" s="3">
        <v>53705.879398387457</v>
      </c>
      <c r="N50" s="3">
        <v>61558.88077053606</v>
      </c>
      <c r="O50" s="3">
        <v>67787.278610483947</v>
      </c>
      <c r="P50" s="9"/>
      <c r="Q50" s="3">
        <f>SUMPRODUCT(D50:F50,$D$2:$F$2)/SUM($D$2:$F$2)</f>
        <v>68853.736860714358</v>
      </c>
      <c r="R50" s="3">
        <f t="shared" si="32"/>
        <v>51136.632810054478</v>
      </c>
      <c r="S50" s="3">
        <f t="shared" si="33"/>
        <v>35201.579511684737</v>
      </c>
      <c r="T50" s="3">
        <f t="shared" si="34"/>
        <v>60999.295109444698</v>
      </c>
      <c r="U50" s="3">
        <f>SUMPRODUCT(D50:O50,$D$2:$O$2)/SUM($D$2:$O$2)</f>
        <v>53969.156569246683</v>
      </c>
    </row>
    <row r="51" spans="1:32" x14ac:dyDescent="0.2">
      <c r="A51" s="4" t="s">
        <v>39</v>
      </c>
      <c r="B51" s="5" t="s">
        <v>16</v>
      </c>
      <c r="C51" s="2" t="s">
        <v>14</v>
      </c>
      <c r="D51" s="3">
        <v>0</v>
      </c>
      <c r="E51" s="3">
        <v>3850.8026056451599</v>
      </c>
      <c r="F51" s="3">
        <v>10817.530366666666</v>
      </c>
      <c r="G51" s="3">
        <v>11973.838879032257</v>
      </c>
      <c r="H51" s="3">
        <v>6218.9306774193537</v>
      </c>
      <c r="I51" s="3">
        <v>13767.392</v>
      </c>
      <c r="J51" s="3">
        <v>15421.150032258065</v>
      </c>
      <c r="K51" s="3">
        <v>8764.0571333333319</v>
      </c>
      <c r="L51" s="3">
        <v>25814.325991935479</v>
      </c>
      <c r="M51" s="3">
        <v>36187.23753225807</v>
      </c>
      <c r="N51" s="3">
        <v>36079.128767857161</v>
      </c>
      <c r="O51" s="3">
        <v>24981.028580645165</v>
      </c>
      <c r="P51" s="9"/>
      <c r="Q51" s="3">
        <f>SUMPRODUCT(D51:F51,$D$2:$F$2)/SUM($D$2:$F$2)</f>
        <v>4878.030678846153</v>
      </c>
      <c r="R51" s="3">
        <f t="shared" ref="R51" si="83">SUMPRODUCT(G51:I51,$G$2:$I$2)/SUM($G$2:$I$2)</f>
        <v>10619.539307065217</v>
      </c>
      <c r="S51" s="3">
        <f t="shared" ref="S51" si="84">SUMPRODUCT(J51:L51,$J$2:$L$2)/SUM($J$2:$L$2)</f>
        <v>16752.407290760868</v>
      </c>
      <c r="T51" s="3">
        <f t="shared" ref="T51" si="85">SUMPRODUCT(M51:O51,$M$2:$O$2)/SUM($M$2:$O$2)</f>
        <v>32293.687277777783</v>
      </c>
      <c r="U51" s="3">
        <f t="shared" ref="U51" si="86">SUMPRODUCT(D51:O51,$D$2:$O$2)/SUM($D$2:$O$2)</f>
        <v>16078.223928150685</v>
      </c>
    </row>
    <row r="52" spans="1:32" x14ac:dyDescent="0.2">
      <c r="A52" s="4" t="s">
        <v>18</v>
      </c>
      <c r="B52" s="5" t="s">
        <v>16</v>
      </c>
      <c r="C52" s="2" t="s">
        <v>14</v>
      </c>
      <c r="D52" s="3">
        <v>34278.164816666671</v>
      </c>
      <c r="E52" s="3">
        <v>32208.946962096757</v>
      </c>
      <c r="F52" s="3">
        <v>6058.1595833333349</v>
      </c>
      <c r="G52" s="3">
        <v>17389.477379838707</v>
      </c>
      <c r="H52" s="3">
        <v>68467.432403225859</v>
      </c>
      <c r="I52" s="3">
        <v>68778.135704166649</v>
      </c>
      <c r="J52" s="3">
        <v>78862.340526612898</v>
      </c>
      <c r="K52" s="3">
        <v>91419.354338333258</v>
      </c>
      <c r="L52" s="3">
        <v>43487.960041723876</v>
      </c>
      <c r="M52" s="3">
        <v>24255.222550806458</v>
      </c>
      <c r="N52" s="3">
        <v>15362.264232142858</v>
      </c>
      <c r="O52" s="3">
        <v>1615.7098322580648</v>
      </c>
      <c r="P52" s="9"/>
      <c r="Q52" s="3">
        <f t="shared" si="31"/>
        <v>24269.967998076922</v>
      </c>
      <c r="R52" s="3">
        <f t="shared" si="32"/>
        <v>51357.698634782624</v>
      </c>
      <c r="S52" s="3">
        <f t="shared" si="33"/>
        <v>71037.390736613452</v>
      </c>
      <c r="T52" s="3">
        <f t="shared" si="34"/>
        <v>13690.470026388892</v>
      </c>
      <c r="U52" s="3">
        <f t="shared" si="76"/>
        <v>40276.870170872426</v>
      </c>
    </row>
    <row r="53" spans="1:32" x14ac:dyDescent="0.2">
      <c r="A53" s="14" t="s">
        <v>41</v>
      </c>
      <c r="B53" s="14" t="s">
        <v>16</v>
      </c>
      <c r="C53" s="20" t="s">
        <v>14</v>
      </c>
      <c r="D53" s="15">
        <f>SUM(D50:D52)</f>
        <v>108319.83352416678</v>
      </c>
      <c r="E53" s="15">
        <f t="shared" ref="E53:N53" si="87">SUM(E50:E52)</f>
        <v>95757.73049838694</v>
      </c>
      <c r="F53" s="15">
        <f t="shared" si="87"/>
        <v>90002.442758333593</v>
      </c>
      <c r="G53" s="15">
        <f t="shared" si="87"/>
        <v>96746.581180645415</v>
      </c>
      <c r="H53" s="15">
        <f t="shared" si="87"/>
        <v>115354.43268064532</v>
      </c>
      <c r="I53" s="15">
        <f t="shared" si="87"/>
        <v>127711.48931583333</v>
      </c>
      <c r="J53" s="15">
        <f t="shared" si="87"/>
        <v>126698.77854758059</v>
      </c>
      <c r="K53" s="15">
        <f t="shared" si="87"/>
        <v>130703.15924749988</v>
      </c>
      <c r="L53" s="15">
        <f t="shared" si="87"/>
        <v>111820.9619739819</v>
      </c>
      <c r="M53" s="15">
        <f t="shared" si="87"/>
        <v>114148.33948145199</v>
      </c>
      <c r="N53" s="15">
        <f t="shared" si="87"/>
        <v>113000.27377053608</v>
      </c>
      <c r="O53" s="15">
        <f>SUM(O50:O52)</f>
        <v>94384.017023387176</v>
      </c>
      <c r="P53" s="9"/>
      <c r="Q53" s="15">
        <f t="shared" si="31"/>
        <v>98001.735537637433</v>
      </c>
      <c r="R53" s="15">
        <f t="shared" si="32"/>
        <v>113113.8707519023</v>
      </c>
      <c r="S53" s="15">
        <f t="shared" si="33"/>
        <v>122991.37753905906</v>
      </c>
      <c r="T53" s="15">
        <f t="shared" si="34"/>
        <v>106983.45241361138</v>
      </c>
      <c r="U53" s="15">
        <f>SUMPRODUCT(D53:O53,$D$2:$O$2)/SUM($D$2:$O$2)</f>
        <v>110324.2506682698</v>
      </c>
    </row>
    <row r="54" spans="1:32" x14ac:dyDescent="0.2">
      <c r="A54" s="4" t="s">
        <v>17</v>
      </c>
      <c r="B54" s="5" t="s">
        <v>16</v>
      </c>
      <c r="C54" s="2" t="s">
        <v>32</v>
      </c>
      <c r="D54" s="3">
        <v>51392</v>
      </c>
      <c r="E54" s="3">
        <v>47620</v>
      </c>
      <c r="F54" s="3">
        <v>61977.223001666702</v>
      </c>
      <c r="G54" s="3">
        <v>65606.882574999734</v>
      </c>
      <c r="H54" s="3">
        <v>78341.474220967939</v>
      </c>
      <c r="I54" s="3">
        <v>77648.02392999985</v>
      </c>
      <c r="J54" s="3">
        <v>67093.899721774258</v>
      </c>
      <c r="K54" s="3">
        <v>69662.999999999505</v>
      </c>
      <c r="L54" s="3">
        <v>71693.853556451388</v>
      </c>
      <c r="M54" s="3">
        <v>73214.884210483811</v>
      </c>
      <c r="N54" s="3">
        <v>94661.404905356962</v>
      </c>
      <c r="O54" s="3">
        <v>96116.453516129011</v>
      </c>
      <c r="P54" s="9"/>
      <c r="Q54" s="3">
        <f t="shared" si="31"/>
        <v>53596.666923626384</v>
      </c>
      <c r="R54" s="3">
        <f t="shared" si="32"/>
        <v>73824.345419293415</v>
      </c>
      <c r="S54" s="3">
        <f t="shared" si="33"/>
        <v>69481.634256793273</v>
      </c>
      <c r="T54" s="3">
        <f t="shared" si="34"/>
        <v>87775.453409722148</v>
      </c>
      <c r="U54" s="3">
        <f t="shared" si="76"/>
        <v>71126.678430479369</v>
      </c>
      <c r="V54" s="25">
        <f>SUMPRODUCT(D54:I54,$D$2:$I$2)/SUM($D$2:$I$2)</f>
        <v>63765.773052595599</v>
      </c>
    </row>
    <row r="55" spans="1:32" x14ac:dyDescent="0.2">
      <c r="A55" s="4" t="s">
        <v>39</v>
      </c>
      <c r="B55" s="5" t="s">
        <v>16</v>
      </c>
      <c r="C55" s="2" t="s">
        <v>32</v>
      </c>
      <c r="D55" s="3">
        <v>23130</v>
      </c>
      <c r="E55" s="3">
        <v>17198</v>
      </c>
      <c r="F55" s="3">
        <v>18854.244416666672</v>
      </c>
      <c r="G55" s="3">
        <v>16256.436838709678</v>
      </c>
      <c r="H55" s="3">
        <v>15822.135677419354</v>
      </c>
      <c r="I55" s="3">
        <v>16487.56706666667</v>
      </c>
      <c r="J55" s="3">
        <v>20587.368379032258</v>
      </c>
      <c r="K55" s="3">
        <v>11162.174032500465</v>
      </c>
      <c r="L55" s="3">
        <v>25629.069693548387</v>
      </c>
      <c r="M55" s="3">
        <v>29164.876951612907</v>
      </c>
      <c r="N55" s="3">
        <v>20496.714910714283</v>
      </c>
      <c r="O55" s="3">
        <v>36475.808645161291</v>
      </c>
      <c r="P55" s="9"/>
      <c r="Q55" s="3">
        <f t="shared" ref="Q55" si="88">SUMPRODUCT(D55:F55,$D$2:$F$2)/SUM($D$2:$F$2)</f>
        <v>19699.61903846154</v>
      </c>
      <c r="R55" s="3">
        <f t="shared" ref="R55" si="89">SUMPRODUCT(G55:I55,$G$2:$I$2)/SUM($G$2:$I$2)</f>
        <v>16185.464782608697</v>
      </c>
      <c r="S55" s="3">
        <f t="shared" ref="S55" si="90">SUMPRODUCT(J55:L55,$J$2:$L$2)/SUM($J$2:$L$2)</f>
        <v>19212.76957853276</v>
      </c>
      <c r="T55" s="3">
        <f t="shared" ref="T55" si="91">SUMPRODUCT(M55:O55,$M$2:$O$2)/SUM($M$2:$O$2)</f>
        <v>28986.325233333337</v>
      </c>
      <c r="U55" s="3">
        <f t="shared" ref="U55" si="92">SUMPRODUCT(D55:O55,$D$2:$O$2)/SUM($D$2:$O$2)</f>
        <v>20981.019629383602</v>
      </c>
      <c r="V55" s="25">
        <f t="shared" ref="V55:V58" si="93">SUMPRODUCT(D55:I55,$D$2:$I$2)/SUM($D$2:$I$2)</f>
        <v>17932.940396174861</v>
      </c>
    </row>
    <row r="56" spans="1:32" x14ac:dyDescent="0.2">
      <c r="A56" s="4" t="s">
        <v>18</v>
      </c>
      <c r="B56" s="5" t="s">
        <v>16</v>
      </c>
      <c r="C56" s="2" t="s">
        <v>32</v>
      </c>
      <c r="D56" s="3">
        <v>27394.822965000007</v>
      </c>
      <c r="E56" s="3">
        <v>65025.55241774195</v>
      </c>
      <c r="F56" s="3">
        <v>9998.2221883333314</v>
      </c>
      <c r="G56" s="3">
        <v>0</v>
      </c>
      <c r="H56" s="3">
        <v>9688.7589596774196</v>
      </c>
      <c r="I56" s="3">
        <v>1013.9800666666667</v>
      </c>
      <c r="J56" s="3">
        <v>10940.374673387105</v>
      </c>
      <c r="K56" s="3">
        <v>4034.8524749999988</v>
      </c>
      <c r="L56" s="3">
        <v>12859.940320161282</v>
      </c>
      <c r="M56" s="3">
        <v>5450.3475846774181</v>
      </c>
      <c r="N56" s="3">
        <v>1187.2019107142855</v>
      </c>
      <c r="O56" s="3">
        <v>11343.191808064514</v>
      </c>
      <c r="P56" s="9"/>
      <c r="Q56" s="3">
        <f t="shared" si="31"/>
        <v>34478.939335714291</v>
      </c>
      <c r="R56" s="3">
        <f t="shared" si="32"/>
        <v>3595.3361929347825</v>
      </c>
      <c r="S56" s="3">
        <f t="shared" si="33"/>
        <v>9335.3841201086943</v>
      </c>
      <c r="T56" s="3">
        <f t="shared" si="34"/>
        <v>6153.7930519444426</v>
      </c>
      <c r="U56" s="3">
        <f t="shared" si="76"/>
        <v>13372.742802808219</v>
      </c>
      <c r="V56" s="25">
        <f t="shared" si="93"/>
        <v>18952.756334972681</v>
      </c>
    </row>
    <row r="57" spans="1:32" x14ac:dyDescent="0.2">
      <c r="A57" s="4" t="s">
        <v>33</v>
      </c>
      <c r="B57" s="5" t="s">
        <v>16</v>
      </c>
      <c r="C57" s="2" t="s">
        <v>32</v>
      </c>
      <c r="D57" s="3">
        <v>12634.343333333331</v>
      </c>
      <c r="E57" s="3">
        <v>30340.315322580653</v>
      </c>
      <c r="F57" s="3">
        <v>54853.190833333327</v>
      </c>
      <c r="G57" s="3">
        <v>51277.952419354842</v>
      </c>
      <c r="H57" s="3">
        <v>40260.9685483871</v>
      </c>
      <c r="I57" s="3">
        <v>36128.515833333331</v>
      </c>
      <c r="J57" s="3">
        <v>30607.310483870988</v>
      </c>
      <c r="K57" s="3">
        <v>43724.296666666676</v>
      </c>
      <c r="L57" s="3">
        <v>34442.104838709682</v>
      </c>
      <c r="M57" s="3">
        <v>26239.241935483868</v>
      </c>
      <c r="N57" s="3">
        <v>19194.017946428572</v>
      </c>
      <c r="O57" s="3">
        <v>6887.0967741935483</v>
      </c>
      <c r="P57" s="9"/>
      <c r="Q57" s="3">
        <f t="shared" si="31"/>
        <v>32584.349450549449</v>
      </c>
      <c r="R57" s="3">
        <f t="shared" si="32"/>
        <v>42625.674184782612</v>
      </c>
      <c r="S57" s="3">
        <f t="shared" si="33"/>
        <v>36176.747554347843</v>
      </c>
      <c r="T57" s="3">
        <f t="shared" si="34"/>
        <v>17381.655583333333</v>
      </c>
      <c r="U57" s="3">
        <f t="shared" si="76"/>
        <v>32272.185212328768</v>
      </c>
      <c r="V57" s="25">
        <f>SUMPRODUCT(D57:I57,$D$2:$I$2)/SUM($D$2:$I$2)</f>
        <v>37632.447131147543</v>
      </c>
    </row>
    <row r="58" spans="1:32" x14ac:dyDescent="0.2">
      <c r="A58" s="14" t="s">
        <v>41</v>
      </c>
      <c r="B58" s="14" t="s">
        <v>16</v>
      </c>
      <c r="C58" s="20" t="s">
        <v>32</v>
      </c>
      <c r="D58" s="15">
        <f>SUM(D54:D57)</f>
        <v>114551.16629833332</v>
      </c>
      <c r="E58" s="15">
        <f t="shared" ref="E58:O58" si="94">SUM(E54:E57)</f>
        <v>160183.8677403226</v>
      </c>
      <c r="F58" s="15">
        <f t="shared" si="94"/>
        <v>145682.88044000004</v>
      </c>
      <c r="G58" s="15">
        <f t="shared" si="94"/>
        <v>133141.27183306427</v>
      </c>
      <c r="H58" s="15">
        <f t="shared" si="94"/>
        <v>144113.33740645181</v>
      </c>
      <c r="I58" s="15">
        <f t="shared" si="94"/>
        <v>131278.08689666653</v>
      </c>
      <c r="J58" s="15">
        <f t="shared" si="94"/>
        <v>129228.9532580646</v>
      </c>
      <c r="K58" s="15">
        <f t="shared" si="94"/>
        <v>128584.32317416664</v>
      </c>
      <c r="L58" s="15">
        <f t="shared" si="94"/>
        <v>144624.96840887074</v>
      </c>
      <c r="M58" s="15">
        <f t="shared" si="94"/>
        <v>134069.35068225802</v>
      </c>
      <c r="N58" s="15">
        <f t="shared" si="94"/>
        <v>135539.3396732141</v>
      </c>
      <c r="O58" s="15">
        <f t="shared" si="94"/>
        <v>150822.55074354837</v>
      </c>
      <c r="P58" s="9"/>
      <c r="Q58" s="15">
        <f t="shared" si="31"/>
        <v>140359.57474835168</v>
      </c>
      <c r="R58" s="15">
        <f t="shared" si="32"/>
        <v>136230.82057961953</v>
      </c>
      <c r="S58" s="15">
        <f t="shared" si="33"/>
        <v>134206.53550978255</v>
      </c>
      <c r="T58" s="15">
        <f t="shared" si="34"/>
        <v>140297.22727833327</v>
      </c>
      <c r="U58" s="15">
        <f>SUMPRODUCT(D58:O58,$D$2:$O$2)/SUM($D$2:$O$2)+93</f>
        <v>137845.62607499998</v>
      </c>
      <c r="V58" s="25">
        <f t="shared" si="93"/>
        <v>138283.91691489069</v>
      </c>
      <c r="W58" s="166"/>
    </row>
    <row r="59" spans="1:32" x14ac:dyDescent="0.2">
      <c r="A59" s="4" t="s">
        <v>17</v>
      </c>
      <c r="B59" s="5" t="s">
        <v>16</v>
      </c>
      <c r="C59" s="2" t="s">
        <v>38</v>
      </c>
      <c r="D59" s="3">
        <v>87895.732890000378</v>
      </c>
      <c r="E59" s="3">
        <v>69914.996244355309</v>
      </c>
      <c r="F59" s="3">
        <v>75462.006949166345</v>
      </c>
      <c r="G59" s="3">
        <v>95041.619526612674</v>
      </c>
      <c r="H59" s="3">
        <v>89227.186295967898</v>
      </c>
      <c r="I59" s="3">
        <v>108755.08388583339</v>
      </c>
      <c r="J59" s="3">
        <v>113032.22824193577</v>
      </c>
      <c r="K59" s="3">
        <v>96721.243084999995</v>
      </c>
      <c r="L59" s="3">
        <v>119643.97334193499</v>
      </c>
      <c r="M59" s="3">
        <v>129562.56392661162</v>
      </c>
      <c r="N59" s="78">
        <v>151457.72256379298</v>
      </c>
      <c r="O59" s="78">
        <v>139198.02271209724</v>
      </c>
      <c r="P59" s="9"/>
      <c r="Q59" s="3">
        <f t="shared" si="31"/>
        <v>77671.396469780404</v>
      </c>
      <c r="R59" s="3">
        <f t="shared" si="32"/>
        <v>97554.190185597821</v>
      </c>
      <c r="S59" s="3">
        <f t="shared" si="33"/>
        <v>109941.2993657608</v>
      </c>
      <c r="T59" s="3">
        <f>SUMPRODUCT(M59:O59,$M$3:$O$3)/SUM($M$3:$O$3)</f>
        <v>139822.55099065902</v>
      </c>
      <c r="U59" s="3">
        <f>SUMPRODUCT(D59:O59,D$3:O$3)/SUM($D$3:$O$3)+9</f>
        <v>106242.70015744532</v>
      </c>
      <c r="V59" s="25">
        <f>SUMPRODUCT(D59:I59,$D$3:$I$3)/SUM($D$3:$I$3)</f>
        <v>87667.117900683137</v>
      </c>
      <c r="W59" s="183"/>
      <c r="X59" s="183"/>
      <c r="Y59" s="183"/>
    </row>
    <row r="60" spans="1:32" x14ac:dyDescent="0.2">
      <c r="A60" s="4" t="s">
        <v>39</v>
      </c>
      <c r="B60" s="5" t="s">
        <v>16</v>
      </c>
      <c r="C60" s="2" t="s">
        <v>38</v>
      </c>
      <c r="D60" s="3">
        <v>44467.28333333334</v>
      </c>
      <c r="E60" s="3">
        <v>38013.14274193548</v>
      </c>
      <c r="F60" s="3">
        <v>34917.697500000017</v>
      </c>
      <c r="G60" s="3">
        <v>22173.238709677418</v>
      </c>
      <c r="H60" s="3">
        <v>13835.112903225809</v>
      </c>
      <c r="I60" s="3">
        <v>17178.916666666668</v>
      </c>
      <c r="J60" s="3">
        <v>12498.120967741936</v>
      </c>
      <c r="K60" s="3">
        <v>8436.6208333333343</v>
      </c>
      <c r="L60" s="3">
        <v>6859.040322580644</v>
      </c>
      <c r="M60" s="3">
        <v>14195.201612903227</v>
      </c>
      <c r="N60" s="78">
        <v>6598.6120689655163</v>
      </c>
      <c r="O60" s="78">
        <v>10906.012096774193</v>
      </c>
      <c r="P60" s="9"/>
      <c r="Q60" s="3">
        <f t="shared" si="31"/>
        <v>39120.40494505495</v>
      </c>
      <c r="R60" s="3">
        <f t="shared" si="32"/>
        <v>17735.069565217389</v>
      </c>
      <c r="S60" s="3">
        <f t="shared" si="33"/>
        <v>9273.59375</v>
      </c>
      <c r="T60" s="3">
        <f t="shared" ref="T60:T63" si="95">SUMPRODUCT(M60:O60,$M$3:$O$3)/SUM($M$3:$O$3)</f>
        <v>10653.817307692309</v>
      </c>
      <c r="U60" s="3">
        <f t="shared" ref="U60" si="96">SUMPRODUCT(D60:O60,D$3:O$3)/SUM($D$3:$O$3)</f>
        <v>19164.620901639344</v>
      </c>
      <c r="V60" s="25">
        <f t="shared" ref="V60:V63" si="97">SUMPRODUCT(D60:I60,$D$3:$I$3)/SUM($D$3:$I$3)</f>
        <v>28369.307377049179</v>
      </c>
      <c r="W60" s="183"/>
      <c r="X60" s="183"/>
      <c r="Y60" s="183"/>
    </row>
    <row r="61" spans="1:32" x14ac:dyDescent="0.2">
      <c r="A61" s="4" t="s">
        <v>18</v>
      </c>
      <c r="B61" s="5" t="s">
        <v>16</v>
      </c>
      <c r="C61" s="2" t="s">
        <v>38</v>
      </c>
      <c r="D61" s="3">
        <v>3085.0374999999999</v>
      </c>
      <c r="E61" s="3">
        <v>19122.774999999998</v>
      </c>
      <c r="F61" s="3">
        <v>0</v>
      </c>
      <c r="G61" s="3">
        <v>0</v>
      </c>
      <c r="H61" s="3">
        <v>9244.9395161290304</v>
      </c>
      <c r="I61" s="3">
        <v>7654.9041666666662</v>
      </c>
      <c r="J61" s="3">
        <v>6028.3266129032245</v>
      </c>
      <c r="K61" s="3">
        <v>25145.633333333331</v>
      </c>
      <c r="L61" s="3">
        <v>19320.411290322583</v>
      </c>
      <c r="M61" s="3">
        <v>13046.157258064513</v>
      </c>
      <c r="N61" s="78">
        <v>0</v>
      </c>
      <c r="O61" s="78">
        <v>12475.189516129034</v>
      </c>
      <c r="P61" s="9"/>
      <c r="Q61" s="3">
        <f t="shared" si="31"/>
        <v>7531.3972527472515</v>
      </c>
      <c r="R61" s="3">
        <f t="shared" si="32"/>
        <v>5611.307065217391</v>
      </c>
      <c r="S61" s="3">
        <f t="shared" si="33"/>
        <v>16741.085597826088</v>
      </c>
      <c r="T61" s="3">
        <f t="shared" si="95"/>
        <v>8694.0851648351654</v>
      </c>
      <c r="U61" s="3">
        <f>SUMPRODUCT(D61:O61,D$3:O$3)/SUM($D$3:$O$3)</f>
        <v>9652.8388661202189</v>
      </c>
      <c r="V61" s="25">
        <f t="shared" si="97"/>
        <v>6566.106010928961</v>
      </c>
      <c r="W61" s="166"/>
      <c r="X61" s="183"/>
      <c r="Y61" s="183"/>
    </row>
    <row r="62" spans="1:32" x14ac:dyDescent="0.2">
      <c r="A62" s="4" t="s">
        <v>33</v>
      </c>
      <c r="B62" s="5" t="s">
        <v>16</v>
      </c>
      <c r="C62" s="2" t="s">
        <v>38</v>
      </c>
      <c r="D62" s="3">
        <v>688.25250000000005</v>
      </c>
      <c r="E62" s="3">
        <v>23216.820994354843</v>
      </c>
      <c r="F62" s="3">
        <v>29246.670833333341</v>
      </c>
      <c r="G62" s="3">
        <v>19691.306451612891</v>
      </c>
      <c r="H62" s="3">
        <v>5089.6814516129025</v>
      </c>
      <c r="I62" s="3">
        <v>2185.9666666666667</v>
      </c>
      <c r="J62" s="3">
        <v>4697.8064516129016</v>
      </c>
      <c r="K62" s="3">
        <v>-275.65833333333336</v>
      </c>
      <c r="L62" s="3">
        <v>0</v>
      </c>
      <c r="M62" s="3">
        <v>0</v>
      </c>
      <c r="N62" s="78">
        <v>0</v>
      </c>
      <c r="O62" s="78">
        <v>0</v>
      </c>
      <c r="P62" s="9"/>
      <c r="Q62" s="3">
        <f t="shared" si="31"/>
        <v>17777.682976098906</v>
      </c>
      <c r="R62" s="3">
        <f t="shared" si="32"/>
        <v>9062.9307065217345</v>
      </c>
      <c r="S62" s="3">
        <f t="shared" si="33"/>
        <v>1493.0679347826081</v>
      </c>
      <c r="T62" s="3">
        <f t="shared" si="95"/>
        <v>0</v>
      </c>
      <c r="U62" s="3">
        <f>SUMPRODUCT(D62:O62,D$3:O$3)/SUM($D$3:$O$3)</f>
        <v>7073.5547153688522</v>
      </c>
      <c r="V62" s="25">
        <f t="shared" si="97"/>
        <v>13396.496042759562</v>
      </c>
      <c r="W62" s="183"/>
      <c r="X62" s="183"/>
      <c r="Y62" s="183"/>
    </row>
    <row r="63" spans="1:32" x14ac:dyDescent="0.2">
      <c r="A63" s="14" t="s">
        <v>41</v>
      </c>
      <c r="B63" s="14" t="s">
        <v>16</v>
      </c>
      <c r="C63" s="20" t="s">
        <v>38</v>
      </c>
      <c r="D63" s="15">
        <f>SUM(D59:D62)</f>
        <v>136136.30622333373</v>
      </c>
      <c r="E63" s="15">
        <f t="shared" ref="E63:N63" si="98">SUM(E59:E62)</f>
        <v>150267.73498064562</v>
      </c>
      <c r="F63" s="15">
        <f t="shared" si="98"/>
        <v>139626.37528249971</v>
      </c>
      <c r="G63" s="15">
        <f t="shared" si="98"/>
        <v>136906.16468790299</v>
      </c>
      <c r="H63" s="15">
        <f t="shared" si="98"/>
        <v>117396.92016693564</v>
      </c>
      <c r="I63" s="15">
        <f t="shared" si="98"/>
        <v>135774.87138583339</v>
      </c>
      <c r="J63" s="15">
        <f t="shared" si="98"/>
        <v>136256.48227419384</v>
      </c>
      <c r="K63" s="15">
        <f t="shared" si="98"/>
        <v>130027.83891833332</v>
      </c>
      <c r="L63" s="15">
        <f t="shared" si="98"/>
        <v>145823.42495483821</v>
      </c>
      <c r="M63" s="15">
        <f t="shared" si="98"/>
        <v>156803.92279757935</v>
      </c>
      <c r="N63" s="15">
        <f t="shared" si="98"/>
        <v>158056.33463275849</v>
      </c>
      <c r="O63" s="56">
        <f>SUM(O59:O62)</f>
        <v>162579.22432500045</v>
      </c>
      <c r="P63" s="9"/>
      <c r="Q63" s="15">
        <f t="shared" si="31"/>
        <v>142100.8816436815</v>
      </c>
      <c r="R63" s="15">
        <f t="shared" si="32"/>
        <v>129963.49752255435</v>
      </c>
      <c r="S63" s="15">
        <f t="shared" si="33"/>
        <v>137449.04664836949</v>
      </c>
      <c r="T63" s="15">
        <f t="shared" si="95"/>
        <v>159170.45346318651</v>
      </c>
      <c r="U63" s="15">
        <f>SUMPRODUCT(D63:O63,D$3:O$3)/SUM($D$3:$O$3)+9</f>
        <v>142133.71464057371</v>
      </c>
      <c r="V63" s="25">
        <f t="shared" si="97"/>
        <v>135999.02733142083</v>
      </c>
    </row>
    <row r="64" spans="1:32" x14ac:dyDescent="0.2">
      <c r="A64" s="4" t="s">
        <v>17</v>
      </c>
      <c r="B64" s="5" t="s">
        <v>16</v>
      </c>
      <c r="C64" s="2" t="s">
        <v>98</v>
      </c>
      <c r="D64" s="3">
        <v>97536.888497499254</v>
      </c>
      <c r="E64" s="3">
        <v>95713.511037097109</v>
      </c>
      <c r="F64" s="3">
        <v>91584.800545832826</v>
      </c>
      <c r="G64" s="3">
        <v>94086.485159677177</v>
      </c>
      <c r="H64" s="3">
        <v>97235.514708870629</v>
      </c>
      <c r="I64" s="3">
        <v>112611.96266083368</v>
      </c>
      <c r="J64" s="3">
        <v>101898.71079274263</v>
      </c>
      <c r="K64" s="78">
        <v>82124.764859166549</v>
      </c>
      <c r="L64" s="78">
        <v>115261.39256790291</v>
      </c>
      <c r="M64" s="78">
        <v>140831.89134467617</v>
      </c>
      <c r="N64" s="78">
        <v>157723.76043499977</v>
      </c>
      <c r="O64" s="78">
        <v>143817.22864225696</v>
      </c>
      <c r="P64" s="9"/>
      <c r="Q64" s="3">
        <f t="shared" ref="Q64:Q68" si="99">SUMPRODUCT(D64:F64,$D$2:$F$2)/SUM($D$2:$F$2)</f>
        <v>94953.511136812886</v>
      </c>
      <c r="R64" s="3">
        <f t="shared" ref="R64:R68" si="100">SUMPRODUCT(G64:I64,$G$2:$I$2)/SUM($G$2:$I$2)</f>
        <v>101188.48777989122</v>
      </c>
      <c r="S64" s="3">
        <f t="shared" ref="S64:S68" si="101">SUMPRODUCT(J64:L64,$J$2:$L$2)/SUM($J$2:$L$2)</f>
        <v>99953.327716902262</v>
      </c>
      <c r="T64" s="3">
        <f>SUMPRODUCT(M64:O64,$M$2:$O$2)/SUM($M$2:$O$2)</f>
        <v>147115.42235305466</v>
      </c>
      <c r="U64" s="3">
        <f>SUMPRODUCT(D64:O64,D$2:O$2)/SUM($D$2:$O$2)+9</f>
        <v>110656.13575597233</v>
      </c>
      <c r="V64" s="25">
        <f t="shared" ref="V64:V68" si="102">SUMPRODUCT(D64:I64,$D$2:$I$2)/SUM($D$2:$I$2)</f>
        <v>98088.034913661002</v>
      </c>
      <c r="W64" s="183"/>
      <c r="X64" s="183"/>
      <c r="Y64" s="183"/>
      <c r="Z64" s="166"/>
      <c r="AA64" s="166"/>
      <c r="AB64" s="166"/>
      <c r="AC64" s="166"/>
      <c r="AD64" s="166"/>
      <c r="AE64" s="166"/>
      <c r="AF64" s="166"/>
    </row>
    <row r="65" spans="1:32" x14ac:dyDescent="0.2">
      <c r="A65" s="4" t="s">
        <v>39</v>
      </c>
      <c r="B65" s="5" t="s">
        <v>16</v>
      </c>
      <c r="C65" s="2" t="s">
        <v>98</v>
      </c>
      <c r="D65" s="3">
        <v>8889.7958333333336</v>
      </c>
      <c r="E65" s="3">
        <v>8136.4153225806422</v>
      </c>
      <c r="F65" s="3">
        <v>5175.6208333333334</v>
      </c>
      <c r="G65" s="3">
        <v>4989.7459677419338</v>
      </c>
      <c r="H65" s="3">
        <v>509.97580645161287</v>
      </c>
      <c r="I65" s="3">
        <v>6171.8791666666657</v>
      </c>
      <c r="J65" s="3">
        <v>1774.0080645161293</v>
      </c>
      <c r="K65" s="78">
        <v>1446.1999999999998</v>
      </c>
      <c r="L65" s="78">
        <v>1529.1451612903222</v>
      </c>
      <c r="M65" s="78">
        <v>912.3387096774195</v>
      </c>
      <c r="N65" s="78">
        <v>0</v>
      </c>
      <c r="O65" s="78">
        <v>420.17741935483866</v>
      </c>
      <c r="P65" s="9"/>
      <c r="Q65" s="3">
        <f t="shared" si="99"/>
        <v>7408.6964285714275</v>
      </c>
      <c r="R65" s="3">
        <f t="shared" si="100"/>
        <v>3865.7364130434771</v>
      </c>
      <c r="S65" s="3">
        <f t="shared" si="101"/>
        <v>1584.6059782608695</v>
      </c>
      <c r="T65" s="3">
        <f t="shared" ref="T65:T73" si="103">SUMPRODUCT(M65:O65,$M$2:$O$2)/SUM($M$2:$O$2)</f>
        <v>458.97777777777776</v>
      </c>
      <c r="U65" s="3">
        <f>SUMPRODUCT(D65:O65,D$2:O$2)/SUM($D$2:$O$2)</f>
        <v>3334.0571917808211</v>
      </c>
      <c r="V65" s="25">
        <f t="shared" si="102"/>
        <v>5627.5362021857909</v>
      </c>
      <c r="W65" s="183"/>
      <c r="X65" s="183"/>
      <c r="Y65" s="183"/>
    </row>
    <row r="66" spans="1:32" x14ac:dyDescent="0.2">
      <c r="A66" s="4" t="s">
        <v>18</v>
      </c>
      <c r="B66" s="5" t="s">
        <v>16</v>
      </c>
      <c r="C66" s="2" t="s">
        <v>98</v>
      </c>
      <c r="D66" s="3">
        <v>55765.15833333334</v>
      </c>
      <c r="E66" s="3">
        <v>39851.125544354843</v>
      </c>
      <c r="F66" s="3">
        <v>40137.860775000016</v>
      </c>
      <c r="G66" s="3">
        <v>45035.468419354846</v>
      </c>
      <c r="H66" s="3">
        <v>65143.370927419353</v>
      </c>
      <c r="I66" s="3">
        <v>36219.048683333342</v>
      </c>
      <c r="J66" s="3">
        <v>44068.201645161294</v>
      </c>
      <c r="K66" s="78">
        <v>82514.985849999997</v>
      </c>
      <c r="L66" s="78">
        <v>47896.033629032259</v>
      </c>
      <c r="M66" s="78">
        <v>29516.205459677411</v>
      </c>
      <c r="N66" s="78">
        <v>2562.821428571428</v>
      </c>
      <c r="O66" s="78">
        <v>1699.7580645161288</v>
      </c>
      <c r="P66" s="9"/>
      <c r="Q66" s="3">
        <f t="shared" si="99"/>
        <v>45192.038078296711</v>
      </c>
      <c r="R66" s="3">
        <f t="shared" si="100"/>
        <v>48936.03782880435</v>
      </c>
      <c r="S66" s="3">
        <f t="shared" si="101"/>
        <v>57895.009445652177</v>
      </c>
      <c r="T66" s="3">
        <f t="shared" si="103"/>
        <v>11549.487436111109</v>
      </c>
      <c r="U66" s="3">
        <f t="shared" ref="U66:U73" si="104">SUMPRODUCT(D66:O66,D$2:O$2)/SUM($D$2:$O$2)</f>
        <v>41042.152557876725</v>
      </c>
      <c r="V66" s="25">
        <f t="shared" si="102"/>
        <v>47074.267461065589</v>
      </c>
      <c r="W66" s="183">
        <f>V66+V65</f>
        <v>52701.803663251383</v>
      </c>
      <c r="X66" s="183"/>
      <c r="Y66" s="183"/>
    </row>
    <row r="67" spans="1:32" x14ac:dyDescent="0.2">
      <c r="A67" s="4" t="s">
        <v>33</v>
      </c>
      <c r="B67" s="5" t="s">
        <v>16</v>
      </c>
      <c r="C67" s="2" t="s">
        <v>98</v>
      </c>
      <c r="D67" s="3">
        <v>-2589.2500000000009</v>
      </c>
      <c r="E67" s="3">
        <v>4239.4838709677424</v>
      </c>
      <c r="F67" s="3">
        <v>4183.541666666667</v>
      </c>
      <c r="G67" s="3">
        <v>4121.4254032258104</v>
      </c>
      <c r="H67" s="3">
        <v>-1569.1270161290322</v>
      </c>
      <c r="I67" s="3">
        <v>-436.84374999999994</v>
      </c>
      <c r="J67" s="3">
        <v>631.83467741935476</v>
      </c>
      <c r="K67" s="78">
        <v>-308.83333333333331</v>
      </c>
      <c r="L67" s="78">
        <v>0</v>
      </c>
      <c r="M67" s="78">
        <v>-2884.0040322580644</v>
      </c>
      <c r="N67" s="78">
        <v>-6417.3794642857165</v>
      </c>
      <c r="O67" s="78">
        <v>-4985</v>
      </c>
      <c r="P67" s="9"/>
      <c r="Q67" s="3">
        <f t="shared" si="99"/>
        <v>1969.8104395604396</v>
      </c>
      <c r="R67" s="3">
        <f t="shared" si="100"/>
        <v>717.5645380434795</v>
      </c>
      <c r="S67" s="3">
        <f t="shared" si="101"/>
        <v>112.19429347826083</v>
      </c>
      <c r="T67" s="3">
        <f t="shared" si="103"/>
        <v>-4706.9527777777785</v>
      </c>
      <c r="U67" s="3">
        <f t="shared" si="104"/>
        <v>-460.37037671232861</v>
      </c>
      <c r="V67" s="25">
        <f t="shared" si="102"/>
        <v>1340.2660519125689</v>
      </c>
      <c r="W67" s="183"/>
      <c r="X67" s="183"/>
      <c r="Y67" s="183"/>
    </row>
    <row r="68" spans="1:32" x14ac:dyDescent="0.2">
      <c r="A68" s="21" t="s">
        <v>41</v>
      </c>
      <c r="B68" s="21" t="s">
        <v>16</v>
      </c>
      <c r="C68" s="22" t="s">
        <v>98</v>
      </c>
      <c r="D68" s="23">
        <f>SUM(D64:D67)</f>
        <v>159602.59266416595</v>
      </c>
      <c r="E68" s="23">
        <f t="shared" ref="E68:N68" si="105">SUM(E64:E67)</f>
        <v>147940.53577500035</v>
      </c>
      <c r="F68" s="23">
        <f t="shared" si="105"/>
        <v>141081.82382083283</v>
      </c>
      <c r="G68" s="23">
        <f t="shared" si="105"/>
        <v>148233.12494999979</v>
      </c>
      <c r="H68" s="23">
        <f t="shared" si="105"/>
        <v>161319.73442661256</v>
      </c>
      <c r="I68" s="23">
        <f t="shared" si="105"/>
        <v>154566.04676083371</v>
      </c>
      <c r="J68" s="23">
        <f t="shared" si="105"/>
        <v>148372.75517983941</v>
      </c>
      <c r="K68" s="23">
        <f t="shared" si="105"/>
        <v>165777.11737583319</v>
      </c>
      <c r="L68" s="23">
        <f t="shared" si="105"/>
        <v>164686.57135822548</v>
      </c>
      <c r="M68" s="23">
        <f t="shared" si="105"/>
        <v>168376.43148177295</v>
      </c>
      <c r="N68" s="23">
        <f t="shared" si="105"/>
        <v>153869.20239928548</v>
      </c>
      <c r="O68" s="23">
        <f>SUM(O64:O67)</f>
        <v>140952.16412612793</v>
      </c>
      <c r="P68" s="9"/>
      <c r="Q68" s="23">
        <f t="shared" si="99"/>
        <v>149524.05608324151</v>
      </c>
      <c r="R68" s="23">
        <f t="shared" si="100"/>
        <v>154707.82655978252</v>
      </c>
      <c r="S68" s="23">
        <f t="shared" si="101"/>
        <v>159545.13743429355</v>
      </c>
      <c r="T68" s="23">
        <f t="shared" si="103"/>
        <v>154416.93478916577</v>
      </c>
      <c r="U68" s="23">
        <f>SUMPRODUCT(D68:O68,D$2:O$2)/SUM($D$2:$O$2)+9</f>
        <v>154571.97512891752</v>
      </c>
      <c r="V68" s="25">
        <f t="shared" si="102"/>
        <v>152130.10462882495</v>
      </c>
      <c r="W68" s="183"/>
      <c r="X68" s="183"/>
      <c r="Y68" s="183"/>
    </row>
    <row r="69" spans="1:32" x14ac:dyDescent="0.2">
      <c r="A69" s="4" t="s">
        <v>17</v>
      </c>
      <c r="B69" s="5" t="s">
        <v>16</v>
      </c>
      <c r="C69" s="2" t="s">
        <v>193</v>
      </c>
      <c r="D69" s="3">
        <v>109471.63043191654</v>
      </c>
      <c r="E69" s="3">
        <v>95074.547148064114</v>
      </c>
      <c r="F69" s="3">
        <v>113222.55035166629</v>
      </c>
      <c r="G69" s="3">
        <v>124738.04891048333</v>
      </c>
      <c r="H69" s="3">
        <v>109776.58954782196</v>
      </c>
      <c r="I69" s="3">
        <v>110663.23580966718</v>
      </c>
      <c r="J69" s="3">
        <v>98467.15278346806</v>
      </c>
      <c r="K69" s="78">
        <v>95212.03572233356</v>
      </c>
      <c r="L69" s="78">
        <v>149273.97238572515</v>
      </c>
      <c r="M69" s="78">
        <v>146058.57930524182</v>
      </c>
      <c r="N69" s="78">
        <f>171733.930874911+18021</f>
        <v>189754.93087491099</v>
      </c>
      <c r="O69" s="78">
        <f>169198.662064357+19111</f>
        <v>188309.66206435699</v>
      </c>
      <c r="P69" s="9"/>
      <c r="Q69" s="3">
        <f t="shared" ref="Q69:Q73" si="106">SUMPRODUCT(D69:F69,$D$2:$F$2)/SUM($D$2:$F$2)</f>
        <v>105803.69653953266</v>
      </c>
      <c r="R69" s="3">
        <f t="shared" ref="R69:R73" si="107">SUMPRODUCT(G69:I69,$G$2:$I$2)/SUM($G$2:$I$2)</f>
        <v>115107.07463584216</v>
      </c>
      <c r="S69" s="3">
        <f t="shared" ref="S69:S73" si="108">SUMPRODUCT(J69:L69,$J$2:$L$2)/SUM($J$2:$L$2)</f>
        <v>114525.39078168473</v>
      </c>
      <c r="T69" s="3">
        <f t="shared" si="103"/>
        <v>174206.15052172303</v>
      </c>
      <c r="U69" s="3">
        <f>SUMPRODUCT(D69:O69,D$2:O$2)/SUM($D$2:$O$2)</f>
        <v>127213.36096017812</v>
      </c>
      <c r="V69" s="183"/>
      <c r="W69" s="183"/>
      <c r="X69" s="183"/>
      <c r="Y69" s="183"/>
      <c r="Z69" s="166"/>
      <c r="AA69" s="166"/>
      <c r="AB69" s="166"/>
      <c r="AC69" s="166"/>
      <c r="AD69" s="166"/>
      <c r="AE69" s="166"/>
      <c r="AF69" s="166"/>
    </row>
    <row r="70" spans="1:32" x14ac:dyDescent="0.2">
      <c r="A70" s="4" t="s">
        <v>39</v>
      </c>
      <c r="B70" s="5" t="s">
        <v>16</v>
      </c>
      <c r="C70" s="2" t="s">
        <v>193</v>
      </c>
      <c r="D70" s="3">
        <v>2428.1124999999997</v>
      </c>
      <c r="E70" s="3">
        <v>992.04032258064524</v>
      </c>
      <c r="F70" s="3">
        <v>6498.070833333335</v>
      </c>
      <c r="G70" s="3">
        <v>2151.5080645161288</v>
      </c>
      <c r="H70" s="3">
        <v>1797.4274193548388</v>
      </c>
      <c r="I70" s="3">
        <v>445.4666666666667</v>
      </c>
      <c r="J70" s="3">
        <v>9569.1612903225778</v>
      </c>
      <c r="K70" s="78">
        <v>12180.949999999997</v>
      </c>
      <c r="L70" s="78">
        <v>12037.358870967744</v>
      </c>
      <c r="M70" s="78">
        <v>20770.818548387098</v>
      </c>
      <c r="N70" s="78">
        <v>17021.678571428572</v>
      </c>
      <c r="O70" s="78">
        <v>14945.778225806447</v>
      </c>
      <c r="P70" s="9"/>
      <c r="Q70" s="3">
        <f t="shared" si="106"/>
        <v>3280.645604395605</v>
      </c>
      <c r="R70" s="3">
        <f t="shared" si="107"/>
        <v>1475.8804347826087</v>
      </c>
      <c r="S70" s="3">
        <f t="shared" si="108"/>
        <v>11252.506793478258</v>
      </c>
      <c r="T70" s="3">
        <f t="shared" si="103"/>
        <v>17598.016666666666</v>
      </c>
      <c r="U70" s="3">
        <f t="shared" si="104"/>
        <v>8365.4023972602736</v>
      </c>
      <c r="V70" s="183"/>
      <c r="W70" s="183"/>
      <c r="X70" s="183"/>
      <c r="Y70" s="183"/>
    </row>
    <row r="71" spans="1:32" x14ac:dyDescent="0.2">
      <c r="A71" s="4" t="s">
        <v>18</v>
      </c>
      <c r="B71" s="5" t="s">
        <v>16</v>
      </c>
      <c r="C71" s="2" t="s">
        <v>193</v>
      </c>
      <c r="D71" s="3">
        <v>53308.337500000001</v>
      </c>
      <c r="E71" s="3">
        <v>91302.971774193531</v>
      </c>
      <c r="F71" s="3">
        <v>43488.825833333329</v>
      </c>
      <c r="G71" s="3">
        <v>33790.100806451606</v>
      </c>
      <c r="H71" s="3">
        <v>104495.89156451612</v>
      </c>
      <c r="I71" s="3">
        <v>95776.223691666673</v>
      </c>
      <c r="J71" s="3">
        <v>80495.498983870959</v>
      </c>
      <c r="K71" s="78">
        <v>89907.931633333326</v>
      </c>
      <c r="L71" s="78">
        <v>28029.53629032258</v>
      </c>
      <c r="M71" s="78">
        <v>40480.10887096775</v>
      </c>
      <c r="N71" s="78">
        <v>27530.602678571428</v>
      </c>
      <c r="O71" s="78">
        <v>33095.495967741932</v>
      </c>
      <c r="P71" s="9"/>
      <c r="Q71" s="3">
        <f t="shared" si="106"/>
        <v>63014.36291208792</v>
      </c>
      <c r="R71" s="3">
        <f t="shared" si="107"/>
        <v>77827.744285326087</v>
      </c>
      <c r="S71" s="3">
        <f t="shared" si="108"/>
        <v>65886.022201086947</v>
      </c>
      <c r="T71" s="3">
        <f t="shared" si="103"/>
        <v>33907.784722222219</v>
      </c>
      <c r="U71" s="3">
        <f t="shared" si="104"/>
        <v>60294.997717123282</v>
      </c>
      <c r="V71" s="183"/>
      <c r="W71" s="183"/>
      <c r="X71" s="183"/>
      <c r="Y71" s="183"/>
    </row>
    <row r="72" spans="1:32" x14ac:dyDescent="0.2">
      <c r="A72" s="4" t="s">
        <v>33</v>
      </c>
      <c r="B72" s="5" t="s">
        <v>16</v>
      </c>
      <c r="C72" s="2" t="s">
        <v>193</v>
      </c>
      <c r="D72" s="3">
        <v>-1735.8625</v>
      </c>
      <c r="E72" s="3">
        <v>10417.822580645163</v>
      </c>
      <c r="F72" s="3">
        <v>8946.3875000000044</v>
      </c>
      <c r="G72" s="3">
        <v>18124.536290322587</v>
      </c>
      <c r="H72" s="3">
        <v>644.6088709677415</v>
      </c>
      <c r="I72" s="3">
        <v>1455.5166666666664</v>
      </c>
      <c r="J72" s="3">
        <v>3055.0282258064522</v>
      </c>
      <c r="K72" s="78">
        <v>2450.9208333333336</v>
      </c>
      <c r="L72" s="78">
        <v>1350.6733870967739</v>
      </c>
      <c r="M72" s="78">
        <v>-2089.7137096774195</v>
      </c>
      <c r="N72" s="78">
        <v>4076.5178571428569</v>
      </c>
      <c r="O72" s="78">
        <v>-32.262096774193424</v>
      </c>
      <c r="P72" s="9"/>
      <c r="Q72" s="3">
        <f t="shared" si="106"/>
        <v>5926.0247252747276</v>
      </c>
      <c r="R72" s="3">
        <f t="shared" si="107"/>
        <v>6799.0108695652198</v>
      </c>
      <c r="S72" s="3">
        <f t="shared" si="108"/>
        <v>2283.743206521739</v>
      </c>
      <c r="T72" s="3">
        <f t="shared" si="103"/>
        <v>537.34722222222217</v>
      </c>
      <c r="U72" s="3">
        <f t="shared" si="104"/>
        <v>3899.2955479452066</v>
      </c>
      <c r="V72" s="183"/>
      <c r="W72" s="183"/>
      <c r="X72" s="183"/>
      <c r="Y72" s="183"/>
    </row>
    <row r="73" spans="1:32" x14ac:dyDescent="0.2">
      <c r="A73" s="21" t="s">
        <v>41</v>
      </c>
      <c r="B73" s="21" t="s">
        <v>16</v>
      </c>
      <c r="C73" s="22" t="s">
        <v>193</v>
      </c>
      <c r="D73" s="23">
        <f>SUM(D69:D72)</f>
        <v>163472.21793191656</v>
      </c>
      <c r="E73" s="23">
        <f t="shared" ref="E73:N73" si="109">SUM(E69:E72)</f>
        <v>197787.38182548346</v>
      </c>
      <c r="F73" s="23">
        <f t="shared" si="109"/>
        <v>172155.83451833297</v>
      </c>
      <c r="G73" s="23">
        <f t="shared" si="109"/>
        <v>178804.19407177364</v>
      </c>
      <c r="H73" s="23">
        <f t="shared" si="109"/>
        <v>216714.51740266065</v>
      </c>
      <c r="I73" s="23">
        <f>SUM(I69:I72)</f>
        <v>208340.44283466716</v>
      </c>
      <c r="J73" s="23">
        <f>SUM(J69:J72)</f>
        <v>191586.84128346803</v>
      </c>
      <c r="K73" s="23">
        <f>SUM(K69:K72)</f>
        <v>199751.83818900021</v>
      </c>
      <c r="L73" s="23">
        <f>SUM(L69:L72)</f>
        <v>190691.54093411227</v>
      </c>
      <c r="M73" s="23">
        <f>SUM(M69:M72)</f>
        <v>205219.79301491924</v>
      </c>
      <c r="N73" s="23">
        <f t="shared" si="109"/>
        <v>238383.72998205386</v>
      </c>
      <c r="O73" s="23">
        <f>SUM(O69:O72)</f>
        <v>236318.6741611312</v>
      </c>
      <c r="P73" s="9"/>
      <c r="Q73" s="23">
        <f t="shared" si="106"/>
        <v>178024.72978129092</v>
      </c>
      <c r="R73" s="23">
        <f t="shared" si="107"/>
        <v>201209.71022551603</v>
      </c>
      <c r="S73" s="23">
        <f t="shared" si="108"/>
        <v>193947.6629827717</v>
      </c>
      <c r="T73" s="23">
        <f t="shared" si="103"/>
        <v>226249.29913283413</v>
      </c>
      <c r="U73" s="23">
        <f t="shared" si="104"/>
        <v>199773.05662250691</v>
      </c>
      <c r="V73" s="183">
        <f>Q73+'WEST BENGAL'!Q49+JHARKHAND!Q29</f>
        <v>315963.7348815382</v>
      </c>
      <c r="W73" s="183"/>
      <c r="X73" s="183"/>
      <c r="Y73" s="183"/>
    </row>
    <row r="74" spans="1:32" x14ac:dyDescent="0.2">
      <c r="A74" s="4" t="s">
        <v>17</v>
      </c>
      <c r="B74" s="5" t="s">
        <v>16</v>
      </c>
      <c r="C74" s="2" t="s">
        <v>235</v>
      </c>
      <c r="D74" s="3">
        <v>140702.72600908511</v>
      </c>
      <c r="E74" s="3">
        <v>155883.98505895058</v>
      </c>
      <c r="F74" s="3">
        <v>157851.89765366673</v>
      </c>
      <c r="G74" s="3">
        <v>176126.20916806516</v>
      </c>
      <c r="H74" s="3">
        <v>139485.97238612952</v>
      </c>
      <c r="I74" s="3"/>
      <c r="J74" s="3"/>
      <c r="K74" s="78"/>
      <c r="L74" s="78"/>
      <c r="M74" s="78"/>
      <c r="N74" s="78"/>
      <c r="O74" s="78"/>
      <c r="P74" s="9"/>
      <c r="Q74" s="3">
        <f t="shared" ref="Q74:Q78" si="110">SUMPRODUCT(D74:F74,$D$2:$F$2)/SUM($D$2:$F$2)</f>
        <v>151527.93677703323</v>
      </c>
      <c r="R74" s="3">
        <f t="shared" ref="R74:R79" si="111">SUMPRODUCT(G74:I74,$G$2:$I$2)/SUM($G$2:$I$2)</f>
        <v>106347.58291500037</v>
      </c>
      <c r="S74" s="3">
        <f t="shared" ref="S74:S79" si="112">SUMPRODUCT(J74:L74,$J$2:$L$2)/SUM($J$2:$L$2)</f>
        <v>0</v>
      </c>
      <c r="T74" s="3">
        <f t="shared" ref="T74:T79" si="113">SUMPRODUCT(M74:O74,$M$2:$O$2)/SUM($M$2:$O$2)</f>
        <v>0</v>
      </c>
      <c r="U74" s="3">
        <f>SUMPRODUCT(D74:O74,D$2:O$2)/SUM($D$2:$O$2)</f>
        <v>64583.616095589212</v>
      </c>
      <c r="V74" s="183"/>
      <c r="W74" s="183"/>
      <c r="X74" s="183"/>
      <c r="Y74" s="183"/>
      <c r="Z74" s="166"/>
      <c r="AA74" s="166"/>
      <c r="AB74" s="166"/>
      <c r="AC74" s="166"/>
      <c r="AD74" s="166"/>
      <c r="AE74" s="166"/>
      <c r="AF74" s="166"/>
    </row>
    <row r="75" spans="1:32" x14ac:dyDescent="0.2">
      <c r="A75" s="4" t="s">
        <v>236</v>
      </c>
      <c r="B75" s="5" t="s">
        <v>16</v>
      </c>
      <c r="C75" s="2" t="s">
        <v>235</v>
      </c>
      <c r="D75" s="3">
        <v>13332.441902861159</v>
      </c>
      <c r="E75" s="3">
        <v>14525.068776962527</v>
      </c>
      <c r="F75" s="3">
        <v>10264.725000000009</v>
      </c>
      <c r="G75" s="3">
        <v>14582.28870967739</v>
      </c>
      <c r="H75" s="3">
        <v>8102.6266129031819</v>
      </c>
      <c r="I75" s="3"/>
      <c r="J75" s="3"/>
      <c r="K75" s="78"/>
      <c r="L75" s="78"/>
      <c r="M75" s="78"/>
      <c r="N75" s="78"/>
      <c r="O75" s="78"/>
      <c r="P75" s="9"/>
      <c r="Q75" s="3">
        <f t="shared" ref="Q75" si="114">SUMPRODUCT(D75:F75,$D$2:$F$2)/SUM($D$2:$F$2)</f>
        <v>12727.386144743665</v>
      </c>
      <c r="R75" s="3">
        <f t="shared" ref="R75" si="115">SUMPRODUCT(G75:I75,$G$2:$I$2)/SUM($G$2:$I$2)</f>
        <v>7643.8301630434526</v>
      </c>
      <c r="S75" s="3">
        <f t="shared" ref="S75" si="116">SUMPRODUCT(J75:L75,$J$2:$L$2)/SUM($J$2:$L$2)</f>
        <v>0</v>
      </c>
      <c r="T75" s="3">
        <f t="shared" ref="T75" si="117">SUMPRODUCT(M75:O75,$M$2:$O$2)/SUM($M$2:$O$2)</f>
        <v>0</v>
      </c>
      <c r="U75" s="3">
        <f>SUMPRODUCT(D75:O75,D$2:O$2)/SUM($D$2:$O$2)</f>
        <v>5099.793189511428</v>
      </c>
      <c r="V75" s="183"/>
      <c r="W75" s="183"/>
      <c r="X75" s="183"/>
      <c r="Y75" s="183"/>
      <c r="Z75" s="166"/>
      <c r="AA75" s="166"/>
      <c r="AB75" s="166"/>
      <c r="AC75" s="166"/>
      <c r="AD75" s="166"/>
      <c r="AE75" s="166"/>
      <c r="AF75" s="166"/>
    </row>
    <row r="76" spans="1:32" x14ac:dyDescent="0.2">
      <c r="A76" s="4" t="s">
        <v>39</v>
      </c>
      <c r="B76" s="5" t="s">
        <v>16</v>
      </c>
      <c r="C76" s="2" t="s">
        <v>235</v>
      </c>
      <c r="D76" s="3">
        <v>19984.320833333331</v>
      </c>
      <c r="E76" s="3">
        <v>13753.3064516129</v>
      </c>
      <c r="F76" s="3">
        <v>18569.908333333329</v>
      </c>
      <c r="G76" s="3">
        <v>7661.2137096774177</v>
      </c>
      <c r="H76" s="3">
        <v>2105.7217741935483</v>
      </c>
      <c r="I76" s="3"/>
      <c r="J76" s="3"/>
      <c r="K76" s="78"/>
      <c r="L76" s="78"/>
      <c r="M76" s="78"/>
      <c r="N76" s="78"/>
      <c r="O76" s="78"/>
      <c r="P76" s="9"/>
      <c r="Q76" s="3">
        <f t="shared" si="110"/>
        <v>17395.377747252744</v>
      </c>
      <c r="R76" s="3">
        <f t="shared" si="111"/>
        <v>3291.0326086956516</v>
      </c>
      <c r="S76" s="3">
        <f t="shared" si="112"/>
        <v>0</v>
      </c>
      <c r="T76" s="3">
        <f t="shared" si="113"/>
        <v>0</v>
      </c>
      <c r="U76" s="3">
        <f t="shared" ref="U76:U79" si="118">SUMPRODUCT(D76:O76,D$2:O$2)/SUM($D$2:$O$2)</f>
        <v>5166.4503424657532</v>
      </c>
      <c r="V76" s="183"/>
      <c r="W76" s="183"/>
      <c r="X76" s="183"/>
      <c r="Y76" s="183"/>
    </row>
    <row r="77" spans="1:32" x14ac:dyDescent="0.2">
      <c r="A77" s="4" t="s">
        <v>18</v>
      </c>
      <c r="B77" s="5" t="s">
        <v>16</v>
      </c>
      <c r="C77" s="2" t="s">
        <v>235</v>
      </c>
      <c r="D77" s="3">
        <v>56661.633333333339</v>
      </c>
      <c r="E77" s="3">
        <v>47069.423387096751</v>
      </c>
      <c r="F77" s="3">
        <v>11106.270833333334</v>
      </c>
      <c r="G77" s="3">
        <v>6813.9717741935483</v>
      </c>
      <c r="H77" s="3">
        <v>67857.600806451621</v>
      </c>
      <c r="I77" s="3"/>
      <c r="J77" s="3"/>
      <c r="K77" s="78"/>
      <c r="L77" s="78"/>
      <c r="M77" s="78"/>
      <c r="N77" s="78"/>
      <c r="O77" s="78"/>
      <c r="P77" s="9"/>
      <c r="Q77" s="3">
        <f t="shared" si="110"/>
        <v>38375.706043956037</v>
      </c>
      <c r="R77" s="3">
        <f t="shared" si="111"/>
        <v>25161.073369565223</v>
      </c>
      <c r="S77" s="3">
        <f t="shared" si="112"/>
        <v>0</v>
      </c>
      <c r="T77" s="3">
        <f t="shared" si="113"/>
        <v>0</v>
      </c>
      <c r="U77" s="3">
        <f t="shared" si="118"/>
        <v>15909.61095890411</v>
      </c>
      <c r="V77" s="183"/>
      <c r="W77" s="183"/>
      <c r="X77" s="183"/>
      <c r="Y77" s="183"/>
    </row>
    <row r="78" spans="1:32" x14ac:dyDescent="0.2">
      <c r="A78" s="4" t="s">
        <v>33</v>
      </c>
      <c r="B78" s="5" t="s">
        <v>16</v>
      </c>
      <c r="C78" s="2" t="s">
        <v>235</v>
      </c>
      <c r="D78" s="3">
        <v>6379.8500000000013</v>
      </c>
      <c r="E78" s="3">
        <v>18769.786290322583</v>
      </c>
      <c r="F78" s="3">
        <v>18409.366666666661</v>
      </c>
      <c r="G78" s="3">
        <v>20840.685483870973</v>
      </c>
      <c r="H78" s="3">
        <v>3724.3790322580644</v>
      </c>
      <c r="I78" s="3"/>
      <c r="J78" s="3"/>
      <c r="K78" s="78"/>
      <c r="L78" s="78"/>
      <c r="M78" s="78"/>
      <c r="N78" s="78"/>
      <c r="O78" s="78"/>
      <c r="P78" s="9"/>
      <c r="Q78" s="3">
        <f t="shared" si="110"/>
        <v>14566.372252747253</v>
      </c>
      <c r="R78" s="3">
        <f t="shared" si="111"/>
        <v>8277.3586956521758</v>
      </c>
      <c r="S78" s="3">
        <f t="shared" si="112"/>
        <v>0</v>
      </c>
      <c r="T78" s="3">
        <f t="shared" si="113"/>
        <v>0</v>
      </c>
      <c r="U78" s="3">
        <f t="shared" si="118"/>
        <v>5717.96404109589</v>
      </c>
      <c r="V78" s="183"/>
      <c r="W78" s="183"/>
      <c r="X78" s="183"/>
      <c r="Y78" s="183"/>
    </row>
    <row r="79" spans="1:32" x14ac:dyDescent="0.2">
      <c r="A79" s="21" t="s">
        <v>41</v>
      </c>
      <c r="B79" s="21" t="s">
        <v>16</v>
      </c>
      <c r="C79" s="22" t="s">
        <v>235</v>
      </c>
      <c r="D79" s="23">
        <f>SUM(D74:D78)</f>
        <v>237060.97207861292</v>
      </c>
      <c r="E79" s="23">
        <f t="shared" ref="E79:H79" si="119">SUM(E74:E78)</f>
        <v>250001.56996494535</v>
      </c>
      <c r="F79" s="23">
        <f t="shared" si="119"/>
        <v>216202.16848700008</v>
      </c>
      <c r="G79" s="23">
        <f t="shared" si="119"/>
        <v>226024.36884548448</v>
      </c>
      <c r="H79" s="23">
        <f t="shared" si="119"/>
        <v>221276.30061193591</v>
      </c>
      <c r="I79" s="23">
        <f>SUM(I74:I78)</f>
        <v>0</v>
      </c>
      <c r="J79" s="23">
        <f>SUM(J74:J78)</f>
        <v>0</v>
      </c>
      <c r="K79" s="23">
        <f>SUM(K74:K78)</f>
        <v>0</v>
      </c>
      <c r="L79" s="23">
        <f>SUM(L74:L78)</f>
        <v>0</v>
      </c>
      <c r="M79" s="23">
        <f>SUM(M74:M78)</f>
        <v>0</v>
      </c>
      <c r="N79" s="23">
        <f t="shared" ref="N79" si="120">SUM(N74:N78)</f>
        <v>0</v>
      </c>
      <c r="O79" s="23">
        <f>SUM(O74:O78)</f>
        <v>0</v>
      </c>
      <c r="P79" s="9"/>
      <c r="Q79" s="23">
        <f>SUMPRODUCT(D79:F79,$D$2:$F$2)/SUM($D$2:$F$2)</f>
        <v>234592.77896573293</v>
      </c>
      <c r="R79" s="23">
        <f t="shared" si="111"/>
        <v>150720.87775195687</v>
      </c>
      <c r="S79" s="23">
        <f t="shared" si="112"/>
        <v>0</v>
      </c>
      <c r="T79" s="23">
        <f t="shared" si="113"/>
        <v>0</v>
      </c>
      <c r="U79" s="23">
        <f t="shared" si="118"/>
        <v>96477.434627566399</v>
      </c>
      <c r="V79" s="218">
        <f>Q79+'WEST BENGAL'!Q53+JHARKHAND!Q34</f>
        <v>376014.62700379069</v>
      </c>
      <c r="W79" s="183"/>
      <c r="X79" s="183"/>
      <c r="Y79" s="183"/>
    </row>
    <row r="80" spans="1:32" x14ac:dyDescent="0.2">
      <c r="C80" s="8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</row>
    <row r="81" spans="1:21" x14ac:dyDescent="0.2">
      <c r="A81" s="28" t="s">
        <v>245</v>
      </c>
    </row>
    <row r="82" spans="1:21" x14ac:dyDescent="0.2">
      <c r="A82" s="30" t="s">
        <v>20</v>
      </c>
      <c r="B82" s="30" t="s">
        <v>21</v>
      </c>
      <c r="C82" s="31" t="s">
        <v>11</v>
      </c>
      <c r="D82" s="26">
        <v>2.9400000000000004</v>
      </c>
      <c r="E82" s="26">
        <v>2.92</v>
      </c>
      <c r="F82" s="26">
        <v>2.94</v>
      </c>
      <c r="G82" s="26">
        <v>2.92</v>
      </c>
      <c r="H82" s="26">
        <v>3.13</v>
      </c>
      <c r="I82" s="26">
        <v>2.9899999999999998</v>
      </c>
      <c r="J82" s="26">
        <v>2.83</v>
      </c>
      <c r="K82" s="26">
        <v>2.7052819187213561</v>
      </c>
      <c r="L82" s="26">
        <v>2.619284220467597</v>
      </c>
      <c r="M82" s="26">
        <v>2.4326911718225599</v>
      </c>
      <c r="N82" s="26">
        <v>2.2769285879335142</v>
      </c>
      <c r="O82" s="26">
        <v>2.3217848322209962</v>
      </c>
      <c r="Q82" s="26">
        <f>SUMPRODUCT(D82:F82,D42:F42)/SUM(D42:F42)</f>
        <v>2.9337322739371108</v>
      </c>
      <c r="R82" s="26">
        <f>SUMPRODUCT(G82:I82,G42:I42)/SUM(G42:I42)</f>
        <v>3.0070760068705455</v>
      </c>
      <c r="S82" s="26">
        <f>SUMPRODUCT(J82:L82,J42:L42)/SUM(J42:L42)</f>
        <v>2.7083441350948858</v>
      </c>
      <c r="T82" s="26">
        <f>SUMPRODUCT(M82:O82,M42:O42)/SUM(M42:O42)</f>
        <v>2.3391309814836299</v>
      </c>
      <c r="U82" s="26">
        <f>SUMPRODUCT(D82:O82,D42:O42)/SUM(D42:O42)</f>
        <v>2.693337116487835</v>
      </c>
    </row>
    <row r="83" spans="1:21" x14ac:dyDescent="0.2">
      <c r="A83" s="30" t="s">
        <v>20</v>
      </c>
      <c r="B83" s="30" t="s">
        <v>21</v>
      </c>
      <c r="C83" s="31" t="s">
        <v>12</v>
      </c>
      <c r="D83" s="26">
        <v>2.5553664697985377</v>
      </c>
      <c r="E83" s="26">
        <v>2.4319832889294126</v>
      </c>
      <c r="F83" s="26">
        <v>2.5064394296801598</v>
      </c>
      <c r="G83" s="26">
        <v>2.8402897350402303</v>
      </c>
      <c r="H83" s="26">
        <v>2.9330817762832839</v>
      </c>
      <c r="I83" s="26">
        <v>3.012930080999586</v>
      </c>
      <c r="J83" s="26">
        <v>3.4996004743229134</v>
      </c>
      <c r="K83" s="26">
        <v>3.7643897286218189</v>
      </c>
      <c r="L83" s="26">
        <v>3.398660997218494</v>
      </c>
      <c r="M83" s="26">
        <v>2.7673258810551515</v>
      </c>
      <c r="N83" s="26">
        <v>2.3749182548933887</v>
      </c>
      <c r="O83" s="26">
        <v>2.0854895665392119</v>
      </c>
      <c r="Q83" s="26">
        <f>SUMPRODUCT(D83:F83,D45:F45)/SUM(D45:F45)</f>
        <v>2.5061152428024163</v>
      </c>
      <c r="R83" s="26">
        <f>SUMPRODUCT(G83:I83,G45:I45)/SUM(G45:I45)</f>
        <v>2.9349962519472741</v>
      </c>
      <c r="S83" s="26">
        <f>SUMPRODUCT(J83:L83,J45:L45)/SUM(J45:L45)</f>
        <v>3.5453152077651637</v>
      </c>
      <c r="T83" s="26">
        <f>SUMPRODUCT(M83:O83,M45:O45)/SUM(M45:O45)</f>
        <v>2.3737687311313409</v>
      </c>
      <c r="U83" s="26">
        <f>SUMPRODUCT(D83:O83,D45:O45)/SUM(D45:O45)</f>
        <v>2.7907838005144656</v>
      </c>
    </row>
    <row r="84" spans="1:21" x14ac:dyDescent="0.2">
      <c r="A84" s="30" t="s">
        <v>20</v>
      </c>
      <c r="B84" s="30" t="s">
        <v>21</v>
      </c>
      <c r="C84" s="31" t="s">
        <v>13</v>
      </c>
      <c r="D84" s="32">
        <v>2.6401671683591186</v>
      </c>
      <c r="E84" s="32">
        <v>3.0131490484499004</v>
      </c>
      <c r="F84" s="32">
        <v>3.6789719119665638</v>
      </c>
      <c r="G84" s="32">
        <v>3.9314373338826831</v>
      </c>
      <c r="H84" s="32">
        <v>4.6253593119406853</v>
      </c>
      <c r="I84" s="32">
        <v>4.5535957699690819</v>
      </c>
      <c r="J84" s="32">
        <v>5.4125781562338959</v>
      </c>
      <c r="K84" s="32">
        <v>5.64614128084109</v>
      </c>
      <c r="L84" s="32">
        <v>4.7736126758880975</v>
      </c>
      <c r="M84" s="32">
        <v>3.9052588995931576</v>
      </c>
      <c r="N84" s="32">
        <v>3.521827783432725</v>
      </c>
      <c r="O84" s="32">
        <v>3.0210167820252942</v>
      </c>
      <c r="Q84" s="26">
        <f>SUMPRODUCT(D84:F84,D46:F46)/SUM(D46:F46)</f>
        <v>2.9866504618329111</v>
      </c>
      <c r="R84" s="26">
        <f>SUMPRODUCT(G84:I84,G46:I46)/SUM(G46:I46)</f>
        <v>4.2953982220449358</v>
      </c>
      <c r="S84" s="26">
        <f>SUMPRODUCT(J84:L84,J46:L46)/SUM(J46:L46)</f>
        <v>5.244937470341605</v>
      </c>
      <c r="T84" s="26">
        <f>SUMPRODUCT(M84:O84,M46:O46)/SUM(M46:O46)</f>
        <v>3.4065093704057974</v>
      </c>
      <c r="U84" s="26">
        <f>SUMPRODUCT(D84:O84,D46:O46)/SUM(D46:O46)</f>
        <v>3.6083090852550752</v>
      </c>
    </row>
    <row r="85" spans="1:21" x14ac:dyDescent="0.2">
      <c r="A85" s="33" t="s">
        <v>20</v>
      </c>
      <c r="B85" s="33" t="s">
        <v>21</v>
      </c>
      <c r="C85" s="20" t="s">
        <v>14</v>
      </c>
      <c r="D85" s="26">
        <v>2.7898449785225026</v>
      </c>
      <c r="E85" s="26">
        <v>2.9335654154744031</v>
      </c>
      <c r="F85" s="26">
        <v>2.8694468651184932</v>
      </c>
      <c r="G85" s="26">
        <v>3.307336799274438</v>
      </c>
      <c r="H85" s="26">
        <v>3.9270493886771356</v>
      </c>
      <c r="I85" s="26">
        <v>3.877761088191356</v>
      </c>
      <c r="J85" s="26">
        <v>3.8113013664759259</v>
      </c>
      <c r="K85" s="26">
        <v>3.8781516874336384</v>
      </c>
      <c r="L85" s="26">
        <v>2.8530688211050408</v>
      </c>
      <c r="M85" s="26">
        <v>2.9669791098294747</v>
      </c>
      <c r="N85" s="26">
        <v>2.932295371043792</v>
      </c>
      <c r="O85" s="26">
        <v>3.1114576018883509</v>
      </c>
      <c r="Q85" s="26">
        <f>SUMPRODUCT(D85:F85,D50:F50)/SUM(D50:F50)</f>
        <v>2.8594592185265379</v>
      </c>
      <c r="R85" s="26">
        <f>SUMPRODUCT(G85:I85,G50:I50)/SUM(G50:I50)</f>
        <v>3.6399772879110537</v>
      </c>
      <c r="S85" s="26">
        <f>SUMPRODUCT(J85:L85,J50:L50)/SUM(J50:L50)</f>
        <v>3.444291770397891</v>
      </c>
      <c r="T85" s="26">
        <f>SUMPRODUCT(M85:O85,M50:O50)/SUM(M50:O50)</f>
        <v>3.0088180956441195</v>
      </c>
      <c r="U85" s="26">
        <f>SUMPRODUCT(D85:O85,D50:O50)/SUM(D50:O50)</f>
        <v>3.1810834428524286</v>
      </c>
    </row>
    <row r="86" spans="1:21" x14ac:dyDescent="0.2">
      <c r="A86" s="33" t="s">
        <v>20</v>
      </c>
      <c r="B86" s="33" t="s">
        <v>21</v>
      </c>
      <c r="C86" s="20" t="s">
        <v>32</v>
      </c>
      <c r="D86" s="26">
        <v>3.7395018462132867</v>
      </c>
      <c r="E86" s="26">
        <v>3.9299223092100397</v>
      </c>
      <c r="F86" s="26">
        <v>3.5174000632643714</v>
      </c>
      <c r="G86" s="26">
        <v>3.4993920373291489</v>
      </c>
      <c r="H86" s="26">
        <v>3.4467949656409633</v>
      </c>
      <c r="I86" s="26">
        <v>3.1958779429235236</v>
      </c>
      <c r="J86" s="26">
        <v>3.0725540641369906</v>
      </c>
      <c r="K86" s="26">
        <v>3.0654277721443313</v>
      </c>
      <c r="L86" s="26">
        <v>2.89657674454849</v>
      </c>
      <c r="M86" s="26">
        <v>3.0899182846197126</v>
      </c>
      <c r="N86" s="26">
        <v>3.0518241147681673</v>
      </c>
      <c r="O86" s="26">
        <v>2.9069716214558241</v>
      </c>
      <c r="Q86" s="26">
        <f>SUMPRODUCT(D86:F86,D54:F54)/SUM(D54:F54)</f>
        <v>3.7103233136668021</v>
      </c>
      <c r="R86" s="26">
        <f>SUMPRODUCT(G86:I86,G54:I54)/SUM(G54:I54)</f>
        <v>3.3744450426600521</v>
      </c>
      <c r="S86" s="26">
        <f>SUMPRODUCT(J86:L86,J54:L54)/SUM(J54:L54)</f>
        <v>3.0096474502116517</v>
      </c>
      <c r="T86" s="26">
        <f>SUMPRODUCT(M86:O86,M54:O54)/SUM(M54:O54)</f>
        <v>3.0096500474268648</v>
      </c>
      <c r="U86" s="26">
        <f>SUMPRODUCT(D86:O86,D54:O54)/SUM(D54:O54)</f>
        <v>3.2361190109407163</v>
      </c>
    </row>
    <row r="87" spans="1:21" x14ac:dyDescent="0.2">
      <c r="A87" s="33" t="s">
        <v>20</v>
      </c>
      <c r="B87" s="33" t="s">
        <v>21</v>
      </c>
      <c r="C87" s="20" t="s">
        <v>38</v>
      </c>
      <c r="D87" s="26">
        <v>3.2332796024307466</v>
      </c>
      <c r="E87" s="26">
        <v>3.7912805649695311</v>
      </c>
      <c r="F87" s="26">
        <v>3.6078039449666406</v>
      </c>
      <c r="G87" s="26">
        <v>3.3783424384107947</v>
      </c>
      <c r="H87" s="26">
        <v>3.224105749026295</v>
      </c>
      <c r="I87" s="26">
        <v>3.0681000709579624</v>
      </c>
      <c r="J87" s="26">
        <v>2.9027068248544339</v>
      </c>
      <c r="K87" s="26">
        <v>2.8405736456515269</v>
      </c>
      <c r="L87" s="85">
        <v>2.7735700296958585</v>
      </c>
      <c r="M87" s="85">
        <v>2.6497840772505281</v>
      </c>
      <c r="N87" s="85">
        <v>2.5321654891543126</v>
      </c>
      <c r="O87" s="85">
        <v>2.5465652742089979</v>
      </c>
      <c r="Q87" s="26">
        <f>SUMPRODUCT(D87:F87,D59:F59)/SUM(D59:F59)</f>
        <v>3.5216759014102976</v>
      </c>
      <c r="R87" s="26">
        <f>SUMPRODUCT(G87:I87,G59:I59)/SUM(G59:I59)</f>
        <v>3.2162309444915587</v>
      </c>
      <c r="S87" s="26">
        <f>SUMPRODUCT(J87:L87,J59:L59)/SUM(J59:L59)</f>
        <v>2.8375574499759595</v>
      </c>
      <c r="T87" s="26">
        <f>SUMPRODUCT(M87:O87,M59:O59)/SUM(M59:O59)</f>
        <v>2.5731998445563646</v>
      </c>
      <c r="U87" s="26">
        <f>SUMPRODUCT(D87:O87,D59:O59)/SUM(D59:O59)</f>
        <v>2.9625336315939981</v>
      </c>
    </row>
    <row r="88" spans="1:21" x14ac:dyDescent="0.2">
      <c r="A88" s="34" t="s">
        <v>20</v>
      </c>
      <c r="B88" s="34" t="s">
        <v>21</v>
      </c>
      <c r="C88" s="22" t="s">
        <v>98</v>
      </c>
      <c r="D88" s="168">
        <v>3.1507078110150282</v>
      </c>
      <c r="E88" s="168">
        <v>3.1705208732287633</v>
      </c>
      <c r="F88" s="168">
        <v>3.3173196410133703</v>
      </c>
      <c r="G88" s="168">
        <v>3.0858638563585221</v>
      </c>
      <c r="H88" s="168">
        <v>3.1565200728922389</v>
      </c>
      <c r="I88" s="168">
        <v>2.9531577416190893</v>
      </c>
      <c r="J88" s="168">
        <v>3.0011421600759411</v>
      </c>
      <c r="K88" s="168">
        <v>3.0526509939456767</v>
      </c>
      <c r="L88" s="168">
        <v>2.7297419609916433</v>
      </c>
      <c r="M88" s="168">
        <v>2.5648386721251146</v>
      </c>
      <c r="N88" s="168">
        <v>2.4770243547073405</v>
      </c>
      <c r="O88" s="168">
        <v>2.4523434297556852</v>
      </c>
      <c r="Q88" s="35">
        <f>SUMPRODUCT(D88:F88,$D$64:$F$64)/SUM($D$64:$F$64)</f>
        <v>3.2109373365898275</v>
      </c>
      <c r="R88" s="35">
        <f>SUMPRODUCT(G88:I88,$G$64:$I$64)/SUM($G$64:$I$64)</f>
        <v>3.0592988670803543</v>
      </c>
      <c r="S88" s="35">
        <f>SUMPRODUCT(J88:L88,$J$64:$L$64)/SUM($J$64:$L$64)</f>
        <v>2.9107539818133765</v>
      </c>
      <c r="T88" s="35">
        <f>SUMPRODUCT(M88:O88,$M$64:$O$64)/SUM($M$64:$O$64)</f>
        <v>2.4969566665023186</v>
      </c>
      <c r="U88" s="35">
        <f>SUMPRODUCT(D88:O88,$D$64:$O$64)/SUM($D$64:$O$64)</f>
        <v>2.8713665578740262</v>
      </c>
    </row>
    <row r="89" spans="1:21" x14ac:dyDescent="0.2">
      <c r="A89" s="34" t="s">
        <v>20</v>
      </c>
      <c r="B89" s="34" t="s">
        <v>21</v>
      </c>
      <c r="C89" s="22" t="s">
        <v>193</v>
      </c>
      <c r="D89" s="35">
        <v>2.9257503614075047</v>
      </c>
      <c r="E89" s="35">
        <v>2.7826339541073239</v>
      </c>
      <c r="F89" s="35">
        <v>3.0131042568241773</v>
      </c>
      <c r="G89" s="35">
        <v>2.9231494339086623</v>
      </c>
      <c r="H89" s="35">
        <v>3.0919309329204809</v>
      </c>
      <c r="I89" s="35">
        <v>3.1021664837704557</v>
      </c>
      <c r="J89" s="35">
        <v>2.90578175071566</v>
      </c>
      <c r="K89" s="35">
        <v>3.0473405748845472</v>
      </c>
      <c r="L89" s="35">
        <v>2.6389138744500116</v>
      </c>
      <c r="M89" s="35">
        <v>2.7309562607862521</v>
      </c>
      <c r="N89" s="35">
        <v>2.4183722468073268</v>
      </c>
      <c r="O89" s="35">
        <v>2.5012093002306255</v>
      </c>
      <c r="Q89" s="35">
        <f>SUMPRODUCT(D89:F89,$D$64:$F$64)/SUM($D$64:$F$64)</f>
        <v>2.9057462160649727</v>
      </c>
      <c r="R89" s="35">
        <f>SUMPRODUCT(G89:I89,$G$64:$I$64)/SUM($G$64:$I$64)</f>
        <v>3.0434749709433802</v>
      </c>
      <c r="S89" s="35">
        <f>SUMPRODUCT(J89:L89,$J$64:$L$64)/SUM($J$64:$L$64)</f>
        <v>2.8418490901196876</v>
      </c>
      <c r="T89" s="35">
        <f>SUMPRODUCT(M89:O89,$M$64:$O$64)/SUM($M$64:$O$64)</f>
        <v>2.5448157875859603</v>
      </c>
      <c r="U89" s="35">
        <f>SUMPRODUCT(D89:O89,$D$64:$O$64)/SUM($D$64:$O$64)</f>
        <v>2.8028252447482553</v>
      </c>
    </row>
    <row r="90" spans="1:21" x14ac:dyDescent="0.2">
      <c r="A90" s="34" t="s">
        <v>20</v>
      </c>
      <c r="B90" s="34" t="s">
        <v>21</v>
      </c>
      <c r="C90" s="22" t="s">
        <v>235</v>
      </c>
      <c r="D90" s="35">
        <v>3.2338666910092235</v>
      </c>
      <c r="E90" s="35">
        <v>3.1060700581720182</v>
      </c>
      <c r="F90" s="35">
        <v>3.1997637287359315</v>
      </c>
      <c r="G90" s="35"/>
      <c r="H90" s="35"/>
      <c r="I90" s="35"/>
      <c r="J90" s="35"/>
      <c r="K90" s="35"/>
      <c r="L90" s="35"/>
      <c r="M90" s="35"/>
      <c r="N90" s="35"/>
      <c r="O90" s="35"/>
      <c r="Q90" s="35">
        <f>SUMPRODUCT(D90:F90,$D$64:$F$64)/SUM($D$64:$F$64)</f>
        <v>3.1799577028608019</v>
      </c>
      <c r="R90" s="35">
        <f>SUMPRODUCT(G90:I90,$G$64:$I$64)/SUM($G$64:$I$64)</f>
        <v>0</v>
      </c>
      <c r="S90" s="35">
        <f>SUMPRODUCT(J90:L90,$J$64:$L$64)/SUM($J$64:$L$64)</f>
        <v>0</v>
      </c>
      <c r="T90" s="35">
        <f>SUMPRODUCT(M90:O90,$M$64:$O$64)/SUM($M$64:$O$64)</f>
        <v>0</v>
      </c>
      <c r="U90" s="35">
        <f>SUMPRODUCT(D90:O90,$D$64:$O$64)/SUM($D$64:$O$64)</f>
        <v>0.68080695067239039</v>
      </c>
    </row>
    <row r="92" spans="1:21" x14ac:dyDescent="0.2">
      <c r="A92" s="28" t="s">
        <v>22</v>
      </c>
      <c r="D92" s="24"/>
      <c r="O92" s="24"/>
    </row>
    <row r="93" spans="1:21" x14ac:dyDescent="0.2">
      <c r="A93" s="33" t="s">
        <v>246</v>
      </c>
      <c r="B93" s="33" t="s">
        <v>21</v>
      </c>
      <c r="C93" s="20" t="s">
        <v>11</v>
      </c>
      <c r="D93" s="26">
        <v>30.61321640616497</v>
      </c>
      <c r="E93" s="26">
        <v>30.319736724263098</v>
      </c>
      <c r="F93" s="26">
        <v>30.176296890067785</v>
      </c>
      <c r="G93" s="26">
        <v>29.787683475279646</v>
      </c>
      <c r="H93" s="26">
        <v>30.63982132313469</v>
      </c>
      <c r="I93" s="26">
        <v>30.80263088113637</v>
      </c>
      <c r="J93" s="26">
        <v>30.901649876121446</v>
      </c>
      <c r="K93" s="26">
        <v>30.802850360025008</v>
      </c>
      <c r="L93" s="26">
        <v>29.92405986183504</v>
      </c>
      <c r="M93" s="26">
        <v>29.688570275659472</v>
      </c>
      <c r="N93" s="26">
        <v>29.444571638075402</v>
      </c>
      <c r="O93" s="26">
        <v>29.298298886834619</v>
      </c>
      <c r="Q93" s="26">
        <f>SUMPRODUCT(D93:F93,D42:F42)/SUM(D42:F42)</f>
        <v>30.378534501450662</v>
      </c>
      <c r="R93" s="26">
        <f>SUMPRODUCT(G93:I93,G42:I42)/SUM(G42:I42)</f>
        <v>30.389950419916939</v>
      </c>
      <c r="S93" s="26">
        <f>SUMPRODUCT(J93:L93,J42:L42)/SUM(J42:L42)</f>
        <v>30.490242511927367</v>
      </c>
      <c r="T93" s="26">
        <f>SUMPRODUCT(M93:O93,M42:O42)/SUM(M42:O42)</f>
        <v>29.469763407108136</v>
      </c>
      <c r="U93" s="26">
        <f>SUMPRODUCT(D93:O93,D42:O42)/SUM(D42:O42)</f>
        <v>30.102747164565727</v>
      </c>
    </row>
    <row r="94" spans="1:21" x14ac:dyDescent="0.2">
      <c r="A94" s="33" t="s">
        <v>246</v>
      </c>
      <c r="B94" s="36" t="s">
        <v>21</v>
      </c>
      <c r="C94" s="37" t="s">
        <v>12</v>
      </c>
      <c r="D94" s="38">
        <v>29.084706591620655</v>
      </c>
      <c r="E94" s="38">
        <v>28.779960579186501</v>
      </c>
      <c r="F94" s="38">
        <v>28.443053764580746</v>
      </c>
      <c r="G94" s="38">
        <v>28.641826066677819</v>
      </c>
      <c r="H94" s="38">
        <v>30.414986198730119</v>
      </c>
      <c r="I94" s="38">
        <v>30.212648874625547</v>
      </c>
      <c r="J94" s="38">
        <v>30.621477949819827</v>
      </c>
      <c r="K94" s="38">
        <v>31.330503669713789</v>
      </c>
      <c r="L94" s="38">
        <v>31.330900580987606</v>
      </c>
      <c r="M94" s="38">
        <v>30.833802760473148</v>
      </c>
      <c r="N94" s="38">
        <v>30.373118422518981</v>
      </c>
      <c r="O94" s="38">
        <v>30.020053263078569</v>
      </c>
      <c r="Q94" s="26">
        <f>SUMPRODUCT(D94:F94,D45:F45)/SUM(D45:F45)</f>
        <v>28.833660689076229</v>
      </c>
      <c r="R94" s="26">
        <f>SUMPRODUCT(G94:I94,G45:I45)/SUM(G45:I45)</f>
        <v>29.826689381607647</v>
      </c>
      <c r="S94" s="26">
        <f>SUMPRODUCT(J94:L94,J45:L45)/SUM(J45:L45)</f>
        <v>31.08680947890354</v>
      </c>
      <c r="T94" s="26">
        <f>SUMPRODUCT(M94:O94,M45:O45)/SUM(M45:O45)</f>
        <v>30.366743760209015</v>
      </c>
      <c r="U94" s="26">
        <f>SUMPRODUCT(D94:O94,D45:O45)/SUM(D45:O45)</f>
        <v>30.006477207370818</v>
      </c>
    </row>
    <row r="95" spans="1:21" x14ac:dyDescent="0.2">
      <c r="A95" s="33" t="s">
        <v>246</v>
      </c>
      <c r="B95" s="36" t="s">
        <v>21</v>
      </c>
      <c r="C95" s="37" t="s">
        <v>13</v>
      </c>
      <c r="D95" s="38">
        <v>29.869517037684872</v>
      </c>
      <c r="E95" s="38">
        <v>28.206187214306713</v>
      </c>
      <c r="F95" s="38">
        <v>28.630366186861764</v>
      </c>
      <c r="G95" s="38">
        <v>29.686393288954335</v>
      </c>
      <c r="H95" s="38">
        <v>32.250814752482327</v>
      </c>
      <c r="I95" s="38">
        <v>32.537131353684202</v>
      </c>
      <c r="J95" s="38">
        <v>33.502380371729792</v>
      </c>
      <c r="K95" s="38">
        <v>33.965256356723287</v>
      </c>
      <c r="L95" s="38">
        <v>33.120729279220519</v>
      </c>
      <c r="M95" s="38">
        <v>33.147500167003415</v>
      </c>
      <c r="N95" s="38">
        <v>32.677334607146378</v>
      </c>
      <c r="O95" s="38">
        <v>32.767928545840732</v>
      </c>
      <c r="Q95" s="26">
        <f>SUMPRODUCT(D95:F95,D46:F46)/SUM(D46:F46)</f>
        <v>29.038572784992326</v>
      </c>
      <c r="R95" s="26">
        <f>SUMPRODUCT(G95:I95,G46:I46)/SUM(G46:I46)</f>
        <v>31.186081926646274</v>
      </c>
      <c r="S95" s="26">
        <f>SUMPRODUCT(J95:L95,J46:L46)/SUM(J46:L46)</f>
        <v>33.495080475609853</v>
      </c>
      <c r="T95" s="26">
        <f>SUMPRODUCT(M95:O95,M46:O46)/SUM(M46:O46)</f>
        <v>32.833641184270078</v>
      </c>
      <c r="U95" s="26">
        <f>SUMPRODUCT(D95:O95,D46:O46)/SUM(D46:O46)</f>
        <v>31.012854128445678</v>
      </c>
    </row>
    <row r="96" spans="1:21" x14ac:dyDescent="0.2">
      <c r="A96" s="33" t="s">
        <v>246</v>
      </c>
      <c r="B96" s="36" t="s">
        <v>21</v>
      </c>
      <c r="C96" s="37" t="s">
        <v>14</v>
      </c>
      <c r="D96" s="38">
        <v>33.380830594076599</v>
      </c>
      <c r="E96" s="38">
        <v>33.312150511013932</v>
      </c>
      <c r="F96" s="38">
        <v>33.307646395308979</v>
      </c>
      <c r="G96" s="38">
        <v>33.817644607306107</v>
      </c>
      <c r="H96" s="38">
        <v>34.341289950624478</v>
      </c>
      <c r="I96" s="38">
        <v>34.598332383109152</v>
      </c>
      <c r="J96" s="38">
        <v>35.020017428351828</v>
      </c>
      <c r="K96" s="38">
        <v>36.279464522694063</v>
      </c>
      <c r="L96" s="38">
        <v>36.119999999999997</v>
      </c>
      <c r="M96" s="38">
        <v>35.999027680808318</v>
      </c>
      <c r="N96" s="38">
        <v>36.216515515670935</v>
      </c>
      <c r="O96" s="38">
        <v>36.736275551894984</v>
      </c>
      <c r="P96" s="24" t="s">
        <v>192</v>
      </c>
      <c r="Q96" s="26">
        <f>SUMPRODUCT(D96:F96,D50:F50)/SUM(D50:F50)</f>
        <v>33.335140308027412</v>
      </c>
      <c r="R96" s="26">
        <f>SUMPRODUCT(G96:I96,G50:I50)/SUM(G50:I50)</f>
        <v>34.186768464779412</v>
      </c>
      <c r="S96" s="26">
        <f>SUMPRODUCT(J96:L96,J50:L50)/SUM(J50:L50)</f>
        <v>35.828028913037301</v>
      </c>
      <c r="T96" s="26">
        <f>SUMPRODUCT(M96:O96,M50:O50)/SUM(M50:O50)</f>
        <v>36.345182440734519</v>
      </c>
      <c r="U96" s="26">
        <f>SUMPRODUCT(D96:O96,D50:O50)/SUM(D50:O50)</f>
        <v>34.791165950011276</v>
      </c>
    </row>
    <row r="97" spans="1:21" x14ac:dyDescent="0.2">
      <c r="A97" s="33" t="s">
        <v>246</v>
      </c>
      <c r="B97" s="36" t="s">
        <v>21</v>
      </c>
      <c r="C97" s="37" t="str">
        <f>+C86</f>
        <v>FY 22-23</v>
      </c>
      <c r="D97" s="38">
        <v>37.008038578649611</v>
      </c>
      <c r="E97" s="38">
        <v>39.486818465211286</v>
      </c>
      <c r="F97" s="38">
        <v>38.605306407551147</v>
      </c>
      <c r="G97" s="38">
        <v>38.026390179754181</v>
      </c>
      <c r="H97" s="38">
        <v>37.51657429667641</v>
      </c>
      <c r="I97" s="38">
        <v>37.427627418635993</v>
      </c>
      <c r="J97" s="38">
        <v>38.091809644640108</v>
      </c>
      <c r="K97" s="38">
        <v>38.957203072180427</v>
      </c>
      <c r="L97" s="38">
        <v>38.898353870565209</v>
      </c>
      <c r="M97" s="38">
        <v>39.476972583764486</v>
      </c>
      <c r="N97" s="38">
        <v>39.249068424187421</v>
      </c>
      <c r="O97" s="38">
        <v>39.639113376710768</v>
      </c>
      <c r="Q97" s="26">
        <f>SUMPRODUCT(D97:F97,D54:F54)/SUM(D54:F54)</f>
        <v>38.356164363572731</v>
      </c>
      <c r="R97" s="26">
        <f>SUMPRODUCT(G97:I97,G54:I54)/SUM(G54:I54)</f>
        <v>37.636345573510546</v>
      </c>
      <c r="S97" s="26">
        <f>SUMPRODUCT(J97:L97,J54:L54)/SUM(J54:L54)</f>
        <v>38.658419091262601</v>
      </c>
      <c r="T97" s="26">
        <f>SUMPRODUCT(M97:O97,M54:O54)/SUM(M54:O54)</f>
        <v>39.454285104247667</v>
      </c>
      <c r="U97" s="26">
        <f>SUMPRODUCT(D97:O97,D54:O54)/SUM(D54:O54)</f>
        <v>38.5823460141929</v>
      </c>
    </row>
    <row r="98" spans="1:21" x14ac:dyDescent="0.2">
      <c r="A98" s="33" t="s">
        <v>246</v>
      </c>
      <c r="B98" s="36" t="s">
        <v>21</v>
      </c>
      <c r="C98" s="37" t="str">
        <f>+C87</f>
        <v>FY 23-24</v>
      </c>
      <c r="D98" s="38">
        <v>39.505866766271275</v>
      </c>
      <c r="E98" s="38">
        <v>43.164339930527767</v>
      </c>
      <c r="F98" s="38">
        <v>41.883471289266751</v>
      </c>
      <c r="G98" s="38">
        <v>40.488292040390071</v>
      </c>
      <c r="H98" s="38">
        <v>40.366274770171898</v>
      </c>
      <c r="I98" s="38">
        <v>40.278410548997009</v>
      </c>
      <c r="J98" s="38">
        <v>40.135896453201696</v>
      </c>
      <c r="K98" s="38">
        <v>40.171525554108847</v>
      </c>
      <c r="L98" s="84">
        <v>40.172190310931853</v>
      </c>
      <c r="M98" s="84">
        <v>39.954947708022061</v>
      </c>
      <c r="N98" s="84">
        <v>39.765444643178711</v>
      </c>
      <c r="O98" s="84">
        <v>37.668034072553709</v>
      </c>
      <c r="Q98" s="38">
        <f>SUMPRODUCT(D98:F98,D59:F59)/SUM(D59:F59)</f>
        <v>41.371498189310358</v>
      </c>
      <c r="R98" s="38">
        <f>SUMPRODUCT(G98:I98,G59:I59)/SUM(G59:I59)</f>
        <v>40.373240203022242</v>
      </c>
      <c r="S98" s="38">
        <f>SUMPRODUCT(J98:L98,J59:L59)/SUM(J59:L59)</f>
        <v>40.15954093618884</v>
      </c>
      <c r="T98" s="38">
        <f>SUMPRODUCT(M98:O98,M59:O59)/SUM(M59:O59)</f>
        <v>39.129101829366334</v>
      </c>
      <c r="U98" s="38">
        <f>SUMPRODUCT(D98:O98,D59:O59)/SUM(D59:O59)</f>
        <v>40.090826339673264</v>
      </c>
    </row>
    <row r="99" spans="1:21" x14ac:dyDescent="0.2">
      <c r="A99" s="33" t="s">
        <v>246</v>
      </c>
      <c r="B99" s="39" t="s">
        <v>21</v>
      </c>
      <c r="C99" s="40" t="str">
        <f>+C88</f>
        <v>FY 24-25</v>
      </c>
      <c r="D99" s="171">
        <v>40.390525039037556</v>
      </c>
      <c r="E99" s="171">
        <v>40.28855804392262</v>
      </c>
      <c r="F99" s="171">
        <v>40.110017929845071</v>
      </c>
      <c r="G99" s="171">
        <v>40.388446886013448</v>
      </c>
      <c r="H99" s="171">
        <v>40.268682214577673</v>
      </c>
      <c r="I99" s="171">
        <v>40.179058261584792</v>
      </c>
      <c r="J99" s="171">
        <v>40.200487223962469</v>
      </c>
      <c r="K99" s="171">
        <v>40.098043907326634</v>
      </c>
      <c r="L99" s="171">
        <v>40.129004722730826</v>
      </c>
      <c r="M99" s="171">
        <v>39.674310233334012</v>
      </c>
      <c r="N99" s="171">
        <v>39.622886802558206</v>
      </c>
      <c r="O99" s="171">
        <v>39.608031763655987</v>
      </c>
      <c r="Q99" s="35">
        <f>SUMPRODUCT(D99:F99,$D$64:$F$64)/SUM($D$64:$F$64)</f>
        <v>40.266067785336375</v>
      </c>
      <c r="R99" s="35">
        <f>SUMPRODUCT(G99:I99,$G$64:$I$64)/SUM($G$64:$I$64)</f>
        <v>40.272549856495544</v>
      </c>
      <c r="S99" s="35">
        <f>SUMPRODUCT(J99:L99,$J$64:$L$64)/SUM($J$64:$L$64)</f>
        <v>40.144846903670441</v>
      </c>
      <c r="T99" s="35">
        <f>SUMPRODUCT(M99:O99,$M$64:$O$64)/SUM($M$64:$O$64)</f>
        <v>39.634428306830415</v>
      </c>
      <c r="U99" s="35">
        <f>SUMPRODUCT(D99:O99,$D$64:$O$64)/SUM($D$64:$O$64)</f>
        <v>40.030256537936225</v>
      </c>
    </row>
    <row r="100" spans="1:21" x14ac:dyDescent="0.2">
      <c r="A100" s="33" t="s">
        <v>246</v>
      </c>
      <c r="B100" s="39" t="s">
        <v>21</v>
      </c>
      <c r="C100" s="40" t="str">
        <f>+C89</f>
        <v>FY 25-26</v>
      </c>
      <c r="D100" s="169">
        <v>39.668827165463732</v>
      </c>
      <c r="E100" s="169">
        <v>39.581597889356232</v>
      </c>
      <c r="F100" s="169">
        <v>41.247674649769849</v>
      </c>
      <c r="G100" s="169">
        <v>41.185119179759695</v>
      </c>
      <c r="H100" s="169">
        <v>39.699687203173745</v>
      </c>
      <c r="I100" s="169">
        <v>41.63633232631615</v>
      </c>
      <c r="J100" s="169">
        <v>41.517349649390397</v>
      </c>
      <c r="K100" s="169">
        <v>41.151716849684519</v>
      </c>
      <c r="L100" s="169">
        <v>41.164390469536428</v>
      </c>
      <c r="M100" s="169">
        <v>41.192500950803456</v>
      </c>
      <c r="N100" s="169">
        <v>40.828487056881507</v>
      </c>
      <c r="O100" s="169">
        <v>40.815887865537121</v>
      </c>
      <c r="Q100" s="35">
        <f>SUMPRODUCT(D100:F100,$D$64:$F$64)/SUM($D$64:$F$64)</f>
        <v>40.147171877151465</v>
      </c>
      <c r="R100" s="35">
        <f>SUMPRODUCT(G100:I100,$G$64:$I$64)/SUM($G$64:$I$64)</f>
        <v>40.877076129825099</v>
      </c>
      <c r="S100" s="35">
        <f>SUMPRODUCT(J100:L100,$J$64:$L$64)/SUM($J$64:$L$64)</f>
        <v>41.281086203427257</v>
      </c>
      <c r="T100" s="35">
        <f>SUMPRODUCT(M100:O100,$M$64:$O$64)/SUM($M$64:$O$64)</f>
        <v>40.940276876201615</v>
      </c>
      <c r="U100" s="35">
        <f>SUMPRODUCT(D100:O100,$D$64:$O$64)/SUM($D$64:$O$64)</f>
        <v>40.832706893534301</v>
      </c>
    </row>
    <row r="101" spans="1:21" x14ac:dyDescent="0.2">
      <c r="A101" s="33" t="s">
        <v>246</v>
      </c>
      <c r="B101" s="39" t="s">
        <v>21</v>
      </c>
      <c r="C101" s="40" t="str">
        <f>+C90</f>
        <v>FY 26-27</v>
      </c>
      <c r="D101" s="169">
        <v>41.75992800999397</v>
      </c>
      <c r="E101" s="169">
        <v>42.244447354433397</v>
      </c>
      <c r="F101" s="169">
        <v>43.989630211486059</v>
      </c>
      <c r="G101" s="169"/>
      <c r="H101" s="169"/>
      <c r="I101" s="169"/>
      <c r="J101" s="169"/>
      <c r="K101" s="169"/>
      <c r="L101" s="169"/>
      <c r="M101" s="169"/>
      <c r="N101" s="169"/>
      <c r="O101" s="169"/>
      <c r="Q101" s="35">
        <f>SUMPRODUCT(D101:F101,$D$64:$F$64)/SUM($D$64:$F$64)</f>
        <v>42.639671380726206</v>
      </c>
      <c r="R101" s="35">
        <f>SUMPRODUCT(G101:I101,$G$64:$I$64)/SUM($G$64:$I$64)</f>
        <v>0</v>
      </c>
      <c r="S101" s="35">
        <f>SUMPRODUCT(J101:L101,$J$64:$L$64)/SUM($J$64:$L$64)</f>
        <v>0</v>
      </c>
      <c r="T101" s="35">
        <f>SUMPRODUCT(M101:O101,$M$64:$O$64)/SUM($M$64:$O$64)</f>
        <v>0</v>
      </c>
      <c r="U101" s="35">
        <f>SUMPRODUCT(D101:O101,$D$64:$O$64)/SUM($D$64:$O$64)</f>
        <v>9.1288587342747185</v>
      </c>
    </row>
    <row r="102" spans="1:21" x14ac:dyDescent="0.2">
      <c r="C102" s="41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Q102" s="42"/>
      <c r="R102" s="42"/>
      <c r="S102" s="42"/>
      <c r="T102" s="42"/>
      <c r="U102" s="42"/>
    </row>
    <row r="103" spans="1:21" x14ac:dyDescent="0.2">
      <c r="A103" s="28" t="s">
        <v>24</v>
      </c>
    </row>
    <row r="104" spans="1:21" x14ac:dyDescent="0.2">
      <c r="A104" s="14" t="s">
        <v>247</v>
      </c>
      <c r="B104" s="14" t="s">
        <v>21</v>
      </c>
      <c r="C104" s="20" t="s">
        <v>11</v>
      </c>
      <c r="D104" s="26">
        <v>30.61321640616497</v>
      </c>
      <c r="E104" s="26">
        <v>30.319736724263098</v>
      </c>
      <c r="F104" s="26">
        <v>30.176296890067785</v>
      </c>
      <c r="G104" s="26">
        <v>29.787683475279646</v>
      </c>
      <c r="H104" s="26">
        <v>30.63982132313469</v>
      </c>
      <c r="I104" s="26">
        <v>30.80263088113637</v>
      </c>
      <c r="J104" s="26">
        <v>30.901649876121446</v>
      </c>
      <c r="K104" s="26">
        <v>30.802850360025008</v>
      </c>
      <c r="L104" s="26">
        <v>29.92405986183504</v>
      </c>
      <c r="M104" s="26">
        <v>29.688570275659472</v>
      </c>
      <c r="N104" s="26">
        <v>29.444571638075402</v>
      </c>
      <c r="O104" s="26">
        <v>29.298298886834619</v>
      </c>
      <c r="Q104" s="26">
        <f>SUMPRODUCT(D104:F104,D42:F42)/SUM(D42:F42)</f>
        <v>30.378534501450662</v>
      </c>
      <c r="R104" s="26">
        <f>SUMPRODUCT(G104:I104,G42:I42)/SUM(G42:I42)</f>
        <v>30.389950419916939</v>
      </c>
      <c r="S104" s="26">
        <f>SUMPRODUCT(J104:L104,J42:L42)/SUM(J42:L42)</f>
        <v>30.490242511927367</v>
      </c>
      <c r="T104" s="26">
        <f>SUMPRODUCT(M104:O104,M42:O42)/SUM(M42:O42)</f>
        <v>29.469763407108136</v>
      </c>
      <c r="U104" s="26">
        <f>SUMPRODUCT(D104:O104,D42:O42)/SUM(D42:O42)</f>
        <v>30.102747164565727</v>
      </c>
    </row>
    <row r="105" spans="1:21" x14ac:dyDescent="0.2">
      <c r="A105" s="14" t="s">
        <v>247</v>
      </c>
      <c r="B105" s="14" t="s">
        <v>21</v>
      </c>
      <c r="C105" s="20" t="s">
        <v>12</v>
      </c>
      <c r="D105" s="26">
        <v>29.084706591620655</v>
      </c>
      <c r="E105" s="26">
        <v>28.779960579186501</v>
      </c>
      <c r="F105" s="26">
        <v>28.443053764580753</v>
      </c>
      <c r="G105" s="26">
        <v>28.641826066677815</v>
      </c>
      <c r="H105" s="26">
        <v>30.414986198730119</v>
      </c>
      <c r="I105" s="26">
        <v>30.212648874625547</v>
      </c>
      <c r="J105" s="26">
        <v>30.62147794981982</v>
      </c>
      <c r="K105" s="26">
        <v>31.330503669713792</v>
      </c>
      <c r="L105" s="26">
        <v>31.330900580987606</v>
      </c>
      <c r="M105" s="26">
        <v>30.833802760473141</v>
      </c>
      <c r="N105" s="26">
        <v>30.373118422518981</v>
      </c>
      <c r="O105" s="26">
        <v>30.020053263078566</v>
      </c>
      <c r="Q105" s="26">
        <f>SUMPRODUCT(D105:F105,D45:F45)/SUM(D45:F45)</f>
        <v>28.833660689076229</v>
      </c>
      <c r="R105" s="26">
        <f>SUMPRODUCT(G105:I105,G45:I45)/SUM(G45:I45)</f>
        <v>29.826689381607647</v>
      </c>
      <c r="S105" s="26">
        <f>SUMPRODUCT(J105:L105,J45:L45)/SUM(J45:L45)</f>
        <v>31.08680947890354</v>
      </c>
      <c r="T105" s="26">
        <f>SUMPRODUCT(M105:O105,M45:O45)/SUM(M45:O45)</f>
        <v>30.366743760209015</v>
      </c>
      <c r="U105" s="26">
        <f>SUMPRODUCT(D105:O105,D45:O45)/SUM(D45:O45)</f>
        <v>30.006477207370818</v>
      </c>
    </row>
    <row r="106" spans="1:21" x14ac:dyDescent="0.2">
      <c r="A106" s="14" t="s">
        <v>247</v>
      </c>
      <c r="B106" s="14" t="s">
        <v>21</v>
      </c>
      <c r="C106" s="20" t="s">
        <v>13</v>
      </c>
      <c r="D106" s="26">
        <v>29.82256087567719</v>
      </c>
      <c r="E106" s="26">
        <v>28.088624493643728</v>
      </c>
      <c r="F106" s="26">
        <v>28.660748079110849</v>
      </c>
      <c r="G106" s="26">
        <v>29.894292649652943</v>
      </c>
      <c r="H106" s="26">
        <v>31.879679912053795</v>
      </c>
      <c r="I106" s="26">
        <v>32.348397149426333</v>
      </c>
      <c r="J106" s="26">
        <v>33.05153058693773</v>
      </c>
      <c r="K106" s="26">
        <v>32.852246184312179</v>
      </c>
      <c r="L106" s="26">
        <v>33.200055414497029</v>
      </c>
      <c r="M106" s="26">
        <v>33.402916863223076</v>
      </c>
      <c r="N106" s="26">
        <v>33.047906317263823</v>
      </c>
      <c r="O106" s="26">
        <v>33.797978898325482</v>
      </c>
      <c r="Q106" s="26">
        <f>SUMPRODUCT(D106:F106,D49:F49)/SUM(D49:F49)</f>
        <v>28.968418610132886</v>
      </c>
      <c r="R106" s="26">
        <f>SUMPRODUCT(G106:I106,G49:I49)/SUM(G49:I49)</f>
        <v>31.350010016078389</v>
      </c>
      <c r="S106" s="26">
        <f>SUMPRODUCT(J106:L106,J49:L49)/SUM(J49:L49)</f>
        <v>33.051936319632972</v>
      </c>
      <c r="T106" s="26">
        <f>SUMPRODUCT(M106:O106,M49:O49)/SUM(M49:O49)</f>
        <v>33.471234659170527</v>
      </c>
      <c r="U106" s="26">
        <f>SUMPRODUCT(D106:O106,D49:O49)/SUM(D49:O49)</f>
        <v>31.539444073415375</v>
      </c>
    </row>
    <row r="107" spans="1:21" x14ac:dyDescent="0.2">
      <c r="A107" s="14" t="s">
        <v>247</v>
      </c>
      <c r="B107" s="14" t="s">
        <v>21</v>
      </c>
      <c r="C107" s="20" t="s">
        <v>14</v>
      </c>
      <c r="D107" s="26">
        <v>34.016518943763437</v>
      </c>
      <c r="E107" s="26">
        <v>33.144652912867485</v>
      </c>
      <c r="F107" s="26">
        <v>33.349109945054238</v>
      </c>
      <c r="G107" s="26">
        <v>33.898159658320495</v>
      </c>
      <c r="H107" s="26">
        <v>34.870220369866857</v>
      </c>
      <c r="I107" s="26">
        <v>34.759609431508856</v>
      </c>
      <c r="J107" s="26">
        <v>34.840337643782355</v>
      </c>
      <c r="K107" s="26">
        <v>35.812808395924677</v>
      </c>
      <c r="L107" s="26">
        <v>35.96</v>
      </c>
      <c r="M107" s="26">
        <v>35.774604738382109</v>
      </c>
      <c r="N107" s="26">
        <v>36.36963565630635</v>
      </c>
      <c r="O107" s="26">
        <v>36.793483182467469</v>
      </c>
      <c r="Q107" s="26">
        <f>SUMPRODUCT(D107:F107,D53:F53)/SUM(D53:F53)</f>
        <v>33.528364872388856</v>
      </c>
      <c r="R107" s="26">
        <f>SUMPRODUCT(G107:I107,G53:I53)/SUM(G53:I53)</f>
        <v>34.551898244568029</v>
      </c>
      <c r="S107" s="26">
        <f>SUMPRODUCT(J107:L107,J53:L53)/SUM(J53:L53)</f>
        <v>35.52368291163252</v>
      </c>
      <c r="T107" s="26">
        <f>SUMPRODUCT(M107:O107,M53:O53)/SUM(M53:O53)</f>
        <v>36.282809759125229</v>
      </c>
      <c r="U107" s="26">
        <f>SUMPRODUCT(D107:O107,D53:O53)/SUM(D53:O53)</f>
        <v>35.015681049653459</v>
      </c>
    </row>
    <row r="108" spans="1:21" x14ac:dyDescent="0.2">
      <c r="A108" s="14" t="s">
        <v>247</v>
      </c>
      <c r="B108" s="14" t="s">
        <v>21</v>
      </c>
      <c r="C108" s="20" t="str">
        <f>+C97</f>
        <v>FY 22-23</v>
      </c>
      <c r="D108" s="26">
        <v>38.514818248880445</v>
      </c>
      <c r="E108" s="26">
        <v>41.509906440334277</v>
      </c>
      <c r="F108" s="26">
        <v>38.971035985916799</v>
      </c>
      <c r="G108" s="26">
        <v>38.613085843409266</v>
      </c>
      <c r="H108" s="26">
        <v>38.5808404534</v>
      </c>
      <c r="I108" s="26">
        <v>38.242331039239595</v>
      </c>
      <c r="J108" s="26">
        <v>39.419713702829625</v>
      </c>
      <c r="K108" s="26">
        <v>39.901028453369605</v>
      </c>
      <c r="L108" s="26">
        <v>39.931262845465127</v>
      </c>
      <c r="M108" s="26">
        <v>40.482580459374574</v>
      </c>
      <c r="N108" s="26">
        <v>40.100376804569777</v>
      </c>
      <c r="O108" s="26">
        <v>40.307942650991748</v>
      </c>
      <c r="Q108" s="26">
        <f>SUMPRODUCT(D108:F108,D58:F58)/SUM(D58:F58)</f>
        <v>39.814068128484351</v>
      </c>
      <c r="R108" s="26">
        <f>SUMPRODUCT(G108:I108,G58:I58)/SUM(G58:I58)</f>
        <v>38.48257248995278</v>
      </c>
      <c r="S108" s="26">
        <f>SUMPRODUCT(J108:L108,J58:L58)/SUM(J58:L58)</f>
        <v>39.757336460524584</v>
      </c>
      <c r="T108" s="26">
        <f>SUMPRODUCT(M108:O108,M58:O58)/SUM(M58:O58)</f>
        <v>40.296716653190174</v>
      </c>
      <c r="U108" s="26">
        <f>SUMPRODUCT(D108:O108,D58:O58)/SUM(D58:O58)</f>
        <v>39.593783862367403</v>
      </c>
    </row>
    <row r="109" spans="1:21" x14ac:dyDescent="0.2">
      <c r="A109" s="14" t="s">
        <v>247</v>
      </c>
      <c r="B109" s="21" t="s">
        <v>21</v>
      </c>
      <c r="C109" s="22" t="str">
        <f>+C98</f>
        <v>FY 23-24</v>
      </c>
      <c r="D109" s="168">
        <v>40.821937050522948</v>
      </c>
      <c r="E109" s="168">
        <v>43.813181624673064</v>
      </c>
      <c r="F109" s="168">
        <v>42.466038269086823</v>
      </c>
      <c r="G109" s="168">
        <v>41.045352388932997</v>
      </c>
      <c r="H109" s="168">
        <v>40.735332791362481</v>
      </c>
      <c r="I109" s="168">
        <v>40.474852988106178</v>
      </c>
      <c r="J109" s="168">
        <v>40.436418680271373</v>
      </c>
      <c r="K109" s="168">
        <v>40.487046550635355</v>
      </c>
      <c r="L109" s="168">
        <v>40.050294467963582</v>
      </c>
      <c r="M109" s="168">
        <v>39.76141715165317</v>
      </c>
      <c r="N109" s="168">
        <v>39.730649258766142</v>
      </c>
      <c r="O109" s="168">
        <v>37.573853928209886</v>
      </c>
      <c r="Q109" s="172">
        <f>SUMPRODUCT(D109:F109,D63:F63)/SUM(D63:F63)</f>
        <v>42.415831322853265</v>
      </c>
      <c r="R109" s="172">
        <f>SUMPRODUCT(G109:I109,G63:I63)/SUM(G63:I63)</f>
        <v>40.753475273352329</v>
      </c>
      <c r="S109" s="172">
        <f>SUMPRODUCT(J109:L109,J63:L63)/SUM(J63:L63)</f>
        <v>40.31576352882351</v>
      </c>
      <c r="T109" s="172">
        <f>SUMPRODUCT(M109:O109,M63:O63)/SUM(M63:O63)</f>
        <v>39.006315392833507</v>
      </c>
      <c r="U109" s="172">
        <f>SUMPRODUCT(D109:O109,D63:O63)/SUM(D63:O63)</f>
        <v>40.57387672592705</v>
      </c>
    </row>
    <row r="110" spans="1:21" x14ac:dyDescent="0.2">
      <c r="A110" s="14" t="s">
        <v>247</v>
      </c>
      <c r="B110" s="21" t="s">
        <v>21</v>
      </c>
      <c r="C110" s="22" t="str">
        <f>+C99</f>
        <v>FY 24-25</v>
      </c>
      <c r="D110" s="168">
        <v>39.79594133879138</v>
      </c>
      <c r="E110" s="168">
        <v>40.200717708960802</v>
      </c>
      <c r="F110" s="168">
        <v>39.963434739101601</v>
      </c>
      <c r="G110" s="168">
        <v>40.068534967917827</v>
      </c>
      <c r="H110" s="168">
        <v>40.112316355872878</v>
      </c>
      <c r="I110" s="168">
        <v>40.122146916685885</v>
      </c>
      <c r="J110" s="168">
        <v>39.920104653963975</v>
      </c>
      <c r="K110" s="168">
        <v>39.936021437879262</v>
      </c>
      <c r="L110" s="168">
        <v>39.909729792776609</v>
      </c>
      <c r="M110" s="168">
        <v>39.887150567489392</v>
      </c>
      <c r="N110" s="168">
        <v>39.651686750087805</v>
      </c>
      <c r="O110" s="168">
        <v>39.649926696759579</v>
      </c>
      <c r="Q110" s="35">
        <f>SUMPRODUCT(D110:F110,$D$68:$F$68)/SUM($D$68:$F$68)</f>
        <v>39.982094844174746</v>
      </c>
      <c r="R110" s="35">
        <f>SUMPRODUCT(G110:I110,$G$68:$I$68)/SUM($G$68:$I$68)</f>
        <v>40.101607072188912</v>
      </c>
      <c r="S110" s="35">
        <f>SUMPRODUCT(J110:L110,$J$68:$L$68)/SUM($J$68:$L$68)</f>
        <v>39.922046941878619</v>
      </c>
      <c r="T110" s="35">
        <f>SUMPRODUCT(M110:O110,$M$68:$O$68)/SUM($M$68:$O$68)</f>
        <v>39.736744308999072</v>
      </c>
      <c r="U110" s="35">
        <f>SUMPRODUCT(D110:O110,$D$68:$O$68)/SUM($D$68:$O$68)</f>
        <v>39.935226128675943</v>
      </c>
    </row>
    <row r="111" spans="1:21" x14ac:dyDescent="0.2">
      <c r="A111" s="14" t="s">
        <v>247</v>
      </c>
      <c r="B111" s="21" t="s">
        <v>21</v>
      </c>
      <c r="C111" s="22" t="str">
        <f>+C100</f>
        <v>FY 25-26</v>
      </c>
      <c r="D111" s="35">
        <v>41.240410107774139</v>
      </c>
      <c r="E111" s="35">
        <v>42.052586655297603</v>
      </c>
      <c r="F111" s="35">
        <v>42.100918915591215</v>
      </c>
      <c r="G111" s="35">
        <v>41.89913094809544</v>
      </c>
      <c r="H111" s="35">
        <v>42.377159154151457</v>
      </c>
      <c r="I111" s="35">
        <v>44.355577039563173</v>
      </c>
      <c r="J111" s="35">
        <v>44.620350155565198</v>
      </c>
      <c r="K111" s="35">
        <v>44.158209979000382</v>
      </c>
      <c r="L111" s="35">
        <v>42.226129180456496</v>
      </c>
      <c r="M111" s="35">
        <v>42.425868757302567</v>
      </c>
      <c r="N111" s="35">
        <v>42.172610152595325</v>
      </c>
      <c r="O111" s="35">
        <v>42.411848892673483</v>
      </c>
      <c r="Q111" s="35">
        <f>SUMPRODUCT(D111:F111,$D$68:$F$68)/SUM($D$68:$F$68)</f>
        <v>41.778846466225374</v>
      </c>
      <c r="R111" s="35">
        <f>SUMPRODUCT(G111:I111,$G$68:$I$68)/SUM($G$68:$I$68)</f>
        <v>42.883358348979172</v>
      </c>
      <c r="S111" s="35">
        <f>SUMPRODUCT(J111:L111,$J$68:$L$68)/SUM($J$68:$L$68)</f>
        <v>43.636907237332039</v>
      </c>
      <c r="T111" s="35">
        <f>SUMPRODUCT(M111:O111,$M$68:$O$68)/SUM($M$68:$O$68)</f>
        <v>42.337472763315894</v>
      </c>
      <c r="U111" s="35">
        <f>SUMPRODUCT(D111:O111,$D$68:$O$68)/SUM($D$68:$O$68)</f>
        <v>42.674418033243597</v>
      </c>
    </row>
    <row r="112" spans="1:21" x14ac:dyDescent="0.2">
      <c r="A112" s="14" t="s">
        <v>247</v>
      </c>
      <c r="B112" s="21" t="s">
        <v>21</v>
      </c>
      <c r="C112" s="22" t="str">
        <f>+C101</f>
        <v>FY 26-27</v>
      </c>
      <c r="D112" s="35">
        <v>43.631098020112873</v>
      </c>
      <c r="E112" s="35">
        <v>43.980433117017277</v>
      </c>
      <c r="F112" s="35">
        <v>44.608170036515503</v>
      </c>
      <c r="G112" s="35"/>
      <c r="H112" s="35"/>
      <c r="I112" s="35"/>
      <c r="J112" s="35"/>
      <c r="K112" s="35"/>
      <c r="L112" s="35"/>
      <c r="M112" s="35"/>
      <c r="N112" s="35"/>
      <c r="O112" s="35"/>
      <c r="Q112" s="35">
        <f>SUMPRODUCT(D112:F112,$D$68:$F$68)/SUM($D$68:$F$68)</f>
        <v>44.053562090657024</v>
      </c>
      <c r="R112" s="35">
        <f>SUMPRODUCT(G112:I112,$G$68:$I$68)/SUM($G$68:$I$68)</f>
        <v>0</v>
      </c>
      <c r="S112" s="35">
        <f>SUMPRODUCT(J112:L112,$J$68:$L$68)/SUM($J$68:$L$68)</f>
        <v>0</v>
      </c>
      <c r="T112" s="35">
        <f>SUMPRODUCT(M112:O112,$M$68:$O$68)/SUM($M$68:$O$68)</f>
        <v>0</v>
      </c>
      <c r="U112" s="35">
        <f>SUMPRODUCT(D112:O112,$D$68:$O$68)/SUM($D$68:$O$68)</f>
        <v>10.655467188452263</v>
      </c>
    </row>
    <row r="113" spans="13:15" x14ac:dyDescent="0.2">
      <c r="M113" s="42"/>
      <c r="N113" s="42"/>
      <c r="O113" s="42"/>
    </row>
  </sheetData>
  <mergeCells count="1">
    <mergeCell ref="W10:AA10"/>
  </mergeCells>
  <phoneticPr fontId="11" type="noConversion"/>
  <conditionalFormatting sqref="P5:P1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{AF4F21F9-DB9E-4361-A108-FBB1D5A734D3}</x14:id>
        </ext>
      </extLst>
    </cfRule>
  </conditionalFormatting>
  <conditionalFormatting sqref="P11:P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{A853E049-75AA-4C9D-8F25-CB6951A1E3B4}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{6C7AAFE6-D02C-4E6A-AF04-73B62E506BC3}</x14:id>
        </ext>
      </extLst>
    </cfRule>
  </conditionalFormatting>
  <conditionalFormatting sqref="P1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{21A345D1-57D2-4BF6-8162-A47EBB58CB1A}</x14:id>
        </ext>
      </extLst>
    </cfRule>
  </conditionalFormatting>
  <conditionalFormatting sqref="P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{E42338CC-FBF3-4210-8EFC-02E250BD30C4}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{4A877CD1-1A90-4BAB-9DC2-16ABB1E5195B}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{04655D3B-0409-49F6-A3CC-CC57C05E982D}</x14:id>
        </ext>
      </extLst>
    </cfRule>
  </conditionalFormatting>
  <conditionalFormatting sqref="P25:P3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{8FD48182-FD94-46AE-887A-A3923F4195E0}</x14:id>
        </ext>
      </extLst>
    </cfRule>
  </conditionalFormatting>
  <conditionalFormatting sqref="P3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{664D80A8-AB25-42CD-AE74-9477601EA05A}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{F1DAB82C-6123-478C-89FE-3C353039FAE8}</x14:id>
        </ext>
      </extLst>
    </cfRule>
  </conditionalFormatting>
  <pageMargins left="0.7" right="0.7" top="0.36" bottom="0.35" header="0.3" footer="0.3"/>
  <pageSetup paperSize="9" scale="6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4F21F9-DB9E-4361-A108-FBB1D5A734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P5:P12</xm:sqref>
        </x14:conditionalFormatting>
        <x14:conditionalFormatting xmlns:xm="http://schemas.microsoft.com/office/excel/2006/main">
          <x14:cfRule type="dataBar" id="{A853E049-75AA-4C9D-8F25-CB6951A1E3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7AAFE6-D02C-4E6A-AF04-73B62E506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P11:P16</xm:sqref>
        </x14:conditionalFormatting>
        <x14:conditionalFormatting xmlns:xm="http://schemas.microsoft.com/office/excel/2006/main">
          <x14:cfRule type="dataBar" id="{21A345D1-57D2-4BF6-8162-A47EBB58CB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P16</xm:sqref>
        </x14:conditionalFormatting>
        <x14:conditionalFormatting xmlns:xm="http://schemas.microsoft.com/office/excel/2006/main">
          <x14:cfRule type="dataBar" id="{E42338CC-FBF3-4210-8EFC-02E250BD3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877CD1-1A90-4BAB-9DC2-16ABB1E519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655D3B-0409-49F6-A3CC-CC57C05E9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P17</xm:sqref>
        </x14:conditionalFormatting>
        <x14:conditionalFormatting xmlns:xm="http://schemas.microsoft.com/office/excel/2006/main">
          <x14:cfRule type="dataBar" id="{8FD48182-FD94-46AE-887A-A3923F419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P25:P30</xm:sqref>
        </x14:conditionalFormatting>
        <x14:conditionalFormatting xmlns:xm="http://schemas.microsoft.com/office/excel/2006/main">
          <x14:cfRule type="dataBar" id="{664D80A8-AB25-42CD-AE74-9477601E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DAB82C-6123-478C-89FE-3C353039FA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83ED-440A-46D9-9CA5-6806C8D34E6D}">
  <sheetPr>
    <tabColor rgb="FF92D050"/>
  </sheetPr>
  <dimension ref="A1:Y86"/>
  <sheetViews>
    <sheetView tabSelected="1" zoomScale="80" zoomScaleNormal="80" workbookViewId="0">
      <pane xSplit="3" ySplit="4" topLeftCell="D13" activePane="bottomRight" state="frozen"/>
      <selection activeCell="U27" sqref="U27"/>
      <selection pane="topRight" activeCell="U27" sqref="U27"/>
      <selection pane="bottomLeft" activeCell="U27" sqref="U27"/>
      <selection pane="bottomRight" activeCell="AJ14" sqref="AJ14"/>
    </sheetView>
  </sheetViews>
  <sheetFormatPr defaultColWidth="8.7109375" defaultRowHeight="12.75" x14ac:dyDescent="0.2"/>
  <cols>
    <col min="1" max="1" width="21.85546875" style="43" bestFit="1" customWidth="1"/>
    <col min="2" max="2" width="7" style="43" customWidth="1"/>
    <col min="3" max="3" width="10.42578125" style="29" customWidth="1"/>
    <col min="4" max="15" width="7.5703125" style="43" customWidth="1"/>
    <col min="16" max="16" width="1.140625" style="43" customWidth="1"/>
    <col min="17" max="19" width="8.7109375" style="43"/>
    <col min="20" max="20" width="8.85546875" style="43" customWidth="1"/>
    <col min="21" max="16384" width="8.7109375" style="43"/>
  </cols>
  <sheetData>
    <row r="1" spans="1:25" x14ac:dyDescent="0.2">
      <c r="A1" s="77" t="s">
        <v>47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25" x14ac:dyDescent="0.2">
      <c r="A2" s="77"/>
      <c r="B2" s="77"/>
      <c r="C2" s="77"/>
      <c r="D2" s="44">
        <v>30</v>
      </c>
      <c r="E2" s="44">
        <v>31</v>
      </c>
      <c r="F2" s="44">
        <v>30</v>
      </c>
      <c r="G2" s="44">
        <v>31</v>
      </c>
      <c r="H2" s="44">
        <v>31</v>
      </c>
      <c r="I2" s="44">
        <v>30</v>
      </c>
      <c r="J2" s="44">
        <v>31</v>
      </c>
      <c r="K2" s="44">
        <v>30</v>
      </c>
      <c r="L2" s="44">
        <v>31</v>
      </c>
      <c r="M2" s="44">
        <v>31</v>
      </c>
      <c r="N2" s="44">
        <v>28</v>
      </c>
      <c r="O2" s="44">
        <v>31</v>
      </c>
      <c r="Q2" s="45">
        <f>SUM(D2:F2)</f>
        <v>91</v>
      </c>
      <c r="R2" s="45">
        <f>SUM(G2:I2)</f>
        <v>92</v>
      </c>
      <c r="S2" s="45">
        <f>SUM(J2:L2)</f>
        <v>92</v>
      </c>
      <c r="T2" s="45">
        <f>SUM(M2:O2)</f>
        <v>90</v>
      </c>
      <c r="U2" s="45">
        <f>SUM(Q2:T2)</f>
        <v>365</v>
      </c>
    </row>
    <row r="3" spans="1:25" x14ac:dyDescent="0.2">
      <c r="A3" s="44"/>
      <c r="B3" s="44"/>
      <c r="C3" s="44"/>
      <c r="D3" s="44">
        <v>30</v>
      </c>
      <c r="E3" s="44">
        <v>31</v>
      </c>
      <c r="F3" s="44">
        <v>30</v>
      </c>
      <c r="G3" s="44">
        <v>31</v>
      </c>
      <c r="H3" s="44">
        <v>31</v>
      </c>
      <c r="I3" s="44">
        <v>30</v>
      </c>
      <c r="J3" s="44">
        <v>31</v>
      </c>
      <c r="K3" s="44">
        <v>30</v>
      </c>
      <c r="L3" s="44">
        <v>31</v>
      </c>
      <c r="M3" s="44">
        <v>31</v>
      </c>
      <c r="N3" s="44">
        <v>29</v>
      </c>
      <c r="O3" s="44">
        <v>31</v>
      </c>
      <c r="P3" s="45"/>
      <c r="Q3" s="45">
        <f>SUM(D3:F3)</f>
        <v>91</v>
      </c>
      <c r="R3" s="45">
        <f>SUM(G3:I3)</f>
        <v>92</v>
      </c>
      <c r="S3" s="45">
        <f>SUM(J3:L3)</f>
        <v>92</v>
      </c>
      <c r="T3" s="45">
        <f>SUM(M3:O3)</f>
        <v>91</v>
      </c>
      <c r="U3" s="45">
        <f>SUM(Q3:T3)</f>
        <v>366</v>
      </c>
    </row>
    <row r="4" spans="1:25" x14ac:dyDescent="0.2">
      <c r="A4" s="46" t="s">
        <v>48</v>
      </c>
      <c r="B4" s="46" t="s">
        <v>2</v>
      </c>
      <c r="C4" s="47" t="s">
        <v>3</v>
      </c>
      <c r="D4" s="48" t="s">
        <v>25</v>
      </c>
      <c r="E4" s="48" t="s">
        <v>4</v>
      </c>
      <c r="F4" s="48" t="s">
        <v>26</v>
      </c>
      <c r="G4" s="48" t="s">
        <v>43</v>
      </c>
      <c r="H4" s="48" t="s">
        <v>27</v>
      </c>
      <c r="I4" s="48" t="s">
        <v>44</v>
      </c>
      <c r="J4" s="48" t="s">
        <v>28</v>
      </c>
      <c r="K4" s="48" t="s">
        <v>29</v>
      </c>
      <c r="L4" s="48" t="s">
        <v>30</v>
      </c>
      <c r="M4" s="48" t="s">
        <v>45</v>
      </c>
      <c r="N4" s="48" t="s">
        <v>31</v>
      </c>
      <c r="O4" s="48" t="s">
        <v>46</v>
      </c>
      <c r="P4" s="46"/>
      <c r="Q4" s="48" t="s">
        <v>34</v>
      </c>
      <c r="R4" s="48" t="s">
        <v>35</v>
      </c>
      <c r="S4" s="48" t="s">
        <v>36</v>
      </c>
      <c r="T4" s="54" t="s">
        <v>37</v>
      </c>
      <c r="U4" s="48" t="s">
        <v>49</v>
      </c>
    </row>
    <row r="5" spans="1:25" x14ac:dyDescent="0.2">
      <c r="A5" s="49" t="s">
        <v>5</v>
      </c>
      <c r="B5" s="49" t="s">
        <v>6</v>
      </c>
      <c r="C5" s="20" t="s">
        <v>12</v>
      </c>
      <c r="D5" s="15">
        <v>0</v>
      </c>
      <c r="E5" s="15">
        <v>4</v>
      </c>
      <c r="F5" s="15">
        <v>8</v>
      </c>
      <c r="G5" s="15">
        <v>18</v>
      </c>
      <c r="H5" s="15">
        <v>26</v>
      </c>
      <c r="I5" s="15">
        <v>41</v>
      </c>
      <c r="J5" s="15">
        <v>47</v>
      </c>
      <c r="K5" s="15">
        <v>63</v>
      </c>
      <c r="L5" s="15">
        <v>76</v>
      </c>
      <c r="M5" s="15">
        <v>87</v>
      </c>
      <c r="N5" s="15">
        <v>102</v>
      </c>
      <c r="O5" s="15">
        <v>110</v>
      </c>
      <c r="P5" s="49"/>
      <c r="Q5" s="15">
        <f t="shared" ref="Q5:Q11" si="0">SUMPRODUCT(D5:F5,$D$3:$F$3)/$Q$3</f>
        <v>4</v>
      </c>
      <c r="R5" s="15">
        <f t="shared" ref="R5:R11" si="1">SUMPRODUCT(G5:I5,$G$3:$I$3)/$R$3</f>
        <v>28.195652173913043</v>
      </c>
      <c r="S5" s="15">
        <f t="shared" ref="S5:S11" si="2">SUMPRODUCT(J5:L5,$J$3:$L$3)/$S$3</f>
        <v>61.989130434782609</v>
      </c>
      <c r="T5" s="55">
        <f t="shared" ref="T5:T11" si="3">SUMPRODUCT(M5:O5,$M$3:$O$3)/$T$3</f>
        <v>99.615384615384613</v>
      </c>
      <c r="U5" s="15"/>
      <c r="V5" s="174">
        <f>MAX(D5:O5)</f>
        <v>110</v>
      </c>
    </row>
    <row r="6" spans="1:25" x14ac:dyDescent="0.2">
      <c r="A6" s="49" t="s">
        <v>5</v>
      </c>
      <c r="B6" s="49" t="s">
        <v>6</v>
      </c>
      <c r="C6" s="20" t="s">
        <v>13</v>
      </c>
      <c r="D6" s="15">
        <v>106</v>
      </c>
      <c r="E6" s="15">
        <v>106</v>
      </c>
      <c r="F6" s="15">
        <v>106</v>
      </c>
      <c r="G6" s="15">
        <v>110</v>
      </c>
      <c r="H6" s="15">
        <v>109</v>
      </c>
      <c r="I6" s="15">
        <v>109</v>
      </c>
      <c r="J6" s="15">
        <v>109</v>
      </c>
      <c r="K6" s="15">
        <v>115</v>
      </c>
      <c r="L6" s="15">
        <v>118</v>
      </c>
      <c r="M6" s="15">
        <v>117</v>
      </c>
      <c r="N6" s="15">
        <v>122</v>
      </c>
      <c r="O6" s="15">
        <v>137</v>
      </c>
      <c r="P6" s="49"/>
      <c r="Q6" s="15">
        <f t="shared" si="0"/>
        <v>106</v>
      </c>
      <c r="R6" s="15">
        <f t="shared" si="1"/>
        <v>109.33695652173913</v>
      </c>
      <c r="S6" s="15">
        <f t="shared" si="2"/>
        <v>113.98913043478261</v>
      </c>
      <c r="T6" s="55">
        <f t="shared" si="3"/>
        <v>125.4065934065934</v>
      </c>
      <c r="U6" s="15"/>
      <c r="V6" s="174">
        <f t="shared" ref="V6:V11" si="4">MAX(D6:O6)</f>
        <v>137</v>
      </c>
    </row>
    <row r="7" spans="1:25" x14ac:dyDescent="0.2">
      <c r="A7" s="49" t="s">
        <v>5</v>
      </c>
      <c r="B7" s="49" t="s">
        <v>6</v>
      </c>
      <c r="C7" s="20" t="s">
        <v>14</v>
      </c>
      <c r="D7" s="15">
        <v>144</v>
      </c>
      <c r="E7" s="15">
        <v>140</v>
      </c>
      <c r="F7" s="15">
        <v>137</v>
      </c>
      <c r="G7" s="15">
        <v>132</v>
      </c>
      <c r="H7" s="15">
        <v>129</v>
      </c>
      <c r="I7" s="15">
        <v>126</v>
      </c>
      <c r="J7" s="15">
        <v>127</v>
      </c>
      <c r="K7" s="15">
        <v>128</v>
      </c>
      <c r="L7" s="15">
        <v>126</v>
      </c>
      <c r="M7" s="15">
        <v>128</v>
      </c>
      <c r="N7" s="15">
        <v>129</v>
      </c>
      <c r="O7" s="15">
        <v>125</v>
      </c>
      <c r="P7" s="49"/>
      <c r="Q7" s="15">
        <f t="shared" si="0"/>
        <v>140.32967032967034</v>
      </c>
      <c r="R7" s="15">
        <f t="shared" si="1"/>
        <v>129.03260869565219</v>
      </c>
      <c r="S7" s="15">
        <f t="shared" si="2"/>
        <v>126.98913043478261</v>
      </c>
      <c r="T7" s="55">
        <f t="shared" si="3"/>
        <v>127.2967032967033</v>
      </c>
      <c r="U7" s="15"/>
      <c r="V7" s="174">
        <f t="shared" si="4"/>
        <v>144</v>
      </c>
    </row>
    <row r="8" spans="1:25" x14ac:dyDescent="0.2">
      <c r="A8" s="49" t="s">
        <v>5</v>
      </c>
      <c r="B8" s="49" t="s">
        <v>6</v>
      </c>
      <c r="C8" s="20" t="s">
        <v>32</v>
      </c>
      <c r="D8" s="15">
        <v>133</v>
      </c>
      <c r="E8" s="15">
        <v>140</v>
      </c>
      <c r="F8" s="15">
        <v>141</v>
      </c>
      <c r="G8" s="15">
        <v>147</v>
      </c>
      <c r="H8" s="15">
        <v>147</v>
      </c>
      <c r="I8" s="15">
        <v>147</v>
      </c>
      <c r="J8" s="15">
        <v>147</v>
      </c>
      <c r="K8" s="15">
        <v>154</v>
      </c>
      <c r="L8" s="15">
        <v>150</v>
      </c>
      <c r="M8" s="15">
        <v>155</v>
      </c>
      <c r="N8" s="15">
        <v>162</v>
      </c>
      <c r="O8" s="15">
        <v>164</v>
      </c>
      <c r="P8" s="49"/>
      <c r="Q8" s="15">
        <f t="shared" si="0"/>
        <v>138.02197802197801</v>
      </c>
      <c r="R8" s="15">
        <f t="shared" si="1"/>
        <v>147</v>
      </c>
      <c r="S8" s="15">
        <f t="shared" si="2"/>
        <v>150.29347826086956</v>
      </c>
      <c r="T8" s="55">
        <f t="shared" si="3"/>
        <v>160.2967032967033</v>
      </c>
      <c r="U8" s="15"/>
      <c r="V8" s="174">
        <f t="shared" si="4"/>
        <v>164</v>
      </c>
    </row>
    <row r="9" spans="1:25" x14ac:dyDescent="0.2">
      <c r="A9" s="49" t="s">
        <v>5</v>
      </c>
      <c r="B9" s="49" t="s">
        <v>6</v>
      </c>
      <c r="C9" s="20" t="s">
        <v>38</v>
      </c>
      <c r="D9" s="15">
        <v>169</v>
      </c>
      <c r="E9" s="15">
        <v>174</v>
      </c>
      <c r="F9" s="15">
        <v>171</v>
      </c>
      <c r="G9" s="15">
        <v>167</v>
      </c>
      <c r="H9" s="15">
        <v>163</v>
      </c>
      <c r="I9" s="15">
        <v>168</v>
      </c>
      <c r="J9" s="15">
        <v>166</v>
      </c>
      <c r="K9" s="15">
        <v>164</v>
      </c>
      <c r="L9" s="15">
        <v>157</v>
      </c>
      <c r="M9" s="15">
        <v>155</v>
      </c>
      <c r="N9" s="15">
        <v>156</v>
      </c>
      <c r="O9" s="15">
        <v>154</v>
      </c>
      <c r="P9" s="15"/>
      <c r="Q9" s="15">
        <f t="shared" si="0"/>
        <v>171.36263736263737</v>
      </c>
      <c r="R9" s="15">
        <f t="shared" si="1"/>
        <v>165.97826086956522</v>
      </c>
      <c r="S9" s="15">
        <f t="shared" si="2"/>
        <v>162.31521739130434</v>
      </c>
      <c r="T9" s="55">
        <f t="shared" si="3"/>
        <v>154.97802197802199</v>
      </c>
      <c r="U9" s="15"/>
      <c r="V9" s="174">
        <f t="shared" si="4"/>
        <v>174</v>
      </c>
    </row>
    <row r="10" spans="1:25" x14ac:dyDescent="0.2">
      <c r="A10" s="49" t="s">
        <v>5</v>
      </c>
      <c r="B10" s="49" t="s">
        <v>6</v>
      </c>
      <c r="C10" s="20" t="s">
        <v>98</v>
      </c>
      <c r="D10" s="15">
        <v>151</v>
      </c>
      <c r="E10" s="15">
        <v>148</v>
      </c>
      <c r="F10" s="15">
        <v>146</v>
      </c>
      <c r="G10" s="15">
        <v>145</v>
      </c>
      <c r="H10" s="15">
        <v>139</v>
      </c>
      <c r="I10" s="15">
        <v>138</v>
      </c>
      <c r="J10" s="15">
        <v>135</v>
      </c>
      <c r="K10" s="15">
        <v>139</v>
      </c>
      <c r="L10" s="15">
        <v>139</v>
      </c>
      <c r="M10" s="15">
        <v>136</v>
      </c>
      <c r="N10" s="15">
        <v>143</v>
      </c>
      <c r="O10" s="15">
        <v>151</v>
      </c>
      <c r="P10" s="15"/>
      <c r="Q10" s="15">
        <f t="shared" si="0"/>
        <v>148.32967032967034</v>
      </c>
      <c r="R10" s="15">
        <f t="shared" si="1"/>
        <v>140.69565217391303</v>
      </c>
      <c r="S10" s="15">
        <f t="shared" si="2"/>
        <v>137.65217391304347</v>
      </c>
      <c r="T10" s="55">
        <f t="shared" si="3"/>
        <v>143.34065934065933</v>
      </c>
      <c r="U10" s="15"/>
      <c r="V10" s="174">
        <f t="shared" si="4"/>
        <v>151</v>
      </c>
    </row>
    <row r="11" spans="1:25" x14ac:dyDescent="0.2">
      <c r="A11" s="49" t="s">
        <v>5</v>
      </c>
      <c r="B11" s="49" t="s">
        <v>6</v>
      </c>
      <c r="C11" s="20" t="s">
        <v>193</v>
      </c>
      <c r="D11" s="15">
        <v>161</v>
      </c>
      <c r="E11" s="15">
        <v>178</v>
      </c>
      <c r="F11" s="15">
        <v>179</v>
      </c>
      <c r="G11" s="15">
        <v>197</v>
      </c>
      <c r="H11" s="15">
        <v>211</v>
      </c>
      <c r="I11" s="15">
        <v>227</v>
      </c>
      <c r="J11" s="15">
        <v>221</v>
      </c>
      <c r="K11" s="15">
        <v>219</v>
      </c>
      <c r="L11" s="15">
        <v>222</v>
      </c>
      <c r="M11" s="15">
        <v>219</v>
      </c>
      <c r="N11" s="15">
        <v>227</v>
      </c>
      <c r="O11" s="15">
        <v>232</v>
      </c>
      <c r="P11" s="15"/>
      <c r="Q11" s="15">
        <f t="shared" si="0"/>
        <v>172.72527472527472</v>
      </c>
      <c r="R11" s="15">
        <f t="shared" si="1"/>
        <v>211.5</v>
      </c>
      <c r="S11" s="15">
        <f t="shared" si="2"/>
        <v>220.68478260869566</v>
      </c>
      <c r="T11" s="55">
        <f t="shared" si="3"/>
        <v>225.97802197802199</v>
      </c>
      <c r="U11" s="15"/>
      <c r="V11" s="174">
        <f t="shared" si="4"/>
        <v>232</v>
      </c>
    </row>
    <row r="12" spans="1:25" x14ac:dyDescent="0.2">
      <c r="A12" s="49" t="s">
        <v>5</v>
      </c>
      <c r="B12" s="49" t="s">
        <v>6</v>
      </c>
      <c r="C12" s="20" t="s">
        <v>235</v>
      </c>
      <c r="D12" s="190">
        <v>236</v>
      </c>
      <c r="E12" s="190">
        <v>240</v>
      </c>
      <c r="F12" s="190">
        <v>234</v>
      </c>
      <c r="G12" s="190"/>
      <c r="H12" s="190"/>
      <c r="I12" s="190"/>
      <c r="J12" s="190"/>
      <c r="K12" s="190"/>
      <c r="L12" s="190"/>
      <c r="M12" s="190"/>
      <c r="N12" s="190"/>
      <c r="O12" s="190"/>
      <c r="P12" s="15"/>
      <c r="Q12" s="15">
        <f>SUMPRODUCT(D12:F12,$D$3:$F$3)/$Q$3</f>
        <v>236.7032967032967</v>
      </c>
      <c r="R12" s="15">
        <f>SUMPRODUCT(G12:I12,$G$3:$I$3)/$R$3</f>
        <v>0</v>
      </c>
      <c r="S12" s="15">
        <f>SUMPRODUCT(J12:L12,$J$3:$L$3)/$S$3</f>
        <v>0</v>
      </c>
      <c r="T12" s="55">
        <f>SUMPRODUCT(M12:O12,$M$3:$O$3)/$T$3</f>
        <v>0</v>
      </c>
      <c r="U12" s="15"/>
      <c r="V12" s="174"/>
    </row>
    <row r="13" spans="1:25" x14ac:dyDescent="0.2">
      <c r="T13" s="74"/>
    </row>
    <row r="14" spans="1:25" x14ac:dyDescent="0.2">
      <c r="A14" s="49" t="s">
        <v>15</v>
      </c>
      <c r="B14" s="49" t="s">
        <v>6</v>
      </c>
      <c r="C14" s="20" t="s">
        <v>12</v>
      </c>
      <c r="D14" s="15">
        <v>0</v>
      </c>
      <c r="E14" s="15">
        <v>193</v>
      </c>
      <c r="F14" s="15">
        <v>377</v>
      </c>
      <c r="G14" s="15">
        <v>736</v>
      </c>
      <c r="H14" s="15">
        <v>1004</v>
      </c>
      <c r="I14" s="15">
        <v>2063</v>
      </c>
      <c r="J14" s="15">
        <v>2542</v>
      </c>
      <c r="K14" s="15">
        <v>3499</v>
      </c>
      <c r="L14" s="15">
        <v>4391</v>
      </c>
      <c r="M14" s="15">
        <v>5138</v>
      </c>
      <c r="N14" s="15">
        <v>3795</v>
      </c>
      <c r="O14" s="15">
        <v>5317</v>
      </c>
      <c r="P14" s="49"/>
      <c r="Q14" s="15">
        <f t="shared" ref="Q14:Q20" si="5">SUMPRODUCT(D14:F14,$D$3:$F$3)/$Q$3</f>
        <v>190.03296703296704</v>
      </c>
      <c r="R14" s="15">
        <f t="shared" ref="R14:R20" si="6">SUMPRODUCT(G14:I14,$G$3:$I$3)/$R$3</f>
        <v>1259.0217391304348</v>
      </c>
      <c r="S14" s="15">
        <f t="shared" ref="S14:S20" si="7">SUMPRODUCT(J14:L14,$J$3:$L$3)/$S$3</f>
        <v>3477.0978260869565</v>
      </c>
      <c r="T14" s="55">
        <f t="shared" ref="T14:T20" si="8">SUMPRODUCT(M14:O14,$M$3:$O$3)/$T$3</f>
        <v>4770.9890109890111</v>
      </c>
      <c r="U14" s="15">
        <f t="shared" ref="U14:U20" si="9">SUMPRODUCT(D14:O14,$D$3:$O$3)/$U$3</f>
        <v>2423.9781420765025</v>
      </c>
      <c r="V14" s="16">
        <f t="shared" ref="V14:V15" si="10">MAX(D14:U14)</f>
        <v>5317</v>
      </c>
    </row>
    <row r="15" spans="1:25" x14ac:dyDescent="0.2">
      <c r="A15" s="49" t="s">
        <v>15</v>
      </c>
      <c r="B15" s="49" t="s">
        <v>6</v>
      </c>
      <c r="C15" s="20" t="s">
        <v>13</v>
      </c>
      <c r="D15" s="15">
        <v>4534</v>
      </c>
      <c r="E15" s="15">
        <v>4474</v>
      </c>
      <c r="F15" s="15">
        <v>4258</v>
      </c>
      <c r="G15" s="15">
        <v>3658</v>
      </c>
      <c r="H15" s="15">
        <v>3800</v>
      </c>
      <c r="I15" s="15">
        <v>3704</v>
      </c>
      <c r="J15" s="15">
        <v>3969</v>
      </c>
      <c r="K15" s="15">
        <v>3706</v>
      </c>
      <c r="L15" s="15">
        <v>3641</v>
      </c>
      <c r="M15" s="15">
        <v>3665</v>
      </c>
      <c r="N15" s="15">
        <v>3589</v>
      </c>
      <c r="O15" s="15">
        <v>4334</v>
      </c>
      <c r="P15" s="49"/>
      <c r="Q15" s="15">
        <f t="shared" si="5"/>
        <v>4422.5714285714284</v>
      </c>
      <c r="R15" s="15">
        <f t="shared" si="6"/>
        <v>3720.8478260869565</v>
      </c>
      <c r="S15" s="15">
        <f t="shared" si="7"/>
        <v>3772.717391304348</v>
      </c>
      <c r="T15" s="55">
        <f t="shared" si="8"/>
        <v>3868.6813186813188</v>
      </c>
      <c r="U15" s="15">
        <f t="shared" si="9"/>
        <v>3945.1147540983607</v>
      </c>
      <c r="V15" s="16">
        <f t="shared" si="10"/>
        <v>4534</v>
      </c>
    </row>
    <row r="16" spans="1:25" x14ac:dyDescent="0.2">
      <c r="A16" s="49" t="s">
        <v>15</v>
      </c>
      <c r="B16" s="49" t="s">
        <v>6</v>
      </c>
      <c r="C16" s="20" t="s">
        <v>14</v>
      </c>
      <c r="D16" s="15">
        <v>4826</v>
      </c>
      <c r="E16" s="15">
        <v>5232</v>
      </c>
      <c r="F16" s="15">
        <v>5069</v>
      </c>
      <c r="G16" s="15">
        <v>4519</v>
      </c>
      <c r="H16" s="15">
        <v>4231</v>
      </c>
      <c r="I16" s="15">
        <v>4109</v>
      </c>
      <c r="J16" s="15">
        <v>3958</v>
      </c>
      <c r="K16" s="15">
        <v>2518</v>
      </c>
      <c r="L16" s="15">
        <v>3689</v>
      </c>
      <c r="M16" s="15">
        <v>3504</v>
      </c>
      <c r="N16" s="15">
        <v>3402</v>
      </c>
      <c r="O16" s="15">
        <v>3715</v>
      </c>
      <c r="P16" s="49"/>
      <c r="Q16" s="15">
        <f t="shared" si="5"/>
        <v>5044.4175824175827</v>
      </c>
      <c r="R16" s="15">
        <f t="shared" si="6"/>
        <v>4288.260869565217</v>
      </c>
      <c r="S16" s="15">
        <f t="shared" si="7"/>
        <v>3397.7934782608695</v>
      </c>
      <c r="T16" s="55">
        <f t="shared" si="8"/>
        <v>3543.3736263736264</v>
      </c>
      <c r="U16" s="15">
        <f t="shared" si="9"/>
        <v>4067.2295081967213</v>
      </c>
      <c r="V16" s="16">
        <f>MAX(D16:U16)</f>
        <v>5232</v>
      </c>
      <c r="W16" s="174">
        <f>BIHAR!P26</f>
        <v>9876</v>
      </c>
      <c r="Y16" s="174">
        <f>SUM(V16:X16)</f>
        <v>15108</v>
      </c>
    </row>
    <row r="17" spans="1:25" x14ac:dyDescent="0.2">
      <c r="A17" s="49" t="s">
        <v>15</v>
      </c>
      <c r="B17" s="49" t="s">
        <v>6</v>
      </c>
      <c r="C17" s="20" t="s">
        <v>32</v>
      </c>
      <c r="D17" s="15">
        <v>5398</v>
      </c>
      <c r="E17" s="15">
        <v>5789</v>
      </c>
      <c r="F17" s="15">
        <v>6214</v>
      </c>
      <c r="G17" s="15">
        <v>6418</v>
      </c>
      <c r="H17" s="15">
        <v>6025</v>
      </c>
      <c r="I17" s="15">
        <v>5623</v>
      </c>
      <c r="J17" s="15">
        <v>5319</v>
      </c>
      <c r="K17" s="15">
        <v>5149</v>
      </c>
      <c r="L17" s="15">
        <v>5075</v>
      </c>
      <c r="M17" s="15">
        <v>5125</v>
      </c>
      <c r="N17" s="15">
        <v>5049</v>
      </c>
      <c r="O17" s="15">
        <v>5092</v>
      </c>
      <c r="P17" s="49"/>
      <c r="Q17" s="15">
        <f t="shared" si="5"/>
        <v>5800.2087912087909</v>
      </c>
      <c r="R17" s="15">
        <f t="shared" si="6"/>
        <v>6026.336956521739</v>
      </c>
      <c r="S17" s="15">
        <f t="shared" si="7"/>
        <v>5181.347826086957</v>
      </c>
      <c r="T17" s="55">
        <f t="shared" si="8"/>
        <v>5089.5384615384619</v>
      </c>
      <c r="U17" s="15">
        <f t="shared" si="9"/>
        <v>5524.7923497267757</v>
      </c>
      <c r="V17" s="16">
        <f t="shared" ref="V17:V21" si="11">MAX(D17:U17)</f>
        <v>6418</v>
      </c>
      <c r="W17" s="174">
        <f>BIHAR!P27</f>
        <v>10517.933878372996</v>
      </c>
      <c r="Y17" s="174">
        <f t="shared" ref="Y17:Y21" si="12">SUM(V17:X17)</f>
        <v>16935.933878372998</v>
      </c>
    </row>
    <row r="18" spans="1:25" x14ac:dyDescent="0.2">
      <c r="A18" s="49" t="s">
        <v>15</v>
      </c>
      <c r="B18" s="49" t="s">
        <v>6</v>
      </c>
      <c r="C18" s="20" t="s">
        <v>38</v>
      </c>
      <c r="D18" s="15">
        <v>6659</v>
      </c>
      <c r="E18" s="15">
        <v>7090</v>
      </c>
      <c r="F18" s="15">
        <v>6835.8241758241757</v>
      </c>
      <c r="G18" s="15">
        <v>7012</v>
      </c>
      <c r="H18" s="15">
        <v>6136</v>
      </c>
      <c r="I18" s="15">
        <v>6029</v>
      </c>
      <c r="J18" s="15">
        <v>5756</v>
      </c>
      <c r="K18" s="15">
        <v>5512</v>
      </c>
      <c r="L18" s="15">
        <v>5412</v>
      </c>
      <c r="M18" s="15">
        <v>5212</v>
      </c>
      <c r="N18" s="15">
        <v>5315</v>
      </c>
      <c r="O18" s="15">
        <v>5512</v>
      </c>
      <c r="P18" s="49"/>
      <c r="Q18" s="15">
        <f t="shared" si="5"/>
        <v>6864.1178601618158</v>
      </c>
      <c r="R18" s="15">
        <f t="shared" si="6"/>
        <v>6396.282608695652</v>
      </c>
      <c r="S18" s="15">
        <f t="shared" si="7"/>
        <v>5560.521739130435</v>
      </c>
      <c r="T18" s="55">
        <f t="shared" si="8"/>
        <v>5347.0219780219777</v>
      </c>
      <c r="U18" s="15">
        <f t="shared" si="9"/>
        <v>6041.6385936467905</v>
      </c>
      <c r="V18" s="16">
        <f t="shared" si="11"/>
        <v>7090</v>
      </c>
      <c r="W18" s="174">
        <f>BIHAR!P28</f>
        <v>13259</v>
      </c>
      <c r="X18" s="174">
        <f>JHARKHAND!P9</f>
        <v>479</v>
      </c>
      <c r="Y18" s="174">
        <f t="shared" si="12"/>
        <v>20828</v>
      </c>
    </row>
    <row r="19" spans="1:25" x14ac:dyDescent="0.2">
      <c r="A19" s="49" t="s">
        <v>15</v>
      </c>
      <c r="B19" s="49" t="s">
        <v>6</v>
      </c>
      <c r="C19" s="20" t="s">
        <v>98</v>
      </c>
      <c r="D19" s="15">
        <v>5346</v>
      </c>
      <c r="E19" s="15">
        <v>5307</v>
      </c>
      <c r="F19" s="15">
        <v>5087</v>
      </c>
      <c r="G19" s="15">
        <v>4995</v>
      </c>
      <c r="H19" s="15">
        <v>4764</v>
      </c>
      <c r="I19" s="15">
        <v>4320</v>
      </c>
      <c r="J19" s="15">
        <v>4041</v>
      </c>
      <c r="K19" s="15">
        <v>4102</v>
      </c>
      <c r="L19" s="15">
        <v>4285</v>
      </c>
      <c r="M19" s="15">
        <v>4356</v>
      </c>
      <c r="N19" s="15">
        <v>4241</v>
      </c>
      <c r="O19" s="15">
        <v>4287</v>
      </c>
      <c r="P19" s="49"/>
      <c r="Q19" s="15">
        <f t="shared" si="5"/>
        <v>5247.3296703296701</v>
      </c>
      <c r="R19" s="15">
        <f t="shared" si="6"/>
        <v>4697.054347826087</v>
      </c>
      <c r="S19" s="15">
        <f t="shared" si="7"/>
        <v>4143.108695652174</v>
      </c>
      <c r="T19" s="55">
        <f t="shared" si="8"/>
        <v>4295.8461538461543</v>
      </c>
      <c r="U19" s="15">
        <f t="shared" si="9"/>
        <v>4594.8743169398904</v>
      </c>
      <c r="V19" s="16">
        <f t="shared" si="11"/>
        <v>5346</v>
      </c>
      <c r="W19" s="174">
        <f>BIHAR!P29</f>
        <v>7611</v>
      </c>
      <c r="X19" s="174">
        <f>JHARKHAND!P10</f>
        <v>1162</v>
      </c>
      <c r="Y19" s="174">
        <f t="shared" si="12"/>
        <v>14119</v>
      </c>
    </row>
    <row r="20" spans="1:25" x14ac:dyDescent="0.2">
      <c r="A20" s="49" t="s">
        <v>15</v>
      </c>
      <c r="B20" s="49" t="s">
        <v>6</v>
      </c>
      <c r="C20" s="20" t="s">
        <v>193</v>
      </c>
      <c r="D20" s="15">
        <v>4377</v>
      </c>
      <c r="E20" s="15">
        <v>4754</v>
      </c>
      <c r="F20" s="15">
        <v>4997</v>
      </c>
      <c r="G20" s="15">
        <v>5122</v>
      </c>
      <c r="H20" s="15">
        <v>4942</v>
      </c>
      <c r="I20" s="15">
        <v>5022</v>
      </c>
      <c r="J20" s="15">
        <v>4935</v>
      </c>
      <c r="K20" s="15">
        <v>4920</v>
      </c>
      <c r="L20" s="15">
        <v>4736</v>
      </c>
      <c r="M20" s="15">
        <v>4710</v>
      </c>
      <c r="N20" s="15">
        <v>5118</v>
      </c>
      <c r="O20" s="15">
        <v>5411</v>
      </c>
      <c r="P20" s="49"/>
      <c r="Q20" s="15">
        <f t="shared" si="5"/>
        <v>4709.8241758241757</v>
      </c>
      <c r="R20" s="15">
        <f t="shared" si="6"/>
        <v>5028.739130434783</v>
      </c>
      <c r="S20" s="15">
        <f t="shared" si="7"/>
        <v>4863.054347826087</v>
      </c>
      <c r="T20" s="55">
        <f t="shared" si="8"/>
        <v>5078.8241758241757</v>
      </c>
      <c r="U20" s="15">
        <f t="shared" si="9"/>
        <v>4920.2513661202183</v>
      </c>
      <c r="V20" s="16">
        <f t="shared" si="11"/>
        <v>5411</v>
      </c>
      <c r="W20" s="174">
        <f>BIHAR!P30</f>
        <v>7148</v>
      </c>
      <c r="X20" s="174">
        <f>JHARKHAND!P11</f>
        <v>1743</v>
      </c>
      <c r="Y20" s="174">
        <f t="shared" si="12"/>
        <v>14302</v>
      </c>
    </row>
    <row r="21" spans="1:25" x14ac:dyDescent="0.2">
      <c r="A21" s="49" t="s">
        <v>15</v>
      </c>
      <c r="B21" s="49" t="s">
        <v>6</v>
      </c>
      <c r="C21" s="20" t="s">
        <v>235</v>
      </c>
      <c r="D21" s="15">
        <v>5610</v>
      </c>
      <c r="E21" s="15">
        <v>6072</v>
      </c>
      <c r="F21" s="15">
        <v>5985</v>
      </c>
      <c r="G21" s="15"/>
      <c r="H21" s="15"/>
      <c r="I21" s="15"/>
      <c r="J21" s="15"/>
      <c r="K21" s="15"/>
      <c r="L21" s="15"/>
      <c r="M21" s="15"/>
      <c r="N21" s="15"/>
      <c r="O21" s="15"/>
      <c r="Q21" s="15">
        <f>SUMPRODUCT(D21:F21,$D$3:$F$3)/$Q$3</f>
        <v>5891.0109890109889</v>
      </c>
      <c r="R21" s="15">
        <f t="shared" ref="R21" si="13">SUMPRODUCT(G21:I21,$G$3:$I$3)/$R$3</f>
        <v>0</v>
      </c>
      <c r="S21" s="15">
        <f t="shared" ref="S21" si="14">SUMPRODUCT(J21:L21,$J$3:$L$3)/$S$3</f>
        <v>0</v>
      </c>
      <c r="T21" s="55">
        <f t="shared" ref="T21" si="15">SUMPRODUCT(M21:O21,$M$3:$O$3)/$T$3</f>
        <v>0</v>
      </c>
      <c r="U21" s="15">
        <f t="shared" ref="U21" si="16">SUMPRODUCT(D21:O21,$D$3:$O$3)/$U$3</f>
        <v>1464.704918032787</v>
      </c>
      <c r="V21" s="16">
        <f t="shared" si="11"/>
        <v>6072</v>
      </c>
      <c r="W21" s="174">
        <f>BIHAR!P31</f>
        <v>7055</v>
      </c>
      <c r="X21" s="174">
        <f>JHARKHAND!P12</f>
        <v>1757</v>
      </c>
      <c r="Y21" s="174">
        <f t="shared" si="12"/>
        <v>14884</v>
      </c>
    </row>
    <row r="22" spans="1:25" x14ac:dyDescent="0.2">
      <c r="T22" s="74"/>
    </row>
    <row r="23" spans="1:25" x14ac:dyDescent="0.2">
      <c r="A23" s="46" t="s">
        <v>48</v>
      </c>
      <c r="B23" s="46" t="s">
        <v>2</v>
      </c>
      <c r="C23" s="47" t="s">
        <v>3</v>
      </c>
      <c r="D23" s="48" t="s">
        <v>25</v>
      </c>
      <c r="E23" s="48" t="s">
        <v>4</v>
      </c>
      <c r="F23" s="48" t="s">
        <v>26</v>
      </c>
      <c r="G23" s="48" t="s">
        <v>43</v>
      </c>
      <c r="H23" s="48" t="s">
        <v>27</v>
      </c>
      <c r="I23" s="48" t="s">
        <v>44</v>
      </c>
      <c r="J23" s="48" t="s">
        <v>28</v>
      </c>
      <c r="K23" s="48" t="s">
        <v>29</v>
      </c>
      <c r="L23" s="48" t="s">
        <v>30</v>
      </c>
      <c r="M23" s="48" t="s">
        <v>45</v>
      </c>
      <c r="N23" s="48" t="s">
        <v>31</v>
      </c>
      <c r="O23" s="48" t="s">
        <v>46</v>
      </c>
      <c r="P23" s="46"/>
      <c r="Q23" s="48" t="s">
        <v>34</v>
      </c>
      <c r="R23" s="48" t="s">
        <v>35</v>
      </c>
      <c r="S23" s="48" t="s">
        <v>36</v>
      </c>
      <c r="T23" s="54" t="s">
        <v>37</v>
      </c>
      <c r="U23" s="48" t="s">
        <v>49</v>
      </c>
    </row>
    <row r="24" spans="1:25" x14ac:dyDescent="0.2">
      <c r="A24" s="49" t="s">
        <v>17</v>
      </c>
      <c r="B24" s="49" t="s">
        <v>16</v>
      </c>
      <c r="C24" s="20" t="s">
        <v>12</v>
      </c>
      <c r="D24" s="15">
        <v>0</v>
      </c>
      <c r="E24" s="15">
        <v>155.24193548387098</v>
      </c>
      <c r="F24" s="15">
        <v>4042.6350908333347</v>
      </c>
      <c r="G24" s="15">
        <v>8718.7973096774185</v>
      </c>
      <c r="H24" s="15">
        <v>11850.37404032258</v>
      </c>
      <c r="I24" s="15">
        <v>21210.39784203704</v>
      </c>
      <c r="J24" s="15">
        <v>24301.597677419355</v>
      </c>
      <c r="K24" s="15">
        <v>34181.560358333343</v>
      </c>
      <c r="L24" s="15">
        <v>45503.941572580647</v>
      </c>
      <c r="M24" s="15">
        <v>48257.191322580649</v>
      </c>
      <c r="N24" s="15">
        <v>48345.830746551728</v>
      </c>
      <c r="O24" s="15">
        <v>55332.063713709664</v>
      </c>
      <c r="Q24" s="15">
        <f t="shared" ref="Q24:Q49" si="17">SUMPRODUCT(D24:F24,$D$3:$F$3)/$Q$3</f>
        <v>1385.6214585164839</v>
      </c>
      <c r="R24" s="15">
        <f t="shared" ref="R24:R49" si="18">SUMPRODUCT(G24:I24,$G$3:$I$3)/$R$3</f>
        <v>13847.350512077295</v>
      </c>
      <c r="S24" s="15">
        <f t="shared" ref="S24:S49" si="19">SUMPRODUCT(J24:L24,$J$3:$L$3)/$S$3</f>
        <v>34667.592690217396</v>
      </c>
      <c r="T24" s="15">
        <f t="shared" ref="T24:T41" si="20">SUMPRODUCT(M24:O24,$M$3:$O$3)/$T$3</f>
        <v>50695.560415109889</v>
      </c>
      <c r="U24" s="15">
        <f t="shared" ref="U24:U41" si="21">SUMPRODUCT(D24:O24,$D$3:$O$3)/$U$3</f>
        <v>25144.159358227076</v>
      </c>
      <c r="V24" s="16"/>
      <c r="W24" s="174">
        <f>Q20+JHARKHAND!Q11+BIHAR!H30</f>
        <v>12786.76923076923</v>
      </c>
    </row>
    <row r="25" spans="1:25" x14ac:dyDescent="0.2">
      <c r="A25" s="49" t="s">
        <v>18</v>
      </c>
      <c r="B25" s="49" t="s">
        <v>16</v>
      </c>
      <c r="C25" s="20" t="s">
        <v>12</v>
      </c>
      <c r="D25" s="15">
        <v>0</v>
      </c>
      <c r="E25" s="15">
        <v>7110.028225806449</v>
      </c>
      <c r="F25" s="15">
        <v>18978.987499999992</v>
      </c>
      <c r="G25" s="15">
        <v>21597.475806451603</v>
      </c>
      <c r="H25" s="15">
        <v>14112.995967741921</v>
      </c>
      <c r="I25" s="15">
        <v>6349.0291666666717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Q25" s="15">
        <f t="shared" si="17"/>
        <v>8678.9065934065893</v>
      </c>
      <c r="R25" s="15">
        <f t="shared" si="18"/>
        <v>14103.211956521731</v>
      </c>
      <c r="S25" s="15">
        <f t="shared" si="19"/>
        <v>0</v>
      </c>
      <c r="T25" s="15">
        <f t="shared" si="20"/>
        <v>0</v>
      </c>
      <c r="U25" s="15">
        <f t="shared" si="21"/>
        <v>5702.9398907103796</v>
      </c>
      <c r="V25" s="16"/>
    </row>
    <row r="26" spans="1:25" x14ac:dyDescent="0.2">
      <c r="A26" s="176" t="s">
        <v>41</v>
      </c>
      <c r="B26" s="176" t="s">
        <v>16</v>
      </c>
      <c r="C26" s="177" t="s">
        <v>12</v>
      </c>
      <c r="D26" s="178">
        <f>D24+D25</f>
        <v>0</v>
      </c>
      <c r="E26" s="178">
        <f t="shared" ref="E26:O26" si="22">E24+E25</f>
        <v>7265.2701612903202</v>
      </c>
      <c r="F26" s="178">
        <f t="shared" si="22"/>
        <v>23021.622590833325</v>
      </c>
      <c r="G26" s="178">
        <f t="shared" si="22"/>
        <v>30316.273116129021</v>
      </c>
      <c r="H26" s="178">
        <f t="shared" si="22"/>
        <v>25963.370008064499</v>
      </c>
      <c r="I26" s="178">
        <f t="shared" si="22"/>
        <v>27559.427008703711</v>
      </c>
      <c r="J26" s="178">
        <f t="shared" si="22"/>
        <v>24301.597677419355</v>
      </c>
      <c r="K26" s="178">
        <f t="shared" si="22"/>
        <v>34181.560358333343</v>
      </c>
      <c r="L26" s="178">
        <f t="shared" si="22"/>
        <v>45503.941572580647</v>
      </c>
      <c r="M26" s="178">
        <f t="shared" si="22"/>
        <v>48257.191322580649</v>
      </c>
      <c r="N26" s="178">
        <f t="shared" si="22"/>
        <v>48345.830746551728</v>
      </c>
      <c r="O26" s="178">
        <f t="shared" si="22"/>
        <v>55332.063713709664</v>
      </c>
      <c r="Q26" s="178">
        <f t="shared" si="17"/>
        <v>10064.528051923073</v>
      </c>
      <c r="R26" s="178">
        <f t="shared" si="18"/>
        <v>27950.562468599026</v>
      </c>
      <c r="S26" s="178">
        <f t="shared" si="19"/>
        <v>34667.592690217396</v>
      </c>
      <c r="T26" s="178">
        <f t="shared" si="20"/>
        <v>50695.560415109889</v>
      </c>
      <c r="U26" s="178">
        <f t="shared" si="21"/>
        <v>30847.099248937458</v>
      </c>
      <c r="V26" s="16"/>
    </row>
    <row r="27" spans="1:25" x14ac:dyDescent="0.2">
      <c r="A27" s="49" t="s">
        <v>17</v>
      </c>
      <c r="B27" s="49" t="s">
        <v>16</v>
      </c>
      <c r="C27" s="20" t="s">
        <v>13</v>
      </c>
      <c r="D27" s="15">
        <v>57774.840041666663</v>
      </c>
      <c r="E27" s="15">
        <v>61541.870088709693</v>
      </c>
      <c r="F27" s="15">
        <v>54261.296908333177</v>
      </c>
      <c r="G27" s="15">
        <v>45648.920983870958</v>
      </c>
      <c r="H27" s="15">
        <v>39646.963209677422</v>
      </c>
      <c r="I27" s="15">
        <v>45868.285661582333</v>
      </c>
      <c r="J27" s="15">
        <v>43961.932639065766</v>
      </c>
      <c r="K27" s="15">
        <v>45795.523034122511</v>
      </c>
      <c r="L27" s="15">
        <v>47852.013740067559</v>
      </c>
      <c r="M27" s="15">
        <v>51150.879726121697</v>
      </c>
      <c r="N27" s="15">
        <v>41946.879732142865</v>
      </c>
      <c r="O27" s="15">
        <v>39587.578435665877</v>
      </c>
      <c r="Q27" s="15">
        <f t="shared" si="17"/>
        <v>57899.803090659298</v>
      </c>
      <c r="R27" s="15">
        <f t="shared" si="18"/>
        <v>43698.054128776843</v>
      </c>
      <c r="S27" s="15">
        <f t="shared" si="19"/>
        <v>45870.63074757401</v>
      </c>
      <c r="T27" s="15">
        <f t="shared" si="20"/>
        <v>44278.590277445684</v>
      </c>
      <c r="U27" s="15">
        <f t="shared" si="21"/>
        <v>47919.543183392983</v>
      </c>
      <c r="V27" s="16"/>
    </row>
    <row r="28" spans="1:25" x14ac:dyDescent="0.2">
      <c r="A28" s="49" t="s">
        <v>18</v>
      </c>
      <c r="B28" s="49" t="s">
        <v>16</v>
      </c>
      <c r="C28" s="20" t="s">
        <v>13</v>
      </c>
      <c r="D28" s="15">
        <v>0</v>
      </c>
      <c r="E28" s="15">
        <v>0</v>
      </c>
      <c r="F28" s="15">
        <v>948.63833333333275</v>
      </c>
      <c r="G28" s="15">
        <v>2407.6592741935497</v>
      </c>
      <c r="H28" s="15">
        <v>899.63709677419354</v>
      </c>
      <c r="I28" s="15">
        <v>0</v>
      </c>
      <c r="J28" s="15">
        <v>0</v>
      </c>
      <c r="K28" s="15">
        <v>0</v>
      </c>
      <c r="L28" s="15">
        <v>2696.2016129032263</v>
      </c>
      <c r="M28" s="15">
        <v>4664.346774193551</v>
      </c>
      <c r="N28" s="15">
        <v>5064.6249999999964</v>
      </c>
      <c r="O28" s="15">
        <v>5254.3870967741896</v>
      </c>
      <c r="Q28" s="15">
        <f t="shared" si="17"/>
        <v>312.73791208791192</v>
      </c>
      <c r="R28" s="15">
        <f t="shared" si="18"/>
        <v>1114.4150815217397</v>
      </c>
      <c r="S28" s="15">
        <f t="shared" si="19"/>
        <v>908.50271739130449</v>
      </c>
      <c r="T28" s="15">
        <f t="shared" si="20"/>
        <v>4992.9107142857129</v>
      </c>
      <c r="U28" s="15">
        <f t="shared" si="21"/>
        <v>1827.6570013661199</v>
      </c>
      <c r="V28" s="16"/>
    </row>
    <row r="29" spans="1:25" x14ac:dyDescent="0.2">
      <c r="A29" s="176" t="s">
        <v>41</v>
      </c>
      <c r="B29" s="176" t="s">
        <v>16</v>
      </c>
      <c r="C29" s="177" t="s">
        <v>13</v>
      </c>
      <c r="D29" s="178">
        <f>D27+D28</f>
        <v>57774.840041666663</v>
      </c>
      <c r="E29" s="178">
        <f t="shared" ref="E29:O29" si="23">E27+E28</f>
        <v>61541.870088709693</v>
      </c>
      <c r="F29" s="178">
        <f t="shared" si="23"/>
        <v>55209.935241666513</v>
      </c>
      <c r="G29" s="178">
        <f t="shared" si="23"/>
        <v>48056.58025806451</v>
      </c>
      <c r="H29" s="178">
        <f t="shared" si="23"/>
        <v>40546.600306451619</v>
      </c>
      <c r="I29" s="178">
        <f t="shared" si="23"/>
        <v>45868.285661582333</v>
      </c>
      <c r="J29" s="178">
        <f t="shared" si="23"/>
        <v>43961.932639065766</v>
      </c>
      <c r="K29" s="178">
        <f t="shared" si="23"/>
        <v>45795.523034122511</v>
      </c>
      <c r="L29" s="178">
        <f t="shared" si="23"/>
        <v>50548.215352970787</v>
      </c>
      <c r="M29" s="178">
        <f t="shared" si="23"/>
        <v>55815.22650031525</v>
      </c>
      <c r="N29" s="178">
        <f t="shared" si="23"/>
        <v>47011.504732142857</v>
      </c>
      <c r="O29" s="178">
        <f t="shared" si="23"/>
        <v>44841.965532440066</v>
      </c>
      <c r="Q29" s="178">
        <f t="shared" si="17"/>
        <v>58212.541002747203</v>
      </c>
      <c r="R29" s="178">
        <f t="shared" si="18"/>
        <v>44812.469210298594</v>
      </c>
      <c r="S29" s="178">
        <f t="shared" si="19"/>
        <v>46779.133464965314</v>
      </c>
      <c r="T29" s="178">
        <f t="shared" si="20"/>
        <v>49271.500991731402</v>
      </c>
      <c r="U29" s="178">
        <f t="shared" si="21"/>
        <v>49747.200184759109</v>
      </c>
      <c r="V29" s="16"/>
    </row>
    <row r="30" spans="1:25" x14ac:dyDescent="0.2">
      <c r="A30" s="49" t="s">
        <v>17</v>
      </c>
      <c r="B30" s="49" t="s">
        <v>16</v>
      </c>
      <c r="C30" s="20" t="s">
        <v>14</v>
      </c>
      <c r="D30" s="15">
        <v>45275.863222562744</v>
      </c>
      <c r="E30" s="15">
        <v>61948.145358420697</v>
      </c>
      <c r="F30" s="15">
        <v>57566.072449874686</v>
      </c>
      <c r="G30" s="15">
        <v>47246.151387096659</v>
      </c>
      <c r="H30" s="15">
        <v>44859.299574124241</v>
      </c>
      <c r="I30" s="15">
        <v>38981.803273986021</v>
      </c>
      <c r="J30" s="15">
        <v>36887.573356043664</v>
      </c>
      <c r="K30" s="15">
        <v>42294.440408622067</v>
      </c>
      <c r="L30" s="15">
        <v>47053.191232526864</v>
      </c>
      <c r="M30" s="15">
        <v>53196.131883212554</v>
      </c>
      <c r="N30" s="15">
        <v>47871.166140688896</v>
      </c>
      <c r="O30" s="15">
        <v>42412.39085483877</v>
      </c>
      <c r="Q30" s="15">
        <f t="shared" si="17"/>
        <v>55007.149189935873</v>
      </c>
      <c r="R30" s="15">
        <f t="shared" si="18"/>
        <v>43746.989978450307</v>
      </c>
      <c r="S30" s="15">
        <f t="shared" si="19"/>
        <v>42076.053418525524</v>
      </c>
      <c r="T30" s="15">
        <f t="shared" si="20"/>
        <v>47825.582669885378</v>
      </c>
      <c r="U30" s="15">
        <f>SUMPRODUCT(D30:O30,$D$3:$O$3)/$U$3</f>
        <v>47140.706534878445</v>
      </c>
      <c r="V30" s="16"/>
    </row>
    <row r="31" spans="1:25" x14ac:dyDescent="0.2">
      <c r="A31" s="49" t="s">
        <v>18</v>
      </c>
      <c r="B31" s="49" t="s">
        <v>16</v>
      </c>
      <c r="C31" s="20" t="s">
        <v>14</v>
      </c>
      <c r="D31" s="15">
        <v>6127.4458333333369</v>
      </c>
      <c r="E31" s="15">
        <v>3919.3758064516146</v>
      </c>
      <c r="F31" s="15">
        <v>235.62499999999997</v>
      </c>
      <c r="G31" s="15">
        <v>224.01612903225805</v>
      </c>
      <c r="H31" s="15">
        <v>1806.8064516129032</v>
      </c>
      <c r="I31" s="15">
        <v>9316.2958333333409</v>
      </c>
      <c r="J31" s="15">
        <v>8948.7258064516209</v>
      </c>
      <c r="K31" s="15">
        <v>9960.85</v>
      </c>
      <c r="L31" s="15">
        <v>11071.826612903225</v>
      </c>
      <c r="M31" s="15">
        <v>12955.052419354824</v>
      </c>
      <c r="N31" s="15">
        <v>15153.023660714289</v>
      </c>
      <c r="O31" s="15">
        <v>17749.543951612897</v>
      </c>
      <c r="Q31" s="15">
        <f t="shared" si="17"/>
        <v>3432.887637362639</v>
      </c>
      <c r="R31" s="15">
        <f t="shared" si="18"/>
        <v>3722.2214673913068</v>
      </c>
      <c r="S31" s="15">
        <f t="shared" si="19"/>
        <v>9994.1589673913077</v>
      </c>
      <c r="T31" s="15">
        <f t="shared" si="20"/>
        <v>15288.793117150701</v>
      </c>
      <c r="U31" s="15">
        <f t="shared" si="21"/>
        <v>8102.677455357144</v>
      </c>
      <c r="V31" s="16"/>
    </row>
    <row r="32" spans="1:25" x14ac:dyDescent="0.2">
      <c r="A32" s="49" t="s">
        <v>33</v>
      </c>
      <c r="B32" s="49" t="s">
        <v>16</v>
      </c>
      <c r="C32" s="20" t="s">
        <v>14</v>
      </c>
      <c r="D32" s="15">
        <v>0</v>
      </c>
      <c r="E32" s="15">
        <v>0</v>
      </c>
      <c r="F32" s="15">
        <v>0</v>
      </c>
      <c r="G32" s="15">
        <v>0</v>
      </c>
      <c r="H32" s="15">
        <v>-4218.2879032258097</v>
      </c>
      <c r="I32" s="15">
        <v>-618.29166666666663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Q32" s="15">
        <f t="shared" si="17"/>
        <v>0</v>
      </c>
      <c r="R32" s="15">
        <f t="shared" si="18"/>
        <v>-1622.9964673913055</v>
      </c>
      <c r="S32" s="15">
        <f t="shared" si="19"/>
        <v>0</v>
      </c>
      <c r="T32" s="15">
        <f t="shared" si="20"/>
        <v>0</v>
      </c>
      <c r="U32" s="15">
        <f t="shared" si="21"/>
        <v>-407.96632513661228</v>
      </c>
      <c r="V32" s="16"/>
    </row>
    <row r="33" spans="1:23" x14ac:dyDescent="0.2">
      <c r="A33" s="176" t="s">
        <v>41</v>
      </c>
      <c r="B33" s="176" t="s">
        <v>16</v>
      </c>
      <c r="C33" s="177" t="s">
        <v>14</v>
      </c>
      <c r="D33" s="178">
        <f>D30+D31+D32</f>
        <v>51403.309055896083</v>
      </c>
      <c r="E33" s="178">
        <f t="shared" ref="E33:O33" si="24">E30+E31+E32</f>
        <v>65867.521164872305</v>
      </c>
      <c r="F33" s="178">
        <f t="shared" si="24"/>
        <v>57801.697449874686</v>
      </c>
      <c r="G33" s="178">
        <f t="shared" si="24"/>
        <v>47470.167516128917</v>
      </c>
      <c r="H33" s="178">
        <f t="shared" si="24"/>
        <v>42447.818122511337</v>
      </c>
      <c r="I33" s="178">
        <f t="shared" si="24"/>
        <v>47679.807440652694</v>
      </c>
      <c r="J33" s="178">
        <f t="shared" si="24"/>
        <v>45836.299162495285</v>
      </c>
      <c r="K33" s="178">
        <f t="shared" si="24"/>
        <v>52255.290408622066</v>
      </c>
      <c r="L33" s="178">
        <f t="shared" si="24"/>
        <v>58125.017845430091</v>
      </c>
      <c r="M33" s="178">
        <f t="shared" si="24"/>
        <v>66151.184302567373</v>
      </c>
      <c r="N33" s="178">
        <f t="shared" si="24"/>
        <v>63024.189801403183</v>
      </c>
      <c r="O33" s="178">
        <f t="shared" si="24"/>
        <v>60161.934806451667</v>
      </c>
      <c r="Q33" s="178">
        <f t="shared" si="17"/>
        <v>58440.036827298514</v>
      </c>
      <c r="R33" s="178">
        <f t="shared" si="18"/>
        <v>45846.214978450313</v>
      </c>
      <c r="S33" s="178">
        <f t="shared" si="19"/>
        <v>52070.212385916828</v>
      </c>
      <c r="T33" s="178">
        <f t="shared" si="20"/>
        <v>63114.375787036071</v>
      </c>
      <c r="U33" s="178">
        <f t="shared" si="21"/>
        <v>54835.417665098968</v>
      </c>
      <c r="V33" s="16"/>
    </row>
    <row r="34" spans="1:23" x14ac:dyDescent="0.2">
      <c r="A34" s="49" t="s">
        <v>17</v>
      </c>
      <c r="B34" s="49" t="s">
        <v>16</v>
      </c>
      <c r="C34" s="20" t="s">
        <v>32</v>
      </c>
      <c r="D34" s="15">
        <v>47705.432841666508</v>
      </c>
      <c r="E34" s="15">
        <v>73489.343564312003</v>
      </c>
      <c r="F34" s="15">
        <v>87382.35318333318</v>
      </c>
      <c r="G34" s="15">
        <v>80793.712951612499</v>
      </c>
      <c r="H34" s="15">
        <v>66728.056241935396</v>
      </c>
      <c r="I34" s="15">
        <v>65346.843516666617</v>
      </c>
      <c r="J34" s="15">
        <v>61138.735233870895</v>
      </c>
      <c r="K34" s="15">
        <v>71467.024229166986</v>
      </c>
      <c r="L34" s="15">
        <v>70762.890185483921</v>
      </c>
      <c r="M34" s="15">
        <v>71817.73357258075</v>
      </c>
      <c r="N34" s="15">
        <v>69450.838802678685</v>
      </c>
      <c r="O34" s="15">
        <v>65539.050229032495</v>
      </c>
      <c r="Q34" s="15">
        <f t="shared" si="17"/>
        <v>69569.266277402887</v>
      </c>
      <c r="R34" s="15">
        <f t="shared" si="18"/>
        <v>71017.175548912855</v>
      </c>
      <c r="S34" s="15">
        <f t="shared" si="19"/>
        <v>67749.577335597933</v>
      </c>
      <c r="T34" s="15">
        <f t="shared" si="20"/>
        <v>68924.556298106516</v>
      </c>
      <c r="U34" s="15">
        <f t="shared" si="21"/>
        <v>69315.516720618441</v>
      </c>
      <c r="V34" s="184">
        <f>SUMPRODUCT(D34:I34,$D$2:$I$2)/SUM($D$2:$I$2)</f>
        <v>70297.176949418834</v>
      </c>
    </row>
    <row r="35" spans="1:23" x14ac:dyDescent="0.2">
      <c r="A35" s="49" t="s">
        <v>18</v>
      </c>
      <c r="B35" s="49" t="s">
        <v>16</v>
      </c>
      <c r="C35" s="20" t="s">
        <v>32</v>
      </c>
      <c r="D35" s="15">
        <v>17569.809166666666</v>
      </c>
      <c r="E35" s="15">
        <v>18171.413709677436</v>
      </c>
      <c r="F35" s="15">
        <v>29938.606666666667</v>
      </c>
      <c r="G35" s="15">
        <v>32342.996161290346</v>
      </c>
      <c r="H35" s="15">
        <v>34610.733870967772</v>
      </c>
      <c r="I35" s="15">
        <v>32725.016666666652</v>
      </c>
      <c r="J35" s="15">
        <v>23697.511693548404</v>
      </c>
      <c r="K35" s="15">
        <v>26441.844999999976</v>
      </c>
      <c r="L35" s="15">
        <v>26329.004032258057</v>
      </c>
      <c r="M35" s="15">
        <v>18091.629032258072</v>
      </c>
      <c r="N35" s="15">
        <v>11035.850446428563</v>
      </c>
      <c r="O35" s="15">
        <v>8584.585208391627</v>
      </c>
      <c r="Q35" s="15">
        <f t="shared" si="17"/>
        <v>21852.376923076929</v>
      </c>
      <c r="R35" s="15">
        <f t="shared" si="18"/>
        <v>33231.697076086966</v>
      </c>
      <c r="S35" s="15">
        <f t="shared" si="19"/>
        <v>25479.10149456521</v>
      </c>
      <c r="T35" s="15">
        <f t="shared" si="20"/>
        <v>12604.420927544716</v>
      </c>
      <c r="U35" s="15">
        <f t="shared" si="21"/>
        <v>23325.032986083526</v>
      </c>
      <c r="V35" s="184">
        <f t="shared" ref="V35:V45" si="25">SUMPRODUCT(D35:I35,$D$2:$I$2)/SUM($D$2:$I$2)</f>
        <v>27573.128038251376</v>
      </c>
    </row>
    <row r="36" spans="1:23" x14ac:dyDescent="0.2">
      <c r="A36" s="49" t="s">
        <v>33</v>
      </c>
      <c r="B36" s="49" t="s">
        <v>16</v>
      </c>
      <c r="C36" s="20" t="s">
        <v>32</v>
      </c>
      <c r="D36" s="15">
        <v>-12634.343333333331</v>
      </c>
      <c r="E36" s="15">
        <v>-30340.315322580653</v>
      </c>
      <c r="F36" s="15">
        <v>-54853.190833333319</v>
      </c>
      <c r="G36" s="15">
        <v>-51277.952419354842</v>
      </c>
      <c r="H36" s="15">
        <v>-40260.9685483871</v>
      </c>
      <c r="I36" s="15">
        <v>-36157.959999999985</v>
      </c>
      <c r="J36" s="15">
        <v>-30607.310483870991</v>
      </c>
      <c r="K36" s="15">
        <v>-43724.296666666705</v>
      </c>
      <c r="L36" s="15">
        <v>-34442.104838709711</v>
      </c>
      <c r="M36" s="15">
        <v>-26239.241935483868</v>
      </c>
      <c r="N36" s="15">
        <v>-19194.017946428554</v>
      </c>
      <c r="O36" s="15">
        <v>-6887.0967741935474</v>
      </c>
      <c r="Q36" s="15">
        <f t="shared" si="17"/>
        <v>-32584.349450549449</v>
      </c>
      <c r="R36" s="15">
        <f t="shared" si="18"/>
        <v>-42635.275543478259</v>
      </c>
      <c r="S36" s="15">
        <f t="shared" si="19"/>
        <v>-36176.747554347858</v>
      </c>
      <c r="T36" s="15">
        <f t="shared" si="20"/>
        <v>-17401.571653257452</v>
      </c>
      <c r="U36" s="15">
        <f t="shared" si="21"/>
        <v>-32238.865971165113</v>
      </c>
      <c r="V36" s="184">
        <f t="shared" si="25"/>
        <v>-37637.27404371585</v>
      </c>
    </row>
    <row r="37" spans="1:23" x14ac:dyDescent="0.2">
      <c r="A37" s="176" t="s">
        <v>41</v>
      </c>
      <c r="B37" s="176" t="s">
        <v>16</v>
      </c>
      <c r="C37" s="177" t="s">
        <v>32</v>
      </c>
      <c r="D37" s="178">
        <f>D34+D35+D36</f>
        <v>52640.898674999844</v>
      </c>
      <c r="E37" s="178">
        <f>E34+E35+E36</f>
        <v>61320.441951408786</v>
      </c>
      <c r="F37" s="178">
        <f t="shared" ref="F37:O37" si="26">F34+F35+F36</f>
        <v>62467.76901666652</v>
      </c>
      <c r="G37" s="178">
        <f t="shared" si="26"/>
        <v>61858.756693547999</v>
      </c>
      <c r="H37" s="178">
        <f t="shared" si="26"/>
        <v>61077.821564516067</v>
      </c>
      <c r="I37" s="178">
        <f t="shared" si="26"/>
        <v>61913.90018333328</v>
      </c>
      <c r="J37" s="178">
        <f t="shared" si="26"/>
        <v>54228.936443548308</v>
      </c>
      <c r="K37" s="178">
        <f t="shared" si="26"/>
        <v>54184.572562500252</v>
      </c>
      <c r="L37" s="178">
        <f t="shared" si="26"/>
        <v>62649.789379032271</v>
      </c>
      <c r="M37" s="178">
        <f t="shared" si="26"/>
        <v>63670.120669354961</v>
      </c>
      <c r="N37" s="178">
        <f t="shared" si="26"/>
        <v>61292.671302678697</v>
      </c>
      <c r="O37" s="178">
        <f t="shared" si="26"/>
        <v>67236.538663230574</v>
      </c>
      <c r="Q37" s="178">
        <f t="shared" si="17"/>
        <v>58837.293749930366</v>
      </c>
      <c r="R37" s="178">
        <f t="shared" si="18"/>
        <v>61613.59708152157</v>
      </c>
      <c r="S37" s="178">
        <f t="shared" si="19"/>
        <v>57051.931275815281</v>
      </c>
      <c r="T37" s="178">
        <f t="shared" si="20"/>
        <v>64127.405572393778</v>
      </c>
      <c r="U37" s="178">
        <f t="shared" si="21"/>
        <v>60401.683735536848</v>
      </c>
      <c r="V37" s="184">
        <f t="shared" si="25"/>
        <v>60233.030943954356</v>
      </c>
    </row>
    <row r="38" spans="1:23" x14ac:dyDescent="0.2">
      <c r="A38" s="49" t="s">
        <v>17</v>
      </c>
      <c r="B38" s="49" t="s">
        <v>16</v>
      </c>
      <c r="C38" s="20" t="s">
        <v>38</v>
      </c>
      <c r="D38" s="15">
        <v>71711.083990833009</v>
      </c>
      <c r="E38" s="15">
        <v>93989.205451612928</v>
      </c>
      <c r="F38" s="15">
        <v>97503.674597499834</v>
      </c>
      <c r="G38" s="15">
        <v>77892.134453225503</v>
      </c>
      <c r="H38" s="15">
        <v>63582.123858871048</v>
      </c>
      <c r="I38" s="15">
        <v>61617.298449999995</v>
      </c>
      <c r="J38" s="15">
        <v>63077.533466129113</v>
      </c>
      <c r="K38" s="15">
        <v>57040.954508333249</v>
      </c>
      <c r="L38" s="15">
        <v>61417.368459677404</v>
      </c>
      <c r="M38" s="15">
        <v>60701.045622580634</v>
      </c>
      <c r="N38" s="15">
        <v>59008.978327586396</v>
      </c>
      <c r="O38" s="15">
        <v>59032.237545967793</v>
      </c>
      <c r="Q38" s="15">
        <f t="shared" si="17"/>
        <v>87803.386007142704</v>
      </c>
      <c r="R38" s="15">
        <f t="shared" si="18"/>
        <v>67763.271317119492</v>
      </c>
      <c r="S38" s="15">
        <f t="shared" si="19"/>
        <v>60549.680379891302</v>
      </c>
      <c r="T38" s="15">
        <f t="shared" si="20"/>
        <v>59593.320326648427</v>
      </c>
      <c r="U38" s="15">
        <f t="shared" si="21"/>
        <v>68901.343804644755</v>
      </c>
      <c r="V38" s="184">
        <f>SUMPRODUCT(D38:I38,$D$3:$I$3)/SUM($D$3:$I$3)</f>
        <v>77728.574250409714</v>
      </c>
    </row>
    <row r="39" spans="1:23" x14ac:dyDescent="0.2">
      <c r="A39" s="49" t="s">
        <v>18</v>
      </c>
      <c r="B39" s="49" t="s">
        <v>16</v>
      </c>
      <c r="C39" s="20" t="s">
        <v>38</v>
      </c>
      <c r="D39" s="15">
        <v>1978.1590000000001</v>
      </c>
      <c r="E39" s="15">
        <v>244.10806451612902</v>
      </c>
      <c r="F39" s="15">
        <v>0</v>
      </c>
      <c r="G39" s="15">
        <v>0</v>
      </c>
      <c r="H39" s="15">
        <v>0</v>
      </c>
      <c r="I39" s="15">
        <v>514.06666666666695</v>
      </c>
      <c r="J39" s="15">
        <v>0</v>
      </c>
      <c r="K39" s="15">
        <v>0</v>
      </c>
      <c r="L39" s="15">
        <v>1157.1612903225807</v>
      </c>
      <c r="M39" s="15">
        <v>6267.6290322580653</v>
      </c>
      <c r="N39" s="15">
        <v>9840.2629310344746</v>
      </c>
      <c r="O39" s="15">
        <v>4250.5403225806458</v>
      </c>
      <c r="Q39" s="15">
        <f t="shared" si="17"/>
        <v>735.29802197802212</v>
      </c>
      <c r="R39" s="15">
        <f t="shared" si="18"/>
        <v>167.6304347826088</v>
      </c>
      <c r="S39" s="15">
        <f t="shared" si="19"/>
        <v>389.91304347826087</v>
      </c>
      <c r="T39" s="15">
        <f t="shared" si="20"/>
        <v>6719.0206043956023</v>
      </c>
      <c r="U39" s="15">
        <f t="shared" si="21"/>
        <v>1993.543702185792</v>
      </c>
      <c r="V39" s="184">
        <f t="shared" ref="V39:V41" si="27">SUMPRODUCT(D39:I39,$D$3:$I$3)/SUM($D$3:$I$3)</f>
        <v>449.91322404371596</v>
      </c>
    </row>
    <row r="40" spans="1:23" x14ac:dyDescent="0.2">
      <c r="A40" s="49" t="s">
        <v>33</v>
      </c>
      <c r="B40" s="49" t="s">
        <v>16</v>
      </c>
      <c r="C40" s="20" t="s">
        <v>38</v>
      </c>
      <c r="D40" s="15">
        <v>-688.25250000000017</v>
      </c>
      <c r="E40" s="15">
        <v>-23216.820994354821</v>
      </c>
      <c r="F40" s="15">
        <v>-29246.67083333337</v>
      </c>
      <c r="G40" s="15">
        <v>-19691.306451612891</v>
      </c>
      <c r="H40" s="15">
        <v>-5089.6814516129007</v>
      </c>
      <c r="I40" s="15">
        <v>-2185.9666666666667</v>
      </c>
      <c r="J40" s="15">
        <v>-4697.8064516129016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Q40" s="15">
        <f t="shared" si="17"/>
        <v>-17777.682976098906</v>
      </c>
      <c r="R40" s="15">
        <f t="shared" si="18"/>
        <v>-9062.9307065217345</v>
      </c>
      <c r="S40" s="15">
        <f t="shared" si="19"/>
        <v>-1582.9565217391298</v>
      </c>
      <c r="T40" s="15">
        <f t="shared" si="20"/>
        <v>0</v>
      </c>
      <c r="U40" s="15">
        <f t="shared" si="21"/>
        <v>-7096.1496607240433</v>
      </c>
      <c r="V40" s="184">
        <f t="shared" si="27"/>
        <v>-13396.496042759562</v>
      </c>
    </row>
    <row r="41" spans="1:23" x14ac:dyDescent="0.2">
      <c r="A41" s="176" t="s">
        <v>41</v>
      </c>
      <c r="B41" s="176" t="s">
        <v>16</v>
      </c>
      <c r="C41" s="177" t="s">
        <v>38</v>
      </c>
      <c r="D41" s="178">
        <f>D38+D39+D40</f>
        <v>73000.990490833006</v>
      </c>
      <c r="E41" s="178">
        <f>E38+E39+E40</f>
        <v>71016.492521774227</v>
      </c>
      <c r="F41" s="178">
        <f>F38+F39+F40</f>
        <v>68257.003764166468</v>
      </c>
      <c r="G41" s="178">
        <f>G38+G39+G40</f>
        <v>58200.828001612608</v>
      </c>
      <c r="H41" s="178">
        <f t="shared" ref="H41" si="28">H38+H39+H40</f>
        <v>58492.442407258146</v>
      </c>
      <c r="I41" s="178">
        <f>I38+I39+I40</f>
        <v>59945.398449999993</v>
      </c>
      <c r="J41" s="178">
        <f>J38+J39+J40</f>
        <v>58379.727014516211</v>
      </c>
      <c r="K41" s="178">
        <f>K38+K39+K40</f>
        <v>57040.954508333249</v>
      </c>
      <c r="L41" s="178">
        <f t="shared" ref="L41" si="29">L38+L39+L40</f>
        <v>62574.529749999987</v>
      </c>
      <c r="M41" s="178">
        <f>M38+M39+M40</f>
        <v>66968.674654838702</v>
      </c>
      <c r="N41" s="178">
        <f>N38+N39+N40</f>
        <v>68849.241258620867</v>
      </c>
      <c r="O41" s="178">
        <f t="shared" ref="O41" si="30">O38+O39+O40</f>
        <v>63282.777868548437</v>
      </c>
      <c r="Q41" s="178">
        <f t="shared" si="17"/>
        <v>70761.001053021828</v>
      </c>
      <c r="R41" s="178">
        <f t="shared" si="18"/>
        <v>58867.971045380356</v>
      </c>
      <c r="S41" s="178">
        <f t="shared" si="19"/>
        <v>59356.636901630431</v>
      </c>
      <c r="T41" s="178">
        <f t="shared" si="20"/>
        <v>66312.340931044033</v>
      </c>
      <c r="U41" s="178">
        <f t="shared" si="21"/>
        <v>63798.737846106502</v>
      </c>
      <c r="V41" s="184">
        <f t="shared" si="27"/>
        <v>64781.991431693867</v>
      </c>
      <c r="W41" s="174">
        <f>V41+BIHAR!V63</f>
        <v>200781.0187631147</v>
      </c>
    </row>
    <row r="42" spans="1:23" x14ac:dyDescent="0.2">
      <c r="A42" s="49" t="s">
        <v>17</v>
      </c>
      <c r="B42" s="49" t="s">
        <v>16</v>
      </c>
      <c r="C42" s="20" t="s">
        <v>98</v>
      </c>
      <c r="D42" s="15">
        <v>60570.99786666689</v>
      </c>
      <c r="E42" s="15">
        <v>70140.142645160944</v>
      </c>
      <c r="F42" s="15">
        <v>70262.571591666827</v>
      </c>
      <c r="G42" s="15">
        <v>65384.660911289946</v>
      </c>
      <c r="H42" s="15">
        <v>47312.274370967752</v>
      </c>
      <c r="I42" s="15">
        <v>48095.768508333247</v>
      </c>
      <c r="J42" s="15">
        <v>46559.616967741989</v>
      </c>
      <c r="K42" s="15">
        <v>49028.107716666782</v>
      </c>
      <c r="L42" s="15">
        <v>49954.061120967795</v>
      </c>
      <c r="M42" s="15">
        <v>49883.605854838956</v>
      </c>
      <c r="N42" s="15">
        <v>48973.165089285489</v>
      </c>
      <c r="O42" s="15">
        <v>46930.172249999821</v>
      </c>
      <c r="Q42" s="15">
        <f t="shared" si="17"/>
        <v>67025.840722527471</v>
      </c>
      <c r="R42" s="15">
        <f t="shared" si="18"/>
        <v>53657.370097825929</v>
      </c>
      <c r="S42" s="15">
        <f t="shared" si="19"/>
        <v>48508.339698369637</v>
      </c>
      <c r="T42" s="15">
        <f>SUMPRODUCT(M42:O42,$M$2:$O$2)/$T$2</f>
        <v>48583.063819444396</v>
      </c>
      <c r="U42" s="15">
        <f>SUMPRODUCT(D42:O42,$D$2:$O$2)/$U$2</f>
        <v>54441.294659589017</v>
      </c>
      <c r="V42" s="184">
        <f t="shared" si="25"/>
        <v>60305.079534152937</v>
      </c>
    </row>
    <row r="43" spans="1:23" x14ac:dyDescent="0.2">
      <c r="A43" s="49" t="s">
        <v>18</v>
      </c>
      <c r="B43" s="49" t="s">
        <v>16</v>
      </c>
      <c r="C43" s="20" t="s">
        <v>98</v>
      </c>
      <c r="D43" s="15">
        <v>4046.8041666666668</v>
      </c>
      <c r="E43" s="15">
        <v>1163.41935483871</v>
      </c>
      <c r="F43" s="15">
        <v>0</v>
      </c>
      <c r="G43" s="15">
        <v>0</v>
      </c>
      <c r="H43" s="15">
        <v>9167.367895161291</v>
      </c>
      <c r="I43" s="15">
        <v>13081.875591666667</v>
      </c>
      <c r="J43" s="15">
        <v>10423.315620967744</v>
      </c>
      <c r="K43" s="15">
        <v>17032.340958333334</v>
      </c>
      <c r="L43" s="15">
        <v>21855.296387096772</v>
      </c>
      <c r="M43" s="15">
        <v>28236.663379032256</v>
      </c>
      <c r="N43" s="15">
        <v>21760.93457142857</v>
      </c>
      <c r="O43" s="15">
        <v>38746.125072580639</v>
      </c>
      <c r="Q43" s="15">
        <f t="shared" si="17"/>
        <v>1730.440934065934</v>
      </c>
      <c r="R43" s="15">
        <f t="shared" si="18"/>
        <v>7354.8333967391318</v>
      </c>
      <c r="S43" s="15">
        <f t="shared" si="19"/>
        <v>16430.513054347826</v>
      </c>
      <c r="T43" s="15">
        <f t="shared" ref="T43:T49" si="31">SUMPRODUCT(M43:O43,$M$2:$O$2)/$T$2</f>
        <v>29841.917888888889</v>
      </c>
      <c r="U43" s="15">
        <f t="shared" ref="U43:U49" si="32">SUMPRODUCT(D43:O43,$D$2:$O$2)/$U$2</f>
        <v>13784.916735616438</v>
      </c>
      <c r="V43" s="184">
        <f t="shared" si="25"/>
        <v>4558.004357923498</v>
      </c>
    </row>
    <row r="44" spans="1:23" x14ac:dyDescent="0.2">
      <c r="A44" s="49" t="s">
        <v>33</v>
      </c>
      <c r="B44" s="49" t="s">
        <v>16</v>
      </c>
      <c r="C44" s="20" t="s">
        <v>98</v>
      </c>
      <c r="D44" s="15">
        <v>670.53750000000002</v>
      </c>
      <c r="E44" s="15">
        <v>-3754.697580645161</v>
      </c>
      <c r="F44" s="15">
        <v>-4017.9250000000038</v>
      </c>
      <c r="G44" s="15">
        <v>-4765.5282258064517</v>
      </c>
      <c r="H44" s="15">
        <v>-442.01612903225805</v>
      </c>
      <c r="I44" s="15">
        <v>0</v>
      </c>
      <c r="J44" s="15">
        <v>559.60483870967744</v>
      </c>
      <c r="K44" s="15">
        <v>144.50833333333333</v>
      </c>
      <c r="L44" s="15">
        <v>0</v>
      </c>
      <c r="M44" s="15">
        <v>839.9354838709678</v>
      </c>
      <c r="N44" s="15">
        <v>2469.7767857142853</v>
      </c>
      <c r="O44" s="15">
        <v>1816.3951612903227</v>
      </c>
      <c r="Q44" s="15">
        <f t="shared" si="17"/>
        <v>-2382.607142857144</v>
      </c>
      <c r="R44" s="15">
        <f t="shared" si="18"/>
        <v>-1754.7160326086957</v>
      </c>
      <c r="S44" s="15">
        <f t="shared" si="19"/>
        <v>235.68478260869566</v>
      </c>
      <c r="T44" s="15">
        <f t="shared" si="31"/>
        <v>1683.3333333333333</v>
      </c>
      <c r="U44" s="15">
        <f t="shared" si="32"/>
        <v>-561.8304794520551</v>
      </c>
      <c r="V44" s="184">
        <f t="shared" si="25"/>
        <v>-2066.9460382513666</v>
      </c>
    </row>
    <row r="45" spans="1:23" x14ac:dyDescent="0.2">
      <c r="A45" s="176" t="s">
        <v>41</v>
      </c>
      <c r="B45" s="176" t="s">
        <v>16</v>
      </c>
      <c r="C45" s="177" t="s">
        <v>98</v>
      </c>
      <c r="D45" s="178">
        <f>SUM(D42:D44)</f>
        <v>65288.339533333557</v>
      </c>
      <c r="E45" s="178">
        <f t="shared" ref="E45:O45" si="33">SUM(E42:E44)</f>
        <v>67548.86441935449</v>
      </c>
      <c r="F45" s="178">
        <f t="shared" si="33"/>
        <v>66244.646591666824</v>
      </c>
      <c r="G45" s="178">
        <f t="shared" si="33"/>
        <v>60619.132685483492</v>
      </c>
      <c r="H45" s="178">
        <f t="shared" si="33"/>
        <v>56037.626137096784</v>
      </c>
      <c r="I45" s="178">
        <f t="shared" si="33"/>
        <v>61177.644099999918</v>
      </c>
      <c r="J45" s="178">
        <f t="shared" si="33"/>
        <v>57542.537427419411</v>
      </c>
      <c r="K45" s="178">
        <f t="shared" si="33"/>
        <v>66204.95700833344</v>
      </c>
      <c r="L45" s="178">
        <f t="shared" si="33"/>
        <v>71809.357508064568</v>
      </c>
      <c r="M45" s="178">
        <f t="shared" si="33"/>
        <v>78960.204717742177</v>
      </c>
      <c r="N45" s="178">
        <f t="shared" si="33"/>
        <v>73203.876446428345</v>
      </c>
      <c r="O45" s="178">
        <f t="shared" si="33"/>
        <v>87492.692483870778</v>
      </c>
      <c r="Q45" s="178">
        <f t="shared" si="17"/>
        <v>66373.674513736274</v>
      </c>
      <c r="R45" s="178">
        <f t="shared" si="18"/>
        <v>59257.487461956371</v>
      </c>
      <c r="S45" s="178">
        <f t="shared" si="19"/>
        <v>65174.537535326148</v>
      </c>
      <c r="T45" s="178">
        <f t="shared" si="31"/>
        <v>80108.315041666618</v>
      </c>
      <c r="U45" s="178">
        <f t="shared" si="32"/>
        <v>67664.380915753383</v>
      </c>
      <c r="V45" s="184">
        <f t="shared" si="25"/>
        <v>62796.137853825057</v>
      </c>
    </row>
    <row r="46" spans="1:23" x14ac:dyDescent="0.2">
      <c r="A46" s="49" t="s">
        <v>17</v>
      </c>
      <c r="B46" s="179" t="s">
        <v>16</v>
      </c>
      <c r="C46" s="180" t="s">
        <v>193</v>
      </c>
      <c r="D46" s="181">
        <v>50633.162375</v>
      </c>
      <c r="E46" s="181">
        <v>78298.167661290441</v>
      </c>
      <c r="F46" s="181">
        <v>82212.288974999916</v>
      </c>
      <c r="G46" s="181">
        <v>86052.943411290267</v>
      </c>
      <c r="H46" s="181">
        <v>79994.776903225618</v>
      </c>
      <c r="I46" s="181">
        <v>88067.487466666411</v>
      </c>
      <c r="J46" s="181">
        <v>84523.98972580627</v>
      </c>
      <c r="K46" s="181">
        <v>82584.123549999684</v>
      </c>
      <c r="L46" s="181">
        <v>81525.471298387303</v>
      </c>
      <c r="M46" s="181">
        <v>81445.951514515909</v>
      </c>
      <c r="N46" s="181">
        <v>88441.499074999869</v>
      </c>
      <c r="O46" s="181">
        <v>90133.966728226034</v>
      </c>
      <c r="Q46" s="181">
        <f t="shared" si="17"/>
        <v>70468.205912087928</v>
      </c>
      <c r="R46" s="181">
        <f t="shared" si="18"/>
        <v>84668.521236412882</v>
      </c>
      <c r="S46" s="181">
        <f t="shared" si="19"/>
        <v>82881.054328804254</v>
      </c>
      <c r="T46" s="181">
        <f t="shared" si="31"/>
        <v>86614.882662499964</v>
      </c>
      <c r="U46" s="181">
        <f t="shared" si="32"/>
        <v>81157.553779794456</v>
      </c>
      <c r="V46" s="16"/>
    </row>
    <row r="47" spans="1:23" x14ac:dyDescent="0.2">
      <c r="A47" s="49" t="s">
        <v>18</v>
      </c>
      <c r="B47" s="179" t="s">
        <v>16</v>
      </c>
      <c r="C47" s="180" t="s">
        <v>193</v>
      </c>
      <c r="D47" s="181">
        <v>48435.004166666666</v>
      </c>
      <c r="E47" s="181">
        <v>35371.407258064522</v>
      </c>
      <c r="F47" s="181">
        <v>35301.629166666637</v>
      </c>
      <c r="G47" s="181">
        <v>26959.153225806454</v>
      </c>
      <c r="H47" s="181">
        <v>15598.703225806454</v>
      </c>
      <c r="I47" s="181">
        <v>9357.2416666666668</v>
      </c>
      <c r="J47" s="181">
        <v>10442.637096774191</v>
      </c>
      <c r="K47" s="181">
        <v>7998.1083333333345</v>
      </c>
      <c r="L47" s="181">
        <v>8527.2620967741932</v>
      </c>
      <c r="M47" s="181">
        <v>13315.100806451614</v>
      </c>
      <c r="N47" s="181">
        <v>15045.450892857143</v>
      </c>
      <c r="O47" s="181">
        <v>18665.68951612903</v>
      </c>
      <c r="Q47" s="181">
        <f t="shared" si="17"/>
        <v>39655.083791208781</v>
      </c>
      <c r="R47" s="181">
        <f t="shared" si="18"/>
        <v>17391.421739130437</v>
      </c>
      <c r="S47" s="181">
        <f t="shared" si="19"/>
        <v>9000.110054347826</v>
      </c>
      <c r="T47" s="181">
        <f t="shared" si="31"/>
        <v>15696.4125</v>
      </c>
      <c r="U47" s="181">
        <f t="shared" si="32"/>
        <v>20409.070342465751</v>
      </c>
      <c r="V47" s="16"/>
    </row>
    <row r="48" spans="1:23" x14ac:dyDescent="0.2">
      <c r="A48" s="49" t="s">
        <v>33</v>
      </c>
      <c r="B48" s="179" t="s">
        <v>16</v>
      </c>
      <c r="C48" s="180" t="s">
        <v>193</v>
      </c>
      <c r="D48" s="181">
        <v>140.72499999999999</v>
      </c>
      <c r="E48" s="181">
        <v>-12668.931451612903</v>
      </c>
      <c r="F48" s="181">
        <v>-18065.458333333336</v>
      </c>
      <c r="G48" s="181">
        <v>-23832.995967741932</v>
      </c>
      <c r="H48" s="181">
        <v>-8279.9072580645152</v>
      </c>
      <c r="I48" s="181">
        <v>-4667.5916666666672</v>
      </c>
      <c r="J48" s="181">
        <v>-4849.770161290322</v>
      </c>
      <c r="K48" s="181">
        <v>-3603.1208333333338</v>
      </c>
      <c r="L48" s="181">
        <v>-3255.9959677419356</v>
      </c>
      <c r="M48" s="181">
        <v>-1192.572580645161</v>
      </c>
      <c r="N48" s="181">
        <v>-8323.5133928571431</v>
      </c>
      <c r="O48" s="181">
        <v>-6614.532258064517</v>
      </c>
      <c r="Q48" s="181">
        <f t="shared" si="17"/>
        <v>-10225.042582417584</v>
      </c>
      <c r="R48" s="181">
        <f t="shared" si="18"/>
        <v>-12342.692934782608</v>
      </c>
      <c r="S48" s="181">
        <f t="shared" si="19"/>
        <v>-3906.2214673913045</v>
      </c>
      <c r="T48" s="181">
        <f t="shared" si="31"/>
        <v>-5278.6513888888885</v>
      </c>
      <c r="U48" s="181">
        <f t="shared" si="32"/>
        <v>-7946.4592465753421</v>
      </c>
      <c r="V48" s="16"/>
    </row>
    <row r="49" spans="1:22" x14ac:dyDescent="0.2">
      <c r="A49" s="176" t="s">
        <v>41</v>
      </c>
      <c r="B49" s="176" t="s">
        <v>16</v>
      </c>
      <c r="C49" s="177" t="s">
        <v>193</v>
      </c>
      <c r="D49" s="178">
        <f>SUM(D46:D48)</f>
        <v>99208.891541666671</v>
      </c>
      <c r="E49" s="178">
        <f t="shared" ref="E49:O49" si="34">SUM(E46:E48)</f>
        <v>101000.64346774205</v>
      </c>
      <c r="F49" s="178">
        <f t="shared" si="34"/>
        <v>99448.459808333224</v>
      </c>
      <c r="G49" s="178">
        <f t="shared" si="34"/>
        <v>89179.100669354782</v>
      </c>
      <c r="H49" s="178">
        <f t="shared" si="34"/>
        <v>87313.57287096756</v>
      </c>
      <c r="I49" s="178">
        <f t="shared" si="34"/>
        <v>92757.137466666405</v>
      </c>
      <c r="J49" s="178">
        <f t="shared" si="34"/>
        <v>90116.856661290149</v>
      </c>
      <c r="K49" s="178">
        <f t="shared" si="34"/>
        <v>86979.111049999687</v>
      </c>
      <c r="L49" s="178">
        <f t="shared" si="34"/>
        <v>86796.737427419561</v>
      </c>
      <c r="M49" s="178">
        <f t="shared" si="34"/>
        <v>93568.479740322349</v>
      </c>
      <c r="N49" s="178">
        <f t="shared" si="34"/>
        <v>95163.436574999869</v>
      </c>
      <c r="O49" s="178">
        <f t="shared" si="34"/>
        <v>102185.12398629055</v>
      </c>
      <c r="Q49" s="178">
        <f t="shared" si="17"/>
        <v>99898.247120879125</v>
      </c>
      <c r="R49" s="178">
        <f t="shared" si="18"/>
        <v>89717.250040760715</v>
      </c>
      <c r="S49" s="178">
        <f t="shared" si="19"/>
        <v>87974.942915760781</v>
      </c>
      <c r="T49" s="178">
        <f t="shared" si="31"/>
        <v>97032.643773611053</v>
      </c>
      <c r="U49" s="178">
        <f t="shared" si="32"/>
        <v>93620.164875684859</v>
      </c>
      <c r="V49" s="16"/>
    </row>
    <row r="50" spans="1:22" x14ac:dyDescent="0.2">
      <c r="A50" s="49" t="s">
        <v>17</v>
      </c>
      <c r="B50" s="179" t="s">
        <v>16</v>
      </c>
      <c r="C50" s="180" t="s">
        <v>235</v>
      </c>
      <c r="D50" s="181">
        <v>107058.57894666665</v>
      </c>
      <c r="E50" s="181">
        <v>109025.83873951653</v>
      </c>
      <c r="F50" s="181">
        <v>114581.68394999964</v>
      </c>
      <c r="G50" s="181"/>
      <c r="H50" s="181"/>
      <c r="I50" s="181"/>
      <c r="J50" s="181"/>
      <c r="K50" s="181"/>
      <c r="L50" s="181"/>
      <c r="M50" s="181"/>
      <c r="N50" s="181"/>
      <c r="O50" s="181"/>
      <c r="Q50" s="181">
        <f t="shared" ref="Q50:Q53" si="35">SUMPRODUCT(D50:F50,$D$3:$F$3)/$Q$3</f>
        <v>110208.88887719781</v>
      </c>
      <c r="R50" s="181">
        <f t="shared" ref="R50:R53" si="36">SUMPRODUCT(G50:I50,$G$3:$I$3)/$R$3</f>
        <v>0</v>
      </c>
      <c r="S50" s="181">
        <f t="shared" ref="S50:S53" si="37">SUMPRODUCT(J50:L50,$J$3:$L$3)/$S$3</f>
        <v>0</v>
      </c>
      <c r="T50" s="181">
        <f t="shared" ref="T50:T53" si="38">SUMPRODUCT(M50:O50,$M$2:$O$2)/$T$2</f>
        <v>0</v>
      </c>
      <c r="U50" s="181">
        <f t="shared" ref="U50:U53" si="39">SUMPRODUCT(D50:O50,$D$2:$O$2)/$U$2</f>
        <v>27476.736678972604</v>
      </c>
    </row>
    <row r="51" spans="1:22" x14ac:dyDescent="0.2">
      <c r="A51" s="49" t="s">
        <v>18</v>
      </c>
      <c r="B51" s="179" t="s">
        <v>16</v>
      </c>
      <c r="C51" s="180" t="s">
        <v>235</v>
      </c>
      <c r="D51" s="181">
        <v>16192.225000000002</v>
      </c>
      <c r="E51" s="181">
        <v>23122.955645161295</v>
      </c>
      <c r="F51" s="181">
        <v>19429.454166666663</v>
      </c>
      <c r="G51" s="181"/>
      <c r="H51" s="181"/>
      <c r="I51" s="181"/>
      <c r="J51" s="181"/>
      <c r="K51" s="181"/>
      <c r="L51" s="181"/>
      <c r="M51" s="181"/>
      <c r="N51" s="181"/>
      <c r="O51" s="181"/>
      <c r="Q51" s="181">
        <f t="shared" si="35"/>
        <v>19620.461538461539</v>
      </c>
      <c r="R51" s="181">
        <f t="shared" si="36"/>
        <v>0</v>
      </c>
      <c r="S51" s="181">
        <f t="shared" si="37"/>
        <v>0</v>
      </c>
      <c r="T51" s="181">
        <f t="shared" si="38"/>
        <v>0</v>
      </c>
      <c r="U51" s="181">
        <f t="shared" si="39"/>
        <v>4891.6767123287673</v>
      </c>
    </row>
    <row r="52" spans="1:22" x14ac:dyDescent="0.2">
      <c r="A52" s="49" t="s">
        <v>33</v>
      </c>
      <c r="B52" s="179" t="s">
        <v>16</v>
      </c>
      <c r="C52" s="180" t="s">
        <v>235</v>
      </c>
      <c r="D52" s="181">
        <v>-7568.1333333333323</v>
      </c>
      <c r="E52" s="181">
        <v>-19131.012096774197</v>
      </c>
      <c r="F52" s="181">
        <v>-19194.829166666663</v>
      </c>
      <c r="G52" s="181"/>
      <c r="H52" s="181"/>
      <c r="I52" s="181"/>
      <c r="J52" s="181"/>
      <c r="K52" s="181"/>
      <c r="L52" s="181"/>
      <c r="M52" s="181"/>
      <c r="N52" s="181"/>
      <c r="O52" s="181"/>
      <c r="Q52" s="181">
        <f t="shared" si="35"/>
        <v>-15340.112637362638</v>
      </c>
      <c r="R52" s="181">
        <f t="shared" si="36"/>
        <v>0</v>
      </c>
      <c r="S52" s="181">
        <f t="shared" si="37"/>
        <v>0</v>
      </c>
      <c r="T52" s="181">
        <f t="shared" si="38"/>
        <v>0</v>
      </c>
      <c r="U52" s="181">
        <f t="shared" si="39"/>
        <v>-3824.5212328767125</v>
      </c>
    </row>
    <row r="53" spans="1:22" x14ac:dyDescent="0.2">
      <c r="A53" s="176" t="s">
        <v>41</v>
      </c>
      <c r="B53" s="176" t="s">
        <v>16</v>
      </c>
      <c r="C53" s="177" t="s">
        <v>235</v>
      </c>
      <c r="D53" s="178">
        <f>SUM(D50:D52)</f>
        <v>115682.67061333332</v>
      </c>
      <c r="E53" s="178">
        <f t="shared" ref="E53:O53" si="40">SUM(E50:E52)</f>
        <v>113017.78228790364</v>
      </c>
      <c r="F53" s="178">
        <f t="shared" si="40"/>
        <v>114816.30894999963</v>
      </c>
      <c r="G53" s="178">
        <f t="shared" si="40"/>
        <v>0</v>
      </c>
      <c r="H53" s="178">
        <f t="shared" si="40"/>
        <v>0</v>
      </c>
      <c r="I53" s="178">
        <f t="shared" si="40"/>
        <v>0</v>
      </c>
      <c r="J53" s="178">
        <f t="shared" si="40"/>
        <v>0</v>
      </c>
      <c r="K53" s="178">
        <f t="shared" si="40"/>
        <v>0</v>
      </c>
      <c r="L53" s="178">
        <f t="shared" si="40"/>
        <v>0</v>
      </c>
      <c r="M53" s="178">
        <f t="shared" si="40"/>
        <v>0</v>
      </c>
      <c r="N53" s="178">
        <f t="shared" si="40"/>
        <v>0</v>
      </c>
      <c r="O53" s="178">
        <f t="shared" si="40"/>
        <v>0</v>
      </c>
      <c r="Q53" s="178">
        <f t="shared" si="35"/>
        <v>114489.23777829671</v>
      </c>
      <c r="R53" s="178">
        <f t="shared" si="36"/>
        <v>0</v>
      </c>
      <c r="S53" s="178">
        <f t="shared" si="37"/>
        <v>0</v>
      </c>
      <c r="T53" s="178">
        <f t="shared" si="38"/>
        <v>0</v>
      </c>
      <c r="U53" s="178">
        <f t="shared" si="39"/>
        <v>28543.89215842466</v>
      </c>
    </row>
    <row r="54" spans="1:22" x14ac:dyDescent="0.2">
      <c r="T54" s="74"/>
    </row>
    <row r="55" spans="1:22" s="8" customFormat="1" x14ac:dyDescent="0.2">
      <c r="A55" s="28" t="s">
        <v>199</v>
      </c>
      <c r="C55" s="29"/>
    </row>
    <row r="56" spans="1:22" s="8" customFormat="1" x14ac:dyDescent="0.2">
      <c r="A56" s="30" t="s">
        <v>20</v>
      </c>
      <c r="B56" s="30" t="s">
        <v>21</v>
      </c>
      <c r="C56" s="31" t="s">
        <v>12</v>
      </c>
      <c r="D56" s="26">
        <v>2.5553664697985377</v>
      </c>
      <c r="E56" s="26">
        <v>2.4319832889294126</v>
      </c>
      <c r="F56" s="26">
        <v>2.5064394296801598</v>
      </c>
      <c r="G56" s="26">
        <v>2.8402897350402303</v>
      </c>
      <c r="H56" s="26">
        <v>2.9330817762832839</v>
      </c>
      <c r="I56" s="26">
        <v>3.012930080999586</v>
      </c>
      <c r="J56" s="26">
        <v>3.4996004743229134</v>
      </c>
      <c r="K56" s="26">
        <v>3.7643897286218189</v>
      </c>
      <c r="L56" s="26">
        <v>3.398660997218494</v>
      </c>
      <c r="M56" s="26">
        <v>2.7673258810551515</v>
      </c>
      <c r="N56" s="26">
        <v>2.3749182548933887</v>
      </c>
      <c r="O56" s="26">
        <v>2.0854895665392119</v>
      </c>
      <c r="Q56" s="26">
        <f>SUMPRODUCT(D56:F56,$D$26:$F$26,$D$3:$F$3)/SUMPRODUCT($D$26:$F$26,$D$3:$F$3)</f>
        <v>2.4881298161708663</v>
      </c>
      <c r="R56" s="26">
        <f>SUMPRODUCT(G56:I56,$G$26:$I$26,$G$3:$I$3)/SUMPRODUCT($G$26:$I$26,$G$3:$I$3)</f>
        <v>2.9248416181387538</v>
      </c>
      <c r="S56" s="26">
        <f>SUMPRODUCT(J56:L56,$J$26:$L$26,$J$3:$L$3)/SUMPRODUCT($J$26:$L$26,$J$3:$L$3)</f>
        <v>3.5400905602441841</v>
      </c>
      <c r="T56" s="26">
        <f>SUMPRODUCT(M56:O56,$M$26:$O$26,$M$3:$O$3)/SUMPRODUCT($M$26:$O$26,$M$3:$O$3)</f>
        <v>2.3945519184036859</v>
      </c>
      <c r="U56" s="26">
        <f>SUMPRODUCT(D56:O56,$D$26:$O$26,$D$3:$O$3)/SUMPRODUCT($D$26:$O$26,$D$3:$O$3)</f>
        <v>2.8465363827150183</v>
      </c>
    </row>
    <row r="57" spans="1:22" s="8" customFormat="1" x14ac:dyDescent="0.2">
      <c r="A57" s="30" t="s">
        <v>20</v>
      </c>
      <c r="B57" s="30" t="s">
        <v>21</v>
      </c>
      <c r="C57" s="31" t="s">
        <v>13</v>
      </c>
      <c r="D57" s="32">
        <v>2.6401671683591186</v>
      </c>
      <c r="E57" s="32">
        <v>3.0131490484499004</v>
      </c>
      <c r="F57" s="32">
        <v>3.6789719119665638</v>
      </c>
      <c r="G57" s="32">
        <v>3.9314373338826831</v>
      </c>
      <c r="H57" s="32">
        <v>4.6253593119406853</v>
      </c>
      <c r="I57" s="32">
        <v>4.5535957699690819</v>
      </c>
      <c r="J57" s="32">
        <v>5.4125781562338959</v>
      </c>
      <c r="K57" s="32">
        <v>5.64614128084109</v>
      </c>
      <c r="L57" s="32">
        <v>4.7736126758880975</v>
      </c>
      <c r="M57" s="32">
        <v>3.9052588995931576</v>
      </c>
      <c r="N57" s="32">
        <v>3.521827783432725</v>
      </c>
      <c r="O57" s="32">
        <v>3.0210167820252942</v>
      </c>
      <c r="Q57" s="26">
        <f>SUMPRODUCT(D57:F57,$D$29:$F$29,$D$3:$F$3)/SUMPRODUCT($D$29:$F$29,$D$3:$F$3)</f>
        <v>3.0992926517357797</v>
      </c>
      <c r="R57" s="26">
        <f>SUMPRODUCT(G57:I57,$G$29:$I$29,$G$3:$I$3)/SUMPRODUCT($G$29:$I$29,$G$3:$I$3)</f>
        <v>4.3506582188346945</v>
      </c>
      <c r="S57" s="26">
        <f>SUMPRODUCT(J57:L57,$J$29:$L$29,$J$3:$L$3)/SUMPRODUCT($J$29:$L$29,$J$3:$L$3)</f>
        <v>5.2544876155444014</v>
      </c>
      <c r="T57" s="26">
        <f>SUMPRODUCT(M57:O57,$M$29:$O$29,$M$3:$O$3)/SUMPRODUCT($M$29:$O$29,$M$3:$O$3)</f>
        <v>3.5145263005106955</v>
      </c>
      <c r="U57" s="26">
        <f>SUMPRODUCT(D57:O57,$D$29:$O$29,$D$3:$O$3)/SUMPRODUCT($D$29:$O$29,$D$3:$O$3)</f>
        <v>3.9943162350559405</v>
      </c>
    </row>
    <row r="58" spans="1:22" s="8" customFormat="1" x14ac:dyDescent="0.2">
      <c r="A58" s="30" t="s">
        <v>20</v>
      </c>
      <c r="B58" s="33" t="s">
        <v>21</v>
      </c>
      <c r="C58" s="20" t="s">
        <v>14</v>
      </c>
      <c r="D58" s="26">
        <v>2.074862038709818</v>
      </c>
      <c r="E58" s="26">
        <v>2.019724175220146</v>
      </c>
      <c r="F58" s="26">
        <v>1.8891138480072216</v>
      </c>
      <c r="G58" s="26">
        <v>2.531394898162671</v>
      </c>
      <c r="H58" s="26">
        <v>2.7643401877777039</v>
      </c>
      <c r="I58" s="26">
        <v>2.5914898393971768</v>
      </c>
      <c r="J58" s="26">
        <v>2.5888749338932664</v>
      </c>
      <c r="K58" s="26">
        <v>2.6069413148361713</v>
      </c>
      <c r="L58" s="26">
        <v>2.3336829150230232</v>
      </c>
      <c r="M58" s="26">
        <v>2.2235734108323184</v>
      </c>
      <c r="N58" s="26">
        <v>2.4227570017956888</v>
      </c>
      <c r="O58" s="26">
        <v>2.6664234031768368</v>
      </c>
      <c r="Q58" s="26">
        <f>SUMPRODUCT(D58:F58,$D$33:$F$33,$D$3:$F$3)/SUMPRODUCT($D$33:$F$33,$D$3:$F$3)</f>
        <v>1.993124749444815</v>
      </c>
      <c r="R58" s="26">
        <f>SUMPRODUCT(G58:I58,$G$33:$I$33,$G$3:$I$3)/SUMPRODUCT($G$33:$I$33,$G$3:$I$3)</f>
        <v>2.6244489160161288</v>
      </c>
      <c r="S58" s="26">
        <f>SUMPRODUCT(J58:L58,$J$33:$L$33,$J$3:$L$3)/SUMPRODUCT($J$33:$L$33,$J$3:$L$3)</f>
        <v>2.4987995795073932</v>
      </c>
      <c r="T58" s="26">
        <f>SUMPRODUCT(M58:O58,$M$33:$O$33,$M$3:$O$3)/SUMPRODUCT($M$33:$O$33,$M$3:$O$3)</f>
        <v>2.4307626252340699</v>
      </c>
      <c r="U58" s="26">
        <f>SUMPRODUCT(D58:O58,$D$33:$O$33,$D$3:$O$3)/SUMPRODUCT($D$33:$O$33,$D$3:$O$3)</f>
        <v>2.3717430513126696</v>
      </c>
    </row>
    <row r="59" spans="1:22" s="8" customFormat="1" x14ac:dyDescent="0.2">
      <c r="A59" s="30" t="s">
        <v>20</v>
      </c>
      <c r="B59" s="33" t="s">
        <v>21</v>
      </c>
      <c r="C59" s="20" t="s">
        <v>32</v>
      </c>
      <c r="D59" s="26">
        <v>2.6415477780271468</v>
      </c>
      <c r="E59" s="26">
        <v>2.5104203864618864</v>
      </c>
      <c r="F59" s="26">
        <v>2.3996506156019395</v>
      </c>
      <c r="G59" s="26">
        <v>2.6118439193414495</v>
      </c>
      <c r="H59" s="26">
        <v>2.564077456838632</v>
      </c>
      <c r="I59" s="26">
        <v>2.5578134204534417</v>
      </c>
      <c r="J59" s="26">
        <v>2.5840906909742527</v>
      </c>
      <c r="K59" s="26">
        <v>2.5255156557881628</v>
      </c>
      <c r="L59" s="26">
        <v>2.5242139347651049</v>
      </c>
      <c r="M59" s="26">
        <v>2.6101045943457533</v>
      </c>
      <c r="N59" s="26">
        <v>2.825928327846408</v>
      </c>
      <c r="O59" s="26">
        <v>3.163406661370078</v>
      </c>
      <c r="Q59" s="26">
        <f>SUMPRODUCT(D59:F59,$D$37:$F$37,$D$3:$F$3)/SUMPRODUCT($D$37:$F$37,$D$3:$F$3)</f>
        <v>2.5103258247329787</v>
      </c>
      <c r="R59" s="26">
        <f>SUMPRODUCT(G59:I59,$G$37:$I$37,$G$3:$I$3)/SUMPRODUCT($G$37:$I$37,$G$3:$I$3)</f>
        <v>2.5781841443103342</v>
      </c>
      <c r="S59" s="26">
        <f>SUMPRODUCT(J59:L59,$J$37:$L$37,$J$3:$L$3)/SUMPRODUCT($J$37:$L$37,$J$3:$L$3)</f>
        <v>2.543794614162934</v>
      </c>
      <c r="T59" s="26">
        <f>SUMPRODUCT(M59:O59,$M$37:$O$37,$M$3:$O$3)/SUMPRODUCT($M$37:$O$37,$M$3:$O$3)</f>
        <v>2.8734693171993153</v>
      </c>
      <c r="U59" s="26">
        <f>SUMPRODUCT(D59:O59,$D$37:$O$37,$D$3:$O$3)/SUMPRODUCT($D$37:$O$37,$D$3:$O$3)</f>
        <v>2.6315307721460304</v>
      </c>
    </row>
    <row r="60" spans="1:22" s="8" customFormat="1" x14ac:dyDescent="0.2">
      <c r="A60" s="30" t="s">
        <v>20</v>
      </c>
      <c r="B60" s="33" t="s">
        <v>21</v>
      </c>
      <c r="C60" s="20" t="s">
        <v>38</v>
      </c>
      <c r="D60" s="85">
        <v>2.831918699994064</v>
      </c>
      <c r="E60" s="85">
        <v>2.7356185951793774</v>
      </c>
      <c r="F60" s="85">
        <v>2.6954152511401466</v>
      </c>
      <c r="G60" s="85">
        <v>2.9168890654660959</v>
      </c>
      <c r="H60" s="85">
        <v>3.2551861445652985</v>
      </c>
      <c r="I60" s="85">
        <v>3.4447328060697187</v>
      </c>
      <c r="J60" s="85">
        <v>3.2473877113656875</v>
      </c>
      <c r="K60" s="85">
        <v>3.0526758060605621</v>
      </c>
      <c r="L60" s="85">
        <v>2.7478290020086931</v>
      </c>
      <c r="M60" s="85">
        <v>2.4019846123620758</v>
      </c>
      <c r="N60" s="85">
        <v>2.275648960408116</v>
      </c>
      <c r="O60" s="85">
        <v>2.4854949064733804</v>
      </c>
      <c r="Q60" s="26">
        <f>SUMPRODUCT(D60:F60,$D$38:$F$38,$D$3:$F$3)/SUMPRODUCT($D$38:$F$38,$D$3:$F$3)</f>
        <v>2.7468292487115895</v>
      </c>
      <c r="R60" s="26">
        <f>SUMPRODUCT(G60:I60,$G$38:$I$38,$G$3:$I$3)/SUMPRODUCT($G$38:$I$38,$G$3:$I$3)</f>
        <v>3.1803587466880354</v>
      </c>
      <c r="S60" s="26">
        <f>SUMPRODUCT(J60:L60,$J$38:$L$38,$J$3:$L$3)/SUMPRODUCT($J$38:$L$38,$J$3:$L$3)</f>
        <v>3.0168322257102465</v>
      </c>
      <c r="T60" s="26">
        <f>SUMPRODUCT(M60:O60,$M$38:$O$38,$M$3:$O$3)/SUMPRODUCT($M$38:$O$38,$M$3:$O$3)</f>
        <v>2.3902992903402165</v>
      </c>
      <c r="U60" s="26">
        <f>SUMPRODUCT(D60:O60,$D$38:$O$38,$D$3:$O$3)/SUMPRODUCT($D$38:$O$38,$D$3:$O$3)</f>
        <v>2.8369767589594757</v>
      </c>
    </row>
    <row r="61" spans="1:22" s="8" customFormat="1" x14ac:dyDescent="0.2">
      <c r="A61" s="30" t="s">
        <v>20</v>
      </c>
      <c r="B61" s="33" t="s">
        <v>21</v>
      </c>
      <c r="C61" s="20" t="s">
        <v>98</v>
      </c>
      <c r="D61" s="26">
        <v>2.7182651099800696</v>
      </c>
      <c r="E61" s="26">
        <v>2.549036279527388</v>
      </c>
      <c r="F61" s="26">
        <v>2.7885459931591119</v>
      </c>
      <c r="G61" s="26">
        <v>2.6881080747039126</v>
      </c>
      <c r="H61" s="26">
        <v>3.2206116089090879</v>
      </c>
      <c r="I61" s="26">
        <v>3.1005543929883244</v>
      </c>
      <c r="J61" s="26">
        <v>3.1182795279230922</v>
      </c>
      <c r="K61" s="26">
        <v>3.083634888723938</v>
      </c>
      <c r="L61" s="26">
        <v>2.8055015253598055</v>
      </c>
      <c r="M61" s="26">
        <v>2.9409358691309184</v>
      </c>
      <c r="N61" s="26">
        <v>3.1629016370216894</v>
      </c>
      <c r="O61" s="26">
        <v>2.9656289112454943</v>
      </c>
      <c r="Q61" s="26">
        <f>SUMPRODUCT(D61:F61,$D$42:$F$42,$D$3:$F$3)/SUMPRODUCT($D$42:$F$42,$D$3:$F$3)</f>
        <v>2.6822254923662379</v>
      </c>
      <c r="R61" s="26">
        <f>SUMPRODUCT(G61:I61,$G$42:$I$42,$G$3:$I$3)/SUMPRODUCT($G$42:$I$42,$G$3:$I$3)</f>
        <v>2.9668736679991152</v>
      </c>
      <c r="S61" s="26">
        <f>SUMPRODUCT(J61:L61,$J$42:$L$42,$J$3:$L$3)/SUMPRODUCT($J$42:$L$42,$J$3:$L$3)</f>
        <v>2.9983276509836205</v>
      </c>
      <c r="T61" s="26">
        <f>SUMPRODUCT(M61:O61,$M$42:$O$42,$M$3:$O$3)/SUMPRODUCT($M$42:$O$42,$M$3:$O$3)</f>
        <v>3.0203589128462114</v>
      </c>
      <c r="U61" s="26">
        <f>SUMPRODUCT(D61:O61,$D$42:$O$42,$D$3:$O$3)/SUMPRODUCT($D$42:$O$42,$D$3:$O$3)</f>
        <v>2.8986351099475014</v>
      </c>
    </row>
    <row r="62" spans="1:22" s="8" customFormat="1" x14ac:dyDescent="0.2">
      <c r="A62" s="30" t="s">
        <v>20</v>
      </c>
      <c r="B62" s="33" t="s">
        <v>21</v>
      </c>
      <c r="C62" s="20" t="s">
        <v>193</v>
      </c>
      <c r="D62" s="26">
        <v>2.7412821187056062</v>
      </c>
      <c r="E62" s="26">
        <v>2.4212062545022515</v>
      </c>
      <c r="F62" s="26">
        <v>2.5235488556694232</v>
      </c>
      <c r="G62" s="26">
        <v>2.7272252137467365</v>
      </c>
      <c r="H62" s="26">
        <v>2.8396994584413338</v>
      </c>
      <c r="I62" s="26">
        <v>3.0620882066328323</v>
      </c>
      <c r="J62" s="26">
        <v>3.0638501522839841</v>
      </c>
      <c r="K62" s="26">
        <v>2.9511321652007467</v>
      </c>
      <c r="L62" s="26">
        <v>2.9404811350668525</v>
      </c>
      <c r="M62" s="26">
        <v>2.9052255821577808</v>
      </c>
      <c r="N62" s="26">
        <v>2.9415430931912163</v>
      </c>
      <c r="O62" s="26">
        <v>2.7720338597211867</v>
      </c>
      <c r="P62" s="26"/>
      <c r="Q62" s="26">
        <f>SUMPRODUCT(D62:F62,$D$42:$F$42,$D$3:$F$3)/SUMPRODUCT($D$42:$F$42,$D$3:$F$3)</f>
        <v>2.5519324577920419</v>
      </c>
      <c r="R62" s="26">
        <f>SUMPRODUCT(G62:I62,$G$42:$I$42,$G$3:$I$3)/SUMPRODUCT($G$42:$I$42,$G$3:$I$3)</f>
        <v>2.8585189347491866</v>
      </c>
      <c r="S62" s="26">
        <f>SUMPRODUCT(J62:L62,$J$42:$L$42,$J$3:$L$3)/SUMPRODUCT($J$42:$L$42,$J$3:$L$3)</f>
        <v>2.9838915180058407</v>
      </c>
      <c r="T62" s="26">
        <f>SUMPRODUCT(M62:O62,$M$42:$O$42,$M$2:$O$2)/SUMPRODUCT($M$42:$O$42,$M$2:$O$2)</f>
        <v>2.8722987699298352</v>
      </c>
      <c r="U62" s="26">
        <f>SUMPRODUCT(D62:O62,$D$42:$O$42,$D$2:$O$2)/SUMPRODUCT($D$42:$O$42,$D$2:$O$2)</f>
        <v>2.7956024498583938</v>
      </c>
    </row>
    <row r="63" spans="1:22" s="8" customFormat="1" x14ac:dyDescent="0.2">
      <c r="A63" s="30" t="s">
        <v>20</v>
      </c>
      <c r="B63" s="33" t="s">
        <v>21</v>
      </c>
      <c r="C63" s="20" t="s">
        <v>235</v>
      </c>
      <c r="D63" s="26">
        <v>2.7475667732302873</v>
      </c>
      <c r="E63" s="26">
        <v>2.8982058523720635</v>
      </c>
      <c r="F63" s="26">
        <v>2.8443092792673448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>
        <f>SUMPRODUCT(D63:F63,$D$50:$F$50,$D$3:$F$3)/SUMPRODUCT($D$50:$F$50,$D$3:$F$3)</f>
        <v>2.8314910869300833</v>
      </c>
      <c r="R63" s="26"/>
      <c r="S63" s="26"/>
      <c r="T63" s="26"/>
      <c r="U63" s="26"/>
    </row>
    <row r="64" spans="1:22" s="8" customFormat="1" x14ac:dyDescent="0.2">
      <c r="C64" s="29"/>
    </row>
    <row r="65" spans="1:22" s="8" customFormat="1" x14ac:dyDescent="0.2">
      <c r="A65" s="28" t="s">
        <v>22</v>
      </c>
      <c r="C65" s="29"/>
    </row>
    <row r="66" spans="1:22" s="8" customFormat="1" x14ac:dyDescent="0.2">
      <c r="A66" s="33" t="s">
        <v>246</v>
      </c>
      <c r="B66" s="36" t="s">
        <v>21</v>
      </c>
      <c r="C66" s="37" t="s">
        <v>12</v>
      </c>
      <c r="D66" s="38">
        <v>0</v>
      </c>
      <c r="E66" s="38">
        <v>29.737937092566181</v>
      </c>
      <c r="F66" s="38">
        <v>29.59189664853217</v>
      </c>
      <c r="G66" s="38">
        <v>29.566634795221535</v>
      </c>
      <c r="H66" s="38">
        <v>30.641063330699666</v>
      </c>
      <c r="I66" s="38">
        <v>32.81572984156476</v>
      </c>
      <c r="J66" s="38">
        <v>33.654119691062014</v>
      </c>
      <c r="K66" s="38">
        <v>33.375418314781513</v>
      </c>
      <c r="L66" s="38">
        <v>33.645732112497114</v>
      </c>
      <c r="M66" s="38">
        <v>33.714282086602381</v>
      </c>
      <c r="N66" s="38">
        <v>33.918253765667131</v>
      </c>
      <c r="O66" s="38">
        <v>34.273813643709367</v>
      </c>
      <c r="Q66" s="26">
        <f>SUMPRODUCT(D66:F66,$D$26:$F$26,$D$3:$F$3)/SUMPRODUCT($D$26:$F$26,$D$3:$F$3)</f>
        <v>29.627809657990181</v>
      </c>
      <c r="R66" s="26">
        <f>SUMPRODUCT(G66:I66,$G$26:$I$26,$G$3:$I$3)/SUMPRODUCT($G$26:$I$26,$G$3:$I$3)</f>
        <v>30.947592182907158</v>
      </c>
      <c r="S66" s="26">
        <f>SUMPRODUCT(J66:L66,$J$26:$L$26,$J$3:$L$3)/SUMPRODUCT($J$26:$L$26,$J$3:$L$3)</f>
        <v>33.560803263843134</v>
      </c>
      <c r="T66" s="26">
        <f>SUMPRODUCT(M66:O66,$M$26:$O$26,$M$3:$O$3)/SUMPRODUCT($M$26:$O$26,$M$3:$O$3)</f>
        <v>33.984313607952892</v>
      </c>
      <c r="U66" s="26">
        <f>SUMPRODUCT(D66:O66,$D$26:$O$26,$D$3:$O$3)/SUMPRODUCT($D$26:$O$26,$D$3:$O$3)</f>
        <v>32.819611222654068</v>
      </c>
    </row>
    <row r="67" spans="1:22" s="8" customFormat="1" x14ac:dyDescent="0.2">
      <c r="A67" s="33" t="s">
        <v>246</v>
      </c>
      <c r="B67" s="36" t="s">
        <v>21</v>
      </c>
      <c r="C67" s="37" t="s">
        <v>13</v>
      </c>
      <c r="D67" s="38">
        <v>32.020278822699254</v>
      </c>
      <c r="E67" s="38">
        <v>30.405444314139586</v>
      </c>
      <c r="F67" s="38">
        <v>30.253871015080883</v>
      </c>
      <c r="G67" s="38">
        <v>30.361103474805859</v>
      </c>
      <c r="H67" s="38">
        <v>32.188802611400909</v>
      </c>
      <c r="I67" s="38">
        <v>32.964862982086615</v>
      </c>
      <c r="J67" s="38">
        <v>33.336360115041586</v>
      </c>
      <c r="K67" s="38">
        <v>33.503511866877659</v>
      </c>
      <c r="L67" s="38">
        <v>33.066256616285216</v>
      </c>
      <c r="M67" s="38">
        <v>33.236234694763652</v>
      </c>
      <c r="N67" s="38">
        <v>33.348335943283033</v>
      </c>
      <c r="O67" s="38">
        <v>33.260240143502536</v>
      </c>
      <c r="Q67" s="26">
        <f>SUMPRODUCT(D67:F67,$D$29:$F$29,$D$3:$F$3)/SUMPRODUCT($D$29:$F$29,$D$3:$F$3)</f>
        <v>30.886412688799272</v>
      </c>
      <c r="R67" s="26">
        <f>SUMPRODUCT(G67:I67,$G$29:$I$29,$G$3:$I$3)/SUMPRODUCT($G$29:$I$29,$G$3:$I$3)</f>
        <v>31.787389367456086</v>
      </c>
      <c r="S67" s="26">
        <f>SUMPRODUCT(J67:L67,$J$29:$L$29,$J$3:$L$3)/SUMPRODUCT($J$29:$L$29,$J$3:$L$3)</f>
        <v>33.291373806830627</v>
      </c>
      <c r="T67" s="26">
        <f>SUMPRODUCT(M67:O67,$M$29:$O$29,$M$3:$O$3)/SUMPRODUCT($M$29:$O$29,$M$3:$O$3)</f>
        <v>33.277763148017115</v>
      </c>
      <c r="U67" s="26">
        <f>SUMPRODUCT(D67:O67,$D$29:$O$29,$D$3:$O$3)/SUMPRODUCT($D$29:$O$29,$D$3:$O$3)</f>
        <v>32.247765442760695</v>
      </c>
    </row>
    <row r="68" spans="1:22" s="8" customFormat="1" x14ac:dyDescent="0.2">
      <c r="A68" s="33" t="s">
        <v>246</v>
      </c>
      <c r="B68" s="36" t="s">
        <v>21</v>
      </c>
      <c r="C68" s="37" t="s">
        <v>14</v>
      </c>
      <c r="D68" s="38">
        <v>32.990285504618555</v>
      </c>
      <c r="E68" s="38">
        <v>31.89263370264036</v>
      </c>
      <c r="F68" s="38">
        <v>30.787155013254306</v>
      </c>
      <c r="G68" s="38">
        <v>32.341879610329002</v>
      </c>
      <c r="H68" s="38">
        <v>32.778481921830334</v>
      </c>
      <c r="I68" s="38">
        <v>34.32903898279767</v>
      </c>
      <c r="J68" s="38">
        <v>34.901272219787629</v>
      </c>
      <c r="K68" s="38">
        <v>35.097106332433057</v>
      </c>
      <c r="L68" s="38">
        <v>34.834334424380486</v>
      </c>
      <c r="M68" s="38">
        <v>34.85032440629216</v>
      </c>
      <c r="N68" s="38">
        <v>35.644685616810079</v>
      </c>
      <c r="O68" s="38">
        <v>35.931842355962026</v>
      </c>
      <c r="Q68" s="26">
        <f>SUMPRODUCT(D68:F68,$D$33:$F$33,$D$3:$F$3)/SUMPRODUCT($D$33:$F$33,$D$3:$F$3)</f>
        <v>31.850462497361303</v>
      </c>
      <c r="R68" s="26">
        <f>SUMPRODUCT(G68:I68,$G$33:$I$33,$G$3:$I$3)/SUMPRODUCT($G$33:$I$33,$G$3:$I$3)</f>
        <v>33.151993086963948</v>
      </c>
      <c r="S68" s="26">
        <f>SUMPRODUCT(J68:L68,$J$33:$L$33,$J$3:$L$3)/SUMPRODUCT($J$33:$L$33,$J$3:$L$3)</f>
        <v>34.940180277392379</v>
      </c>
      <c r="T68" s="26">
        <f>SUMPRODUCT(M68:O68,$M$33:$O$33,$M$3:$O$3)/SUMPRODUCT($M$33:$O$33,$M$3:$O$3)</f>
        <v>35.45430511676939</v>
      </c>
      <c r="U68" s="26">
        <f>SUMPRODUCT(D68:O68,$D$33:$O$33,$D$3:$O$3)/SUMPRODUCT($D$33:$O$33,$D$3:$O$3)</f>
        <v>33.8927970600419</v>
      </c>
    </row>
    <row r="69" spans="1:22" s="8" customFormat="1" x14ac:dyDescent="0.2">
      <c r="A69" s="33" t="s">
        <v>246</v>
      </c>
      <c r="B69" s="36" t="s">
        <v>21</v>
      </c>
      <c r="C69" s="37" t="str">
        <f>+C59</f>
        <v>FY 22-23</v>
      </c>
      <c r="D69" s="38">
        <v>35.933091530789319</v>
      </c>
      <c r="E69" s="38">
        <v>36.345530295755026</v>
      </c>
      <c r="F69" s="38">
        <v>36.153930538987851</v>
      </c>
      <c r="G69" s="38">
        <v>36.70453535063232</v>
      </c>
      <c r="H69" s="38">
        <v>36.974896317677697</v>
      </c>
      <c r="I69" s="38">
        <v>37.401153102638183</v>
      </c>
      <c r="J69" s="38">
        <v>38.12567775973649</v>
      </c>
      <c r="K69" s="38">
        <v>38.198879783181468</v>
      </c>
      <c r="L69" s="38">
        <v>38.186420113562683</v>
      </c>
      <c r="M69" s="38">
        <v>40.43152729062102</v>
      </c>
      <c r="N69" s="38">
        <v>41.96158370759283</v>
      </c>
      <c r="O69" s="38">
        <v>43.037040985330904</v>
      </c>
      <c r="Q69" s="26">
        <f>SUMPRODUCT(D69:F69,$D$37:$F$37,$D$3:$F$3)/SUMPRODUCT($D$37:$F$37,$D$3:$F$3)</f>
        <v>36.156818652455406</v>
      </c>
      <c r="R69" s="26">
        <f>SUMPRODUCT(G69:I69,$G$37:$I$37,$G$3:$I$3)/SUMPRODUCT($G$37:$I$37,$G$3:$I$3)</f>
        <v>37.023108185914928</v>
      </c>
      <c r="S69" s="26">
        <f>SUMPRODUCT(J69:L69,$J$37:$L$37,$J$3:$L$3)/SUMPRODUCT($J$37:$L$37,$J$3:$L$3)</f>
        <v>38.170824075884582</v>
      </c>
      <c r="T69" s="26">
        <f>SUMPRODUCT(M69:O69,$M$37:$O$37,$M$3:$O$3)/SUMPRODUCT($M$37:$O$37,$M$3:$O$3)</f>
        <v>41.828199784690717</v>
      </c>
      <c r="U69" s="26">
        <f>SUMPRODUCT(D69:O69,$D$37:$O$37,$D$3:$O$3)/SUMPRODUCT($D$37:$O$37,$D$3:$O$3)</f>
        <v>38.354196311128739</v>
      </c>
    </row>
    <row r="70" spans="1:22" s="8" customFormat="1" x14ac:dyDescent="0.2">
      <c r="A70" s="33" t="s">
        <v>246</v>
      </c>
      <c r="B70" s="36" t="s">
        <v>21</v>
      </c>
      <c r="C70" s="37" t="str">
        <f>+C60</f>
        <v>FY 23-24</v>
      </c>
      <c r="D70" s="38">
        <v>42.757729466263953</v>
      </c>
      <c r="E70" s="38">
        <v>42.616167454861888</v>
      </c>
      <c r="F70" s="38">
        <v>41.35693799094625</v>
      </c>
      <c r="G70" s="38">
        <v>40.723557476951932</v>
      </c>
      <c r="H70" s="38">
        <v>41.195082421759082</v>
      </c>
      <c r="I70" s="38">
        <v>42.752660633208045</v>
      </c>
      <c r="J70" s="38">
        <v>42.567108562920318</v>
      </c>
      <c r="K70" s="38">
        <v>42.673060641059962</v>
      </c>
      <c r="L70" s="84">
        <v>42.541111302663126</v>
      </c>
      <c r="M70" s="38">
        <v>41.888318626315545</v>
      </c>
      <c r="N70" s="38">
        <v>41.662741813012062</v>
      </c>
      <c r="O70" s="84">
        <v>41.196219420836862</v>
      </c>
      <c r="Q70" s="26">
        <f>SUMPRODUCT(D70:F70,$D$38:$F$38,$D$3:$F$3)/SUMPRODUCT($D$38:$F$38,$D$3:$F$3)</f>
        <v>42.193289818595638</v>
      </c>
      <c r="R70" s="26">
        <f>SUMPRODUCT(G70:I70,$G$38:$I$38,$G$3:$I$3)/SUMPRODUCT($G$38:$I$38,$G$3:$I$3)</f>
        <v>41.474290078961836</v>
      </c>
      <c r="S70" s="26">
        <f>SUMPRODUCT(J70:L70,$J$38:$L$38,$J$3:$L$3)/SUMPRODUCT($J$38:$L$38,$J$3:$L$3)</f>
        <v>42.590770599897169</v>
      </c>
      <c r="T70" s="26">
        <f>SUMPRODUCT(M70:O70,$M$38:$O$38,$M$3:$O$3)/SUMPRODUCT($M$38:$O$38,$M$3:$O$3)</f>
        <v>41.583586161007013</v>
      </c>
      <c r="U70" s="26">
        <f>SUMPRODUCT(D70:O70,$D$38:$O$38,$D$3:$O$3)/SUMPRODUCT($D$38:$O$38,$D$3:$O$3)</f>
        <v>41.972231425557979</v>
      </c>
    </row>
    <row r="71" spans="1:22" s="8" customFormat="1" x14ac:dyDescent="0.2">
      <c r="A71" s="33" t="s">
        <v>246</v>
      </c>
      <c r="B71" s="36" t="s">
        <v>21</v>
      </c>
      <c r="C71" s="37" t="str">
        <f>+C61</f>
        <v>FY 24-25</v>
      </c>
      <c r="D71" s="38">
        <v>40.404733183834708</v>
      </c>
      <c r="E71" s="38">
        <v>39.848570007910524</v>
      </c>
      <c r="F71" s="38">
        <v>37.918901643432918</v>
      </c>
      <c r="G71" s="38">
        <v>38.311101203766562</v>
      </c>
      <c r="H71" s="38">
        <v>39.248451836597646</v>
      </c>
      <c r="I71" s="38">
        <v>39.330794462617924</v>
      </c>
      <c r="J71" s="38">
        <v>39.719746007679049</v>
      </c>
      <c r="K71" s="38">
        <v>39.707256666541454</v>
      </c>
      <c r="L71" s="84">
        <v>39.37413389845166</v>
      </c>
      <c r="M71" s="38">
        <v>39.673294097859959</v>
      </c>
      <c r="N71" s="38">
        <v>39.594994730449848</v>
      </c>
      <c r="O71" s="84">
        <v>39.159927863107555</v>
      </c>
      <c r="Q71" s="26">
        <f>SUMPRODUCT(D71:F71,$D$42:$F$42,$D$3:$F$3)/SUMPRODUCT($D$42:$F$42,$D$3:$F$3)</f>
        <v>39.347388351292771</v>
      </c>
      <c r="R71" s="26">
        <f>SUMPRODUCT(G71:I71,$G$42:$I$42,$G$3:$I$3)/SUMPRODUCT($G$42:$I$42,$G$3:$I$3)</f>
        <v>38.887642170738886</v>
      </c>
      <c r="S71" s="26">
        <f>SUMPRODUCT(J71:L71,$J$42:$L$42,$J$3:$L$3)/SUMPRODUCT($J$42:$L$42,$J$3:$L$3)</f>
        <v>39.595702692652424</v>
      </c>
      <c r="T71" s="26">
        <f>SUMPRODUCT(M71:O71,$M$42:$O$42,$M$3:$O$3)/SUMPRODUCT($M$42:$O$42,$M$3:$O$3)</f>
        <v>39.479225179323535</v>
      </c>
      <c r="U71" s="26">
        <f>SUMPRODUCT(D71:O71,$D$42:$O$42,$D$3:$O$3)/SUMPRODUCT($D$42:$O$42,$D$3:$O$3)</f>
        <v>39.318349862810258</v>
      </c>
    </row>
    <row r="72" spans="1:22" s="8" customFormat="1" x14ac:dyDescent="0.2">
      <c r="A72" s="33" t="s">
        <v>246</v>
      </c>
      <c r="B72" s="36" t="s">
        <v>21</v>
      </c>
      <c r="C72" s="37" t="str">
        <f>+C62</f>
        <v>FY 25-26</v>
      </c>
      <c r="D72" s="38">
        <v>38.579382945756159</v>
      </c>
      <c r="E72" s="38">
        <v>37.951380676978019</v>
      </c>
      <c r="F72" s="38">
        <v>39.239794887429369</v>
      </c>
      <c r="G72" s="38">
        <v>40.331177577279334</v>
      </c>
      <c r="H72" s="38">
        <v>41.143495590861079</v>
      </c>
      <c r="I72" s="38">
        <v>42.594984106519171</v>
      </c>
      <c r="J72" s="38">
        <v>43.076227043346201</v>
      </c>
      <c r="K72" s="84">
        <v>44.05094244343303</v>
      </c>
      <c r="L72" s="84">
        <v>43.964026305232757</v>
      </c>
      <c r="M72" s="84">
        <v>43.945779456543391</v>
      </c>
      <c r="N72" s="84">
        <v>43.77892560148689</v>
      </c>
      <c r="O72" s="84">
        <v>43.774299890683359</v>
      </c>
      <c r="Q72" s="26">
        <f>SUMPRODUCT(D72:F72,$D$46:$F$46,$D$3:$F$3)/SUMPRODUCT($D$46:$F$46,$D$3:$F$3)</f>
        <v>38.595679764055618</v>
      </c>
      <c r="R72" s="26">
        <f>SUMPRODUCT(G72:I72,$G$46:$I$46,$G$3:$I$3)/SUMPRODUCT($G$46:$I$46,$G$3:$I$3)</f>
        <v>41.357616460691638</v>
      </c>
      <c r="S72" s="26">
        <f>SUMPRODUCT(J72:L72,$J$46:$L$46,$J$3:$L$3)/SUMPRODUCT($J$46:$L$46,$J$3:$L$3)</f>
        <v>43.687187245011373</v>
      </c>
      <c r="T72" s="26">
        <f>SUMPRODUCT(M72:O72,$M$46:$O$46,$M$2:$O$2)/SUMPRODUCT($M$46:$O$46,$M$2:$O$2)</f>
        <v>43.831309690755404</v>
      </c>
      <c r="U72" s="26">
        <f>SUMPRODUCT(D72:O72,$D$46:$O$46,$D$2:$O$2)/SUMPRODUCT($D$46:$O$46,$D$2:$O$2)</f>
        <v>42.010335504841379</v>
      </c>
    </row>
    <row r="73" spans="1:22" s="8" customFormat="1" x14ac:dyDescent="0.2">
      <c r="A73" s="33" t="s">
        <v>246</v>
      </c>
      <c r="B73" s="36" t="s">
        <v>21</v>
      </c>
      <c r="C73" s="37" t="str">
        <f>+C63</f>
        <v>FY 26-27</v>
      </c>
      <c r="D73" s="38">
        <v>43.82872068482569</v>
      </c>
      <c r="E73" s="38">
        <v>44.085177295992565</v>
      </c>
      <c r="F73" s="38">
        <v>44.253635494223239</v>
      </c>
      <c r="G73" s="38"/>
      <c r="H73" s="38"/>
      <c r="I73" s="38"/>
      <c r="J73" s="38"/>
      <c r="K73" s="84"/>
      <c r="L73" s="84"/>
      <c r="M73" s="84"/>
      <c r="N73" s="84"/>
      <c r="O73" s="84"/>
      <c r="Q73" s="26">
        <f>SUMPRODUCT(D73:F73,$D$50:$F$50,$D$3:$F$3)/SUMPRODUCT($D$50:$F$50,$D$3:$F$3)</f>
        <v>44.060787080321958</v>
      </c>
      <c r="R73" s="26"/>
      <c r="S73" s="26"/>
      <c r="T73" s="26"/>
      <c r="U73" s="26"/>
    </row>
    <row r="74" spans="1:22" s="8" customFormat="1" x14ac:dyDescent="0.2">
      <c r="C74" s="41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Q74" s="42"/>
      <c r="R74" s="42"/>
      <c r="S74" s="42"/>
      <c r="T74" s="42"/>
      <c r="U74" s="42"/>
    </row>
    <row r="75" spans="1:22" s="8" customFormat="1" x14ac:dyDescent="0.2">
      <c r="A75" s="28" t="s">
        <v>24</v>
      </c>
      <c r="C75" s="29"/>
    </row>
    <row r="76" spans="1:22" s="8" customFormat="1" x14ac:dyDescent="0.2">
      <c r="A76" s="14" t="s">
        <v>247</v>
      </c>
      <c r="B76" s="14" t="s">
        <v>21</v>
      </c>
      <c r="C76" s="20" t="s">
        <v>12</v>
      </c>
      <c r="D76" s="26">
        <v>0</v>
      </c>
      <c r="E76" s="26">
        <v>29.737937092566181</v>
      </c>
      <c r="F76" s="26">
        <v>29.59189664853217</v>
      </c>
      <c r="G76" s="26">
        <v>29.566634795221535</v>
      </c>
      <c r="H76" s="26">
        <v>30.641063330699666</v>
      </c>
      <c r="I76" s="26">
        <v>32.81572984156476</v>
      </c>
      <c r="J76" s="26">
        <v>33.654119691062014</v>
      </c>
      <c r="K76" s="26">
        <v>33.375418314781513</v>
      </c>
      <c r="L76" s="26">
        <v>33.645732112497114</v>
      </c>
      <c r="M76" s="26">
        <v>33.714282086602381</v>
      </c>
      <c r="N76" s="26">
        <v>33.918253765667131</v>
      </c>
      <c r="O76" s="26">
        <v>34.273813643709367</v>
      </c>
      <c r="Q76" s="26">
        <f>SUMPRODUCT(D76:F76,$D$26:$F$26,$D$3:$F$3)/SUMPRODUCT($D$26:$F$26,$D$3:$F$3)</f>
        <v>29.627809657990181</v>
      </c>
      <c r="R76" s="26">
        <f>SUMPRODUCT(G76:I76,$G$26:$I$26,$G$3:$I$3)/SUMPRODUCT($G$26:$I$26,$G$3:$I$3)</f>
        <v>30.947592182907158</v>
      </c>
      <c r="S76" s="26">
        <f>SUMPRODUCT(J76:L76,$J$26:$L$26,$J$3:$L$3)/SUMPRODUCT($J$26:$L$26,$J$3:$L$3)</f>
        <v>33.560803263843134</v>
      </c>
      <c r="T76" s="26">
        <f>SUMPRODUCT(M76:O76,$M$26:$O$26,$M$3:$O$3)/SUMPRODUCT($M$26:$O$26,$M$3:$O$3)</f>
        <v>33.984313607952892</v>
      </c>
      <c r="U76" s="26">
        <f>SUMPRODUCT(D76:O76,$D$26:$O$26,$D$3:$O$3)/SUMPRODUCT($D$26:$O$26,$D$3:$O$3)</f>
        <v>32.819611222654068</v>
      </c>
      <c r="V76" s="8" t="s">
        <v>192</v>
      </c>
    </row>
    <row r="77" spans="1:22" s="8" customFormat="1" x14ac:dyDescent="0.2">
      <c r="A77" s="14" t="s">
        <v>247</v>
      </c>
      <c r="B77" s="14" t="s">
        <v>21</v>
      </c>
      <c r="C77" s="20" t="s">
        <v>13</v>
      </c>
      <c r="D77" s="26">
        <v>32.020278822699254</v>
      </c>
      <c r="E77" s="26">
        <v>30.405444314139586</v>
      </c>
      <c r="F77" s="26">
        <v>30.253871015080883</v>
      </c>
      <c r="G77" s="26">
        <v>30.361103474805859</v>
      </c>
      <c r="H77" s="26">
        <v>32.188802611400909</v>
      </c>
      <c r="I77" s="26">
        <v>32.964862982086615</v>
      </c>
      <c r="J77" s="26">
        <v>33.336360115041586</v>
      </c>
      <c r="K77" s="26">
        <v>33.503511866877659</v>
      </c>
      <c r="L77" s="26">
        <v>33.066256616285216</v>
      </c>
      <c r="M77" s="26">
        <v>33.236234694763652</v>
      </c>
      <c r="N77" s="26">
        <v>33.348335943283033</v>
      </c>
      <c r="O77" s="26">
        <v>33.260240143502536</v>
      </c>
      <c r="Q77" s="26">
        <f>SUMPRODUCT(D77:F77,$D$29:$F$29,$D$3:$F$3)/SUMPRODUCT($D$29:$F$29,$D$3:$F$3)</f>
        <v>30.886412688799272</v>
      </c>
      <c r="R77" s="26">
        <f>SUMPRODUCT(G77:I77,$G$29:$I$29,$G$3:$I$3)/SUMPRODUCT($G$29:$I$29,$G$3:$I$3)</f>
        <v>31.787389367456086</v>
      </c>
      <c r="S77" s="26">
        <f>SUMPRODUCT(J77:L77,$J$29:$L$29,$J$3:$L$3)/SUMPRODUCT($J$29:$L$29,$J$3:$L$3)</f>
        <v>33.291373806830627</v>
      </c>
      <c r="T77" s="26">
        <f>SUMPRODUCT(M77:O77,$M$29:$O$29,$M$3:$O$3)/SUMPRODUCT($M$29:$O$29,$M$3:$O$3)</f>
        <v>33.277763148017115</v>
      </c>
      <c r="U77" s="26">
        <f>SUMPRODUCT(D77:O77,$D$29:$O$29,$D$3:$O$3)/SUMPRODUCT($D$29:$O$29,$D$3:$O$3)</f>
        <v>32.247765442760695</v>
      </c>
      <c r="V77" s="8" t="s">
        <v>192</v>
      </c>
    </row>
    <row r="78" spans="1:22" s="8" customFormat="1" x14ac:dyDescent="0.2">
      <c r="A78" s="14" t="s">
        <v>247</v>
      </c>
      <c r="B78" s="14" t="s">
        <v>21</v>
      </c>
      <c r="C78" s="20" t="s">
        <v>14</v>
      </c>
      <c r="D78" s="26">
        <v>32.990285504618555</v>
      </c>
      <c r="E78" s="26">
        <v>31.89263370264036</v>
      </c>
      <c r="F78" s="26">
        <v>30.787155013254306</v>
      </c>
      <c r="G78" s="26">
        <v>32.341879610329002</v>
      </c>
      <c r="H78" s="26">
        <v>32.778481921830334</v>
      </c>
      <c r="I78" s="26">
        <v>34.32903898279767</v>
      </c>
      <c r="J78" s="26">
        <v>34.901272219787629</v>
      </c>
      <c r="K78" s="26">
        <v>35.097106332433057</v>
      </c>
      <c r="L78" s="26">
        <v>34.834334424380486</v>
      </c>
      <c r="M78" s="26">
        <v>34.85032440629216</v>
      </c>
      <c r="N78" s="26">
        <v>35.644685616810079</v>
      </c>
      <c r="O78" s="26">
        <v>35.931842355962026</v>
      </c>
      <c r="Q78" s="26">
        <f>SUMPRODUCT(D78:F78,$D$33:$F$33,$D$3:$F$3)/SUMPRODUCT($D$33:$F$33,$D$3:$F$3)</f>
        <v>31.850462497361303</v>
      </c>
      <c r="R78" s="26">
        <f>SUMPRODUCT(G78:I78,$G$33:$I$33,$G$3:$I$3)/SUMPRODUCT($G$33:$I$33,$G$3:$I$3)</f>
        <v>33.151993086963948</v>
      </c>
      <c r="S78" s="26">
        <f>SUMPRODUCT(J78:L78,$J$33:$L$33,$J$3:$L$3)/SUMPRODUCT($J$33:$L$33,$J$3:$L$3)</f>
        <v>34.940180277392379</v>
      </c>
      <c r="T78" s="26">
        <f>SUMPRODUCT(M78:O78,$M$33:$O$33,$M$3:$O$3)/SUMPRODUCT($M$33:$O$33,$M$3:$O$3)</f>
        <v>35.45430511676939</v>
      </c>
      <c r="U78" s="26">
        <f>SUMPRODUCT(D78:O78,$D$33:$O$33,$D$3:$O$3)/SUMPRODUCT($D$33:$O$33,$D$3:$O$3)</f>
        <v>33.8927970600419</v>
      </c>
      <c r="V78" s="8" t="s">
        <v>192</v>
      </c>
    </row>
    <row r="79" spans="1:22" s="8" customFormat="1" x14ac:dyDescent="0.2">
      <c r="A79" s="14" t="s">
        <v>247</v>
      </c>
      <c r="B79" s="14" t="s">
        <v>21</v>
      </c>
      <c r="C79" s="20" t="str">
        <f>+C69</f>
        <v>FY 22-23</v>
      </c>
      <c r="D79" s="26">
        <v>35.933091530789319</v>
      </c>
      <c r="E79" s="26">
        <v>36.345530295755026</v>
      </c>
      <c r="F79" s="26">
        <v>36.153930538987851</v>
      </c>
      <c r="G79" s="26">
        <v>36.70453535063232</v>
      </c>
      <c r="H79" s="26">
        <v>36.974896317677697</v>
      </c>
      <c r="I79" s="26">
        <v>37.401153102638183</v>
      </c>
      <c r="J79" s="26">
        <v>38.12567775973649</v>
      </c>
      <c r="K79" s="26">
        <v>38.198879783181468</v>
      </c>
      <c r="L79" s="26">
        <v>38.186420113562683</v>
      </c>
      <c r="M79" s="26">
        <v>40.43152729062102</v>
      </c>
      <c r="N79" s="26">
        <v>41.96158370759283</v>
      </c>
      <c r="O79" s="26">
        <v>43.037040985330904</v>
      </c>
      <c r="Q79" s="26">
        <f>SUMPRODUCT(D79:F79,$D$37:$F$37,$D$3:$F$3)/SUMPRODUCT($D$37:$F$37,$D$3:$F$3)</f>
        <v>36.156818652455406</v>
      </c>
      <c r="R79" s="26">
        <f>SUMPRODUCT(G79:I79,$G$37:$I$37,$G$3:$I$3)/SUMPRODUCT($G$37:$I$37,$G$3:$I$3)</f>
        <v>37.023108185914928</v>
      </c>
      <c r="S79" s="26">
        <f>SUMPRODUCT(J79:L79,$J$37:$L$37,$J$3:$L$3)/SUMPRODUCT($J$37:$L$37,$J$3:$L$3)</f>
        <v>38.170824075884582</v>
      </c>
      <c r="T79" s="26">
        <f>SUMPRODUCT(M79:O79,$M$37:$O$37,$M$3:$O$3)/SUMPRODUCT($M$37:$O$37,$M$3:$O$3)</f>
        <v>41.828199784690717</v>
      </c>
      <c r="U79" s="26">
        <f>SUMPRODUCT(D79:O79,$D$37:$O$37,$D$3:$O$3)/SUMPRODUCT($D$37:$O$37,$D$3:$O$3)</f>
        <v>38.354196311128739</v>
      </c>
      <c r="V79" s="8" t="s">
        <v>192</v>
      </c>
    </row>
    <row r="80" spans="1:22" s="8" customFormat="1" x14ac:dyDescent="0.2">
      <c r="A80" s="14" t="s">
        <v>247</v>
      </c>
      <c r="B80" s="14" t="s">
        <v>21</v>
      </c>
      <c r="C80" s="20" t="str">
        <f>+C70</f>
        <v>FY 23-24</v>
      </c>
      <c r="D80" s="26">
        <v>42.75772946626396</v>
      </c>
      <c r="E80" s="26">
        <v>42.61616745486198</v>
      </c>
      <c r="F80" s="26">
        <v>41.356937990946349</v>
      </c>
      <c r="G80" s="26">
        <v>40.723557476951882</v>
      </c>
      <c r="H80" s="26">
        <v>41.195082421759025</v>
      </c>
      <c r="I80" s="26">
        <v>42.752660633208052</v>
      </c>
      <c r="J80" s="26">
        <v>42.567108562920069</v>
      </c>
      <c r="K80" s="26">
        <v>42.673060641059848</v>
      </c>
      <c r="L80" s="26">
        <v>42.499746026017903</v>
      </c>
      <c r="M80" s="26">
        <v>41.774088410814741</v>
      </c>
      <c r="N80" s="26">
        <v>41.193229412673475</v>
      </c>
      <c r="O80" s="26">
        <v>41.024007887005261</v>
      </c>
      <c r="Q80" s="26">
        <f>SUMPRODUCT(D80:F80,$D$41:$F$41,$D$3:$F$3)/SUMPRODUCT($D$41:$F$41,$D$3:$F$3)</f>
        <v>42.263873086689649</v>
      </c>
      <c r="R80" s="26">
        <f>SUMPRODUCT(G80:I80,$G$41:$I$41,$G$3:$I$3)/SUMPRODUCT($G$41:$I$41,$G$3:$I$3)</f>
        <v>41.555201476958743</v>
      </c>
      <c r="S80" s="26">
        <f>SUMPRODUCT(J80:L80,$J$41:$L$41,$J$3:$L$3)/SUMPRODUCT($J$41:$L$41,$J$3:$L$3)</f>
        <v>42.576381486425575</v>
      </c>
      <c r="T80" s="26">
        <f>SUMPRODUCT(M80:O80,$M$41:$O$41,$M$3:$O$3)/SUMPRODUCT($M$41:$O$41,$M$3:$O$3)</f>
        <v>41.338049723892844</v>
      </c>
      <c r="U80" s="26">
        <f>SUMPRODUCT(D80:O80,$D$41:$O$41,$D$3:$O$3)/SUMPRODUCT($D$41:$O$41,$D$3:$O$3)</f>
        <v>41.933328744173785</v>
      </c>
      <c r="V80" s="8" t="s">
        <v>192</v>
      </c>
    </row>
    <row r="81" spans="1:22" s="8" customFormat="1" x14ac:dyDescent="0.2">
      <c r="A81" s="14" t="s">
        <v>247</v>
      </c>
      <c r="B81" s="14" t="s">
        <v>21</v>
      </c>
      <c r="C81" s="20" t="str">
        <f>+C71</f>
        <v>FY 24-25</v>
      </c>
      <c r="D81" s="26">
        <v>40.332396881179669</v>
      </c>
      <c r="E81" s="26">
        <v>39.846444383907382</v>
      </c>
      <c r="F81" s="26">
        <v>37.918901643432918</v>
      </c>
      <c r="G81" s="26">
        <v>38.311101203766562</v>
      </c>
      <c r="H81" s="26">
        <v>39.606077325796441</v>
      </c>
      <c r="I81" s="26">
        <v>39.508333386126772</v>
      </c>
      <c r="J81" s="26">
        <v>39.814328456170962</v>
      </c>
      <c r="K81" s="26">
        <v>39.973618622832234</v>
      </c>
      <c r="L81" s="26">
        <v>39.65127464971556</v>
      </c>
      <c r="M81" s="26">
        <v>40.132212586828715</v>
      </c>
      <c r="N81" s="26">
        <v>40.091669038963062</v>
      </c>
      <c r="O81" s="26">
        <v>40.699696665951578</v>
      </c>
      <c r="Q81" s="26">
        <f>SUMPRODUCT(D81:F81,$D$45:$F$45,$D$3:$F$3)/SUMPRODUCT($D$45:$F$45,$D$3:$F$3)</f>
        <v>39.369810511091401</v>
      </c>
      <c r="R81" s="26">
        <f>SUMPRODUCT(G81:I81,$G$45:$I$45,$G$3:$I$3)/SUMPRODUCT($G$45:$I$45,$G$3:$I$3)</f>
        <v>39.126794189408251</v>
      </c>
      <c r="S81" s="26">
        <f>SUMPRODUCT(J81:L81,$J$45:$L$45,$J$3:$L$3)/SUMPRODUCT($J$45:$L$45,$J$3:$L$3)</f>
        <v>39.806556932499198</v>
      </c>
      <c r="T81" s="26">
        <f>SUMPRODUCT(M81:O81,$M$45:$O$45,$M$3:$O$3)/SUMPRODUCT($M$45:$O$45,$M$3:$O$3)</f>
        <v>40.331733545312282</v>
      </c>
      <c r="U81" s="26">
        <f>SUMPRODUCT(D81:O81,$D$45:$O$45,$D$3:$O$3)/SUMPRODUCT($D$45:$O$45,$D$3:$O$3)</f>
        <v>39.704865467024739</v>
      </c>
      <c r="V81" s="8" t="s">
        <v>192</v>
      </c>
    </row>
    <row r="82" spans="1:22" s="8" customFormat="1" x14ac:dyDescent="0.2">
      <c r="A82" s="14" t="s">
        <v>247</v>
      </c>
      <c r="B82" s="14" t="s">
        <v>21</v>
      </c>
      <c r="C82" s="20" t="str">
        <f>+C72</f>
        <v>FY 25-26</v>
      </c>
      <c r="D82" s="26">
        <v>40.354397831879361</v>
      </c>
      <c r="E82" s="26">
        <v>38.902322276580122</v>
      </c>
      <c r="F82" s="26">
        <v>39.714024424569921</v>
      </c>
      <c r="G82" s="26">
        <v>40.313075325816797</v>
      </c>
      <c r="H82" s="26">
        <v>41.277170625175856</v>
      </c>
      <c r="I82" s="26">
        <v>42.564940364598982</v>
      </c>
      <c r="J82" s="26">
        <v>43.300905961643792</v>
      </c>
      <c r="K82" s="85">
        <v>43.845537753153039</v>
      </c>
      <c r="L82" s="85">
        <v>43.78821071216273</v>
      </c>
      <c r="M82" s="85">
        <v>43.78013161027075</v>
      </c>
      <c r="N82" s="85">
        <v>43.533090710070233</v>
      </c>
      <c r="O82" s="85">
        <v>43.976059272969167</v>
      </c>
      <c r="Q82" s="26">
        <f>SUMPRODUCT(D82:F82,$D$53:$F$53,$D$3:$F$3)/SUMPRODUCT($D$53:$F$53,$D$3:$F$3)</f>
        <v>39.654377098509777</v>
      </c>
      <c r="R82" s="26">
        <f>SUMPRODUCT(G82:I82,$G$49:$I$49,$G$3:$I$3)/SUMPRODUCT($G$49:$I$49,$G$3:$I$3)</f>
        <v>41.388414238412359</v>
      </c>
      <c r="S82" s="26">
        <f>SUMPRODUCT(J82:L82,$J$49:$L$49,$J$3:$L$3)/SUMPRODUCT($J$49:$L$49,$J$3:$L$3)</f>
        <v>43.638494429464096</v>
      </c>
      <c r="T82" s="26">
        <f>SUMPRODUCT(M82:O82,$M$49:$O$49,$M$3:$O$3)/SUMPRODUCT($M$49:$O$49,$M$3:$O$3)</f>
        <v>43.773208162087847</v>
      </c>
      <c r="U82" s="26">
        <f>SUMPRODUCT(D82:O82,$D$49:$O$49,$D$3:$O$3)/SUMPRODUCT($D$49:$O$49,$D$3:$O$3)</f>
        <v>42.071520823555545</v>
      </c>
      <c r="V82" s="8" t="s">
        <v>192</v>
      </c>
    </row>
    <row r="83" spans="1:22" s="8" customFormat="1" x14ac:dyDescent="0.2">
      <c r="A83" s="14" t="s">
        <v>247</v>
      </c>
      <c r="B83" s="14" t="s">
        <v>21</v>
      </c>
      <c r="C83" s="20" t="str">
        <f>+C73</f>
        <v>FY 26-27</v>
      </c>
      <c r="D83" s="26">
        <v>43.733531721399181</v>
      </c>
      <c r="E83" s="26">
        <v>43.866583291373303</v>
      </c>
      <c r="F83" s="26">
        <v>44.046897525773488</v>
      </c>
      <c r="G83" s="26"/>
      <c r="H83" s="26"/>
      <c r="I83" s="26"/>
      <c r="J83" s="26"/>
      <c r="K83" s="85"/>
      <c r="L83" s="85"/>
      <c r="M83" s="85"/>
      <c r="N83" s="85"/>
      <c r="O83" s="85"/>
      <c r="Q83" s="26">
        <f>SUMPRODUCT(D83:F83,$D$53:$F$53,$D$3:$F$3)/SUMPRODUCT($D$53:$F$53,$D$3:$F$3)</f>
        <v>43.881876980618749</v>
      </c>
      <c r="R83" s="26"/>
      <c r="S83" s="26"/>
      <c r="T83" s="26"/>
      <c r="U83" s="26"/>
    </row>
    <row r="84" spans="1:22" x14ac:dyDescent="0.2"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T84" s="74"/>
    </row>
    <row r="86" spans="1:22" x14ac:dyDescent="0.2"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</row>
  </sheetData>
  <conditionalFormatting sqref="V14:V2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{8A634009-C80E-4FA1-A354-7DB9FB1756D5}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{49B78F59-CF56-4805-B1E2-27B31291B2DF}</x14:id>
        </ext>
      </extLst>
    </cfRule>
  </conditionalFormatting>
  <conditionalFormatting sqref="V2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{A4CE9E38-F839-46A1-AA69-FE879678A4F9}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{194635CE-0E8C-4D1F-9416-469588DA25A7}</x14:id>
        </ext>
      </extLst>
    </cfRule>
  </conditionalFormatting>
  <conditionalFormatting sqref="V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{120AF7F3-FEB4-4621-903B-786BAA734D48}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{C02A3013-B1E5-433C-9C8C-B2AAAC8E5D3D}</x14:id>
        </ext>
      </extLst>
    </cfRule>
  </conditionalFormatting>
  <conditionalFormatting sqref="V24:V3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{7402CB6F-852B-4D88-BE3A-5A758101038E}</x14:id>
        </ext>
      </extLst>
    </cfRule>
  </conditionalFormatting>
  <conditionalFormatting sqref="V46:V49 V24:V3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{0C3B222D-7DB7-4110-9BD8-331BEC4798FB}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634009-C80E-4FA1-A354-7DB9FB175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B78F59-CF56-4805-B1E2-27B31291B2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V14:V21</xm:sqref>
        </x14:conditionalFormatting>
        <x14:conditionalFormatting xmlns:xm="http://schemas.microsoft.com/office/excel/2006/main">
          <x14:cfRule type="dataBar" id="{A4CE9E38-F839-46A1-AA69-FE879678A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4635CE-0E8C-4D1F-9416-469588DA2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20AF7F3-FEB4-4621-903B-786BAA734D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2A3013-B1E5-433C-9C8C-B2AAAC8E5D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V21</xm:sqref>
        </x14:conditionalFormatting>
        <x14:conditionalFormatting xmlns:xm="http://schemas.microsoft.com/office/excel/2006/main">
          <x14:cfRule type="dataBar" id="{7402CB6F-852B-4D88-BE3A-5A7581010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V24:V33</xm:sqref>
        </x14:conditionalFormatting>
        <x14:conditionalFormatting xmlns:xm="http://schemas.microsoft.com/office/excel/2006/main">
          <x14:cfRule type="dataBar" id="{0C3B222D-7DB7-4110-9BD8-331BEC47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V46:V49 V24:V33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D9EC-7FA5-45F2-905D-E24ED9EAC090}">
  <sheetPr>
    <tabColor rgb="FF0070C0"/>
  </sheetPr>
  <dimension ref="A1:AC50"/>
  <sheetViews>
    <sheetView zoomScale="81" zoomScaleNormal="90" workbookViewId="0">
      <pane xSplit="3" ySplit="3" topLeftCell="D22" activePane="bottomRight" state="frozen"/>
      <selection activeCell="B3" sqref="B3:H3"/>
      <selection pane="topRight" activeCell="B3" sqref="B3:H3"/>
      <selection pane="bottomLeft" activeCell="B3" sqref="B3:H3"/>
      <selection pane="bottomRight" activeCell="D48" activeCellId="8" sqref="D4:D7 D9:D12 D19 D24 D29 D34 D37:D40 D43:D45 D48:D50"/>
    </sheetView>
  </sheetViews>
  <sheetFormatPr defaultColWidth="8.7109375" defaultRowHeight="12.75" x14ac:dyDescent="0.2"/>
  <cols>
    <col min="1" max="1" width="25.28515625" style="43" customWidth="1"/>
    <col min="2" max="2" width="8.7109375" style="43"/>
    <col min="3" max="3" width="15.5703125" style="43" customWidth="1"/>
    <col min="4" max="13" width="8.7109375" style="43"/>
    <col min="14" max="14" width="9.5703125" style="43" bestFit="1" customWidth="1"/>
    <col min="15" max="15" width="8.7109375" style="43"/>
    <col min="16" max="16" width="5.42578125" style="43" bestFit="1" customWidth="1"/>
    <col min="17" max="23" width="8.7109375" style="43"/>
    <col min="24" max="24" width="14.5703125" style="43" bestFit="1" customWidth="1"/>
    <col min="25" max="16384" width="8.7109375" style="43"/>
  </cols>
  <sheetData>
    <row r="1" spans="1:29" x14ac:dyDescent="0.2">
      <c r="A1" s="75" t="s">
        <v>96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8"/>
      <c r="Q1" s="8"/>
      <c r="R1" s="8">
        <v>23</v>
      </c>
      <c r="S1" s="8">
        <v>91</v>
      </c>
      <c r="T1" s="8">
        <v>91</v>
      </c>
      <c r="U1" s="8"/>
    </row>
    <row r="2" spans="1:29" x14ac:dyDescent="0.2">
      <c r="A2" s="20"/>
      <c r="B2" s="20"/>
      <c r="C2" s="20"/>
      <c r="D2" s="20">
        <v>30</v>
      </c>
      <c r="E2" s="20">
        <v>31</v>
      </c>
      <c r="F2" s="20">
        <v>30</v>
      </c>
      <c r="G2" s="20">
        <v>31</v>
      </c>
      <c r="H2" s="20">
        <v>31</v>
      </c>
      <c r="I2" s="20">
        <v>30</v>
      </c>
      <c r="J2" s="20">
        <v>31</v>
      </c>
      <c r="K2" s="20">
        <v>30</v>
      </c>
      <c r="L2" s="20">
        <v>31</v>
      </c>
      <c r="M2" s="20">
        <v>31</v>
      </c>
      <c r="N2" s="20">
        <v>28</v>
      </c>
      <c r="O2" s="20">
        <v>31</v>
      </c>
      <c r="P2" s="8"/>
      <c r="Q2" s="239" t="s">
        <v>42</v>
      </c>
      <c r="R2" s="239"/>
      <c r="S2" s="239"/>
      <c r="T2" s="239"/>
      <c r="U2" s="63">
        <f>SUM(I2:O2)</f>
        <v>212</v>
      </c>
    </row>
    <row r="3" spans="1:29" x14ac:dyDescent="0.2">
      <c r="A3" s="10" t="s">
        <v>1</v>
      </c>
      <c r="B3" s="11" t="s">
        <v>2</v>
      </c>
      <c r="C3" s="10" t="s">
        <v>66</v>
      </c>
      <c r="D3" s="12" t="s">
        <v>25</v>
      </c>
      <c r="E3" s="12" t="s">
        <v>4</v>
      </c>
      <c r="F3" s="12" t="s">
        <v>26</v>
      </c>
      <c r="G3" s="12" t="s">
        <v>43</v>
      </c>
      <c r="H3" s="12" t="s">
        <v>27</v>
      </c>
      <c r="I3" s="12" t="s">
        <v>44</v>
      </c>
      <c r="J3" s="12" t="s">
        <v>28</v>
      </c>
      <c r="K3" s="12" t="s">
        <v>29</v>
      </c>
      <c r="L3" s="12" t="s">
        <v>30</v>
      </c>
      <c r="M3" s="12" t="s">
        <v>45</v>
      </c>
      <c r="N3" s="12" t="s">
        <v>31</v>
      </c>
      <c r="O3" s="12" t="s">
        <v>46</v>
      </c>
      <c r="P3" s="8"/>
      <c r="Q3" s="13" t="s">
        <v>34</v>
      </c>
      <c r="R3" s="13" t="s">
        <v>35</v>
      </c>
      <c r="S3" s="13" t="s">
        <v>36</v>
      </c>
      <c r="T3" s="13" t="s">
        <v>37</v>
      </c>
      <c r="U3" s="13" t="s">
        <v>49</v>
      </c>
      <c r="X3" s="10" t="s">
        <v>66</v>
      </c>
      <c r="Y3" s="43" t="s">
        <v>216</v>
      </c>
      <c r="Z3" s="43" t="s">
        <v>196</v>
      </c>
      <c r="AA3" s="43" t="s">
        <v>85</v>
      </c>
      <c r="AB3" s="43" t="s">
        <v>217</v>
      </c>
      <c r="AC3" s="43" t="s">
        <v>218</v>
      </c>
    </row>
    <row r="4" spans="1:29" x14ac:dyDescent="0.2">
      <c r="A4" s="5" t="s">
        <v>5</v>
      </c>
      <c r="B4" s="5" t="s">
        <v>6</v>
      </c>
      <c r="C4" s="6" t="s">
        <v>38</v>
      </c>
      <c r="D4" s="50"/>
      <c r="E4" s="50"/>
      <c r="F4" s="50"/>
      <c r="G4" s="50"/>
      <c r="H4" s="50"/>
      <c r="I4" s="50">
        <v>10</v>
      </c>
      <c r="J4" s="50">
        <v>20</v>
      </c>
      <c r="K4" s="50">
        <v>25</v>
      </c>
      <c r="L4" s="50">
        <v>33</v>
      </c>
      <c r="M4" s="50">
        <v>39</v>
      </c>
      <c r="N4" s="50">
        <v>41</v>
      </c>
      <c r="O4" s="50">
        <v>39</v>
      </c>
      <c r="P4" s="16"/>
      <c r="Q4" s="50"/>
      <c r="R4" s="50">
        <f>SUMPRODUCT(I4:I4,$I$2:$I$2)/SUM($I$2:$I$2)</f>
        <v>10</v>
      </c>
      <c r="S4" s="50">
        <f t="shared" ref="S4" si="0">SUMPRODUCT(J4:L4,$J$2:$L$2)/SUM($J$2:$L$2)</f>
        <v>26.010869565217391</v>
      </c>
      <c r="T4" s="50">
        <f t="shared" ref="T4" si="1">SUMPRODUCT(M4:O4,$M$2:$O$2)/SUM($M$2:$O$2)</f>
        <v>39.62222222222222</v>
      </c>
      <c r="U4" s="50">
        <f>SUMPRODUCT(I4:O4,$I$2:$O$2)/SUM($I$2:$O$2)</f>
        <v>29.523584905660378</v>
      </c>
      <c r="X4" s="6" t="s">
        <v>38</v>
      </c>
    </row>
    <row r="5" spans="1:29" x14ac:dyDescent="0.2">
      <c r="A5" s="5" t="s">
        <v>5</v>
      </c>
      <c r="B5" s="5" t="s">
        <v>6</v>
      </c>
      <c r="C5" s="6" t="s">
        <v>98</v>
      </c>
      <c r="D5" s="50">
        <v>44</v>
      </c>
      <c r="E5" s="50">
        <v>51</v>
      </c>
      <c r="F5" s="50">
        <v>50</v>
      </c>
      <c r="G5" s="50">
        <v>48</v>
      </c>
      <c r="H5" s="50">
        <v>49</v>
      </c>
      <c r="I5" s="50">
        <v>65</v>
      </c>
      <c r="J5" s="50">
        <v>66</v>
      </c>
      <c r="K5" s="50">
        <v>67</v>
      </c>
      <c r="L5" s="50">
        <v>69</v>
      </c>
      <c r="M5" s="50">
        <v>85</v>
      </c>
      <c r="N5" s="50">
        <v>92</v>
      </c>
      <c r="O5" s="50">
        <v>103</v>
      </c>
      <c r="P5" s="16"/>
      <c r="Q5" s="50">
        <f>MAX(D5:F5)</f>
        <v>51</v>
      </c>
      <c r="R5" s="50">
        <f>MAX(G5:I5)</f>
        <v>65</v>
      </c>
      <c r="S5" s="50">
        <f>MAX(J5:L5)</f>
        <v>69</v>
      </c>
      <c r="T5" s="50">
        <f>MAX(M5:O5)</f>
        <v>103</v>
      </c>
      <c r="U5" s="50">
        <f>O5</f>
        <v>103</v>
      </c>
      <c r="X5" s="6" t="s">
        <v>98</v>
      </c>
    </row>
    <row r="6" spans="1:29" x14ac:dyDescent="0.2">
      <c r="A6" s="5" t="s">
        <v>5</v>
      </c>
      <c r="B6" s="5" t="s">
        <v>6</v>
      </c>
      <c r="C6" s="6" t="s">
        <v>193</v>
      </c>
      <c r="D6" s="50">
        <v>109</v>
      </c>
      <c r="E6" s="50">
        <v>118</v>
      </c>
      <c r="F6" s="50">
        <v>116</v>
      </c>
      <c r="G6" s="50">
        <v>121</v>
      </c>
      <c r="H6" s="50">
        <v>133</v>
      </c>
      <c r="I6" s="50">
        <v>130</v>
      </c>
      <c r="J6" s="50">
        <v>134</v>
      </c>
      <c r="K6" s="50">
        <v>136</v>
      </c>
      <c r="L6" s="50">
        <v>137</v>
      </c>
      <c r="M6" s="50">
        <v>142</v>
      </c>
      <c r="N6" s="50">
        <f>155</f>
        <v>155</v>
      </c>
      <c r="O6" s="50">
        <v>145</v>
      </c>
      <c r="P6" s="16"/>
      <c r="Q6" s="50">
        <f>MAX(D6:F6)</f>
        <v>118</v>
      </c>
      <c r="R6" s="50">
        <f>MAX(G6:I6)</f>
        <v>133</v>
      </c>
      <c r="S6" s="50">
        <f>MAX(J6:L6)</f>
        <v>137</v>
      </c>
      <c r="T6" s="50">
        <f>MAX(M6:O6)</f>
        <v>155</v>
      </c>
      <c r="U6" s="50">
        <f>O6</f>
        <v>145</v>
      </c>
      <c r="X6" s="22" t="s">
        <v>193</v>
      </c>
    </row>
    <row r="7" spans="1:29" x14ac:dyDescent="0.2">
      <c r="A7" s="21" t="s">
        <v>5</v>
      </c>
      <c r="B7" s="21" t="s">
        <v>6</v>
      </c>
      <c r="C7" s="22" t="s">
        <v>235</v>
      </c>
      <c r="D7" s="23">
        <v>140</v>
      </c>
      <c r="E7" s="23">
        <v>142</v>
      </c>
      <c r="F7" s="23">
        <v>135</v>
      </c>
      <c r="G7" s="23">
        <v>135</v>
      </c>
      <c r="H7" s="23"/>
      <c r="I7" s="23"/>
      <c r="J7" s="23"/>
      <c r="K7" s="23"/>
      <c r="L7" s="23"/>
      <c r="M7" s="23"/>
      <c r="N7" s="23"/>
      <c r="O7" s="23"/>
      <c r="P7" s="16"/>
      <c r="Q7" s="50">
        <f>MAX(D7:G7)</f>
        <v>142</v>
      </c>
      <c r="R7" s="50">
        <f>MAX(G7:I7)</f>
        <v>135</v>
      </c>
      <c r="S7" s="50">
        <f>MAX(J7:L7)</f>
        <v>0</v>
      </c>
      <c r="T7" s="50">
        <f>MAX(M7:O7)</f>
        <v>0</v>
      </c>
      <c r="U7" s="50">
        <f>O7</f>
        <v>0</v>
      </c>
      <c r="X7" s="22" t="s">
        <v>193</v>
      </c>
    </row>
    <row r="8" spans="1:29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9" x14ac:dyDescent="0.2">
      <c r="A9" s="5" t="s">
        <v>15</v>
      </c>
      <c r="B9" s="5" t="s">
        <v>6</v>
      </c>
      <c r="C9" s="6" t="str">
        <f>+C4</f>
        <v>FY 23-24</v>
      </c>
      <c r="D9" s="50"/>
      <c r="E9" s="50"/>
      <c r="F9" s="50"/>
      <c r="G9" s="50"/>
      <c r="H9" s="50"/>
      <c r="I9" s="50">
        <v>158</v>
      </c>
      <c r="J9" s="50">
        <v>263</v>
      </c>
      <c r="K9" s="50">
        <v>282</v>
      </c>
      <c r="L9" s="50">
        <v>414</v>
      </c>
      <c r="M9" s="50">
        <v>408</v>
      </c>
      <c r="N9" s="50">
        <v>436</v>
      </c>
      <c r="O9" s="50">
        <v>479</v>
      </c>
      <c r="P9" s="166">
        <f t="shared" ref="P9:P10" si="2">MAX(D9:O9)</f>
        <v>479</v>
      </c>
      <c r="Q9" s="50"/>
      <c r="R9" s="50">
        <f>SUMPRODUCT(I9:I9,$I$2:$I$2)/SUM($I$2:$I$2)</f>
        <v>158</v>
      </c>
      <c r="S9" s="50">
        <f t="shared" ref="S9" si="3">SUMPRODUCT(J9:L9,$J$2:$L$2)/SUM($J$2:$L$2)</f>
        <v>320.07608695652175</v>
      </c>
      <c r="T9" s="50">
        <f t="shared" ref="T9" si="4">SUMPRODUCT(M9:O9,$M$2:$O$2)/SUM($M$2:$O$2)</f>
        <v>441.16666666666669</v>
      </c>
      <c r="U9" s="50">
        <f>SUMPRODUCT(I9:O9,$I$2:$O$2)/SUM($I$2:$O$2)</f>
        <v>348.54716981132077</v>
      </c>
    </row>
    <row r="10" spans="1:29" x14ac:dyDescent="0.2">
      <c r="A10" s="5" t="s">
        <v>15</v>
      </c>
      <c r="B10" s="5" t="s">
        <v>6</v>
      </c>
      <c r="C10" s="6" t="str">
        <f>+C5</f>
        <v>FY 24-25</v>
      </c>
      <c r="D10" s="50">
        <v>513</v>
      </c>
      <c r="E10" s="50">
        <v>542</v>
      </c>
      <c r="F10" s="50">
        <v>569</v>
      </c>
      <c r="G10" s="50">
        <v>665</v>
      </c>
      <c r="H10" s="50">
        <v>734</v>
      </c>
      <c r="I10" s="50">
        <v>968</v>
      </c>
      <c r="J10" s="50">
        <v>1065</v>
      </c>
      <c r="K10" s="50">
        <v>1062</v>
      </c>
      <c r="L10" s="50">
        <v>1081</v>
      </c>
      <c r="M10" s="50">
        <v>1028</v>
      </c>
      <c r="N10" s="50">
        <v>1079</v>
      </c>
      <c r="O10" s="50">
        <v>1162</v>
      </c>
      <c r="P10" s="166">
        <f t="shared" si="2"/>
        <v>1162</v>
      </c>
      <c r="Q10" s="50">
        <f>SUMPRODUCT(D10:F10,$D$2:$F$2)/SUM($D$2:$F$2)</f>
        <v>541.34065934065939</v>
      </c>
      <c r="R10" s="50">
        <f>SUMPRODUCT(G10:I10,$G$2:$I$2)/SUM($G$2:$I$2)</f>
        <v>787.054347826087</v>
      </c>
      <c r="S10" s="50">
        <f t="shared" ref="S10" si="5">SUMPRODUCT(J10:L10,$J$2:$L$2)/SUM($J$2:$L$2)</f>
        <v>1069.4130434782608</v>
      </c>
      <c r="T10" s="50">
        <f t="shared" ref="T10" si="6">SUMPRODUCT(M10:O10,$M$2:$O$2)/SUM($M$2:$O$2)</f>
        <v>1090.0222222222221</v>
      </c>
      <c r="U10" s="50">
        <f>SUMPRODUCT(D10:O10,$D$2:$O$2)/SUM($D$2:$O$2)</f>
        <v>871.66849315068498</v>
      </c>
      <c r="X10" s="6" t="s">
        <v>84</v>
      </c>
      <c r="Y10" s="6" t="s">
        <v>38</v>
      </c>
      <c r="Z10" s="6" t="s">
        <v>98</v>
      </c>
      <c r="AA10" s="22" t="s">
        <v>193</v>
      </c>
    </row>
    <row r="11" spans="1:29" x14ac:dyDescent="0.2">
      <c r="A11" s="5" t="s">
        <v>15</v>
      </c>
      <c r="B11" s="5" t="s">
        <v>6</v>
      </c>
      <c r="C11" s="6" t="str">
        <f>+C6</f>
        <v>FY 25-26</v>
      </c>
      <c r="D11" s="50">
        <v>1206</v>
      </c>
      <c r="E11" s="50">
        <v>1398</v>
      </c>
      <c r="F11" s="50">
        <v>1514</v>
      </c>
      <c r="G11" s="50">
        <v>1547</v>
      </c>
      <c r="H11" s="50">
        <v>1613</v>
      </c>
      <c r="I11" s="50">
        <v>1743</v>
      </c>
      <c r="J11" s="50">
        <v>1711</v>
      </c>
      <c r="K11" s="50">
        <v>1658</v>
      </c>
      <c r="L11" s="50">
        <v>1621</v>
      </c>
      <c r="M11" s="50">
        <v>1477</v>
      </c>
      <c r="N11" s="50">
        <v>1442</v>
      </c>
      <c r="O11" s="50">
        <v>1516</v>
      </c>
      <c r="P11" s="166">
        <f>MAX(D11:O11)</f>
        <v>1743</v>
      </c>
      <c r="Q11" s="50">
        <f>SUMPRODUCT(D11:F11,$D$2:$F$2)/SUM($D$2:$F$2)</f>
        <v>1372.9450549450548</v>
      </c>
      <c r="R11" s="50">
        <f>SUMPRODUCT(G11:I11,$G$2:$I$2)/SUM($G$2:$I$2)</f>
        <v>1633.1521739130435</v>
      </c>
      <c r="S11" s="50">
        <f t="shared" ref="S11" si="7">SUMPRODUCT(J11:L11,$J$2:$L$2)/SUM($J$2:$L$2)</f>
        <v>1663.391304347826</v>
      </c>
      <c r="T11" s="50">
        <f t="shared" ref="T11" si="8">SUMPRODUCT(M11:O11,$M$2:$O$2)/SUM($M$2:$O$2)</f>
        <v>1479.5444444444445</v>
      </c>
      <c r="U11" s="50">
        <f>SUMPRODUCT(D11:O11,$D$2:$O$2)/SUM($D$2:$O$2)</f>
        <v>1538.0246575342467</v>
      </c>
      <c r="X11" s="49" t="s">
        <v>216</v>
      </c>
      <c r="Y11" s="15">
        <f>O4</f>
        <v>39</v>
      </c>
      <c r="Z11" s="15">
        <f>O5</f>
        <v>103</v>
      </c>
      <c r="AA11" s="194">
        <v>138</v>
      </c>
    </row>
    <row r="12" spans="1:29" x14ac:dyDescent="0.2">
      <c r="A12" s="21" t="s">
        <v>15</v>
      </c>
      <c r="B12" s="21" t="s">
        <v>6</v>
      </c>
      <c r="C12" s="22" t="str">
        <f>+C7</f>
        <v>FY 26-27</v>
      </c>
      <c r="D12" s="23">
        <v>1548</v>
      </c>
      <c r="E12" s="23">
        <v>1610</v>
      </c>
      <c r="F12" s="23">
        <v>1757</v>
      </c>
      <c r="G12" s="23"/>
      <c r="H12" s="23"/>
      <c r="I12" s="23"/>
      <c r="J12" s="23"/>
      <c r="K12" s="23"/>
      <c r="L12" s="23"/>
      <c r="M12" s="23"/>
      <c r="N12" s="23"/>
      <c r="O12" s="83"/>
      <c r="P12" s="166">
        <f>MAX(D12:O12)</f>
        <v>1757</v>
      </c>
      <c r="Q12" s="23">
        <f>SUMPRODUCT(D12:F12,$D$2:$F$2)/SUM($D$2:$F$2)</f>
        <v>1638.0219780219779</v>
      </c>
      <c r="R12" s="23">
        <f>SUMPRODUCT(G12:I12,$G$2:$I$2)/SUM($G$2:$I$2)</f>
        <v>0</v>
      </c>
      <c r="S12" s="23">
        <f t="shared" ref="S12" si="9">SUMPRODUCT(J12:L12,$J$2:$L$2)/SUM($J$2:$L$2)</f>
        <v>0</v>
      </c>
      <c r="T12" s="23">
        <f t="shared" ref="T12" si="10">SUMPRODUCT(M12:O12,$M$2:$O$2)/SUM($M$2:$O$2)</f>
        <v>0</v>
      </c>
      <c r="U12" s="23">
        <f>SUMPRODUCT(D12:O12,$D$2:$O$2)/SUM($D$2:$O$2)</f>
        <v>408.38356164383561</v>
      </c>
      <c r="X12" s="49" t="s">
        <v>216</v>
      </c>
      <c r="Y12" s="15">
        <f>O5</f>
        <v>103</v>
      </c>
      <c r="Z12" s="15">
        <f>O6</f>
        <v>145</v>
      </c>
      <c r="AA12" s="194">
        <v>138</v>
      </c>
    </row>
    <row r="13" spans="1:29" x14ac:dyDescent="0.2">
      <c r="A13" s="8"/>
      <c r="B13" s="8"/>
      <c r="C13" s="8"/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8"/>
      <c r="Q13" s="25"/>
      <c r="R13" s="25"/>
      <c r="S13" s="25"/>
      <c r="T13" s="25"/>
      <c r="U13" s="25"/>
      <c r="X13" s="49" t="s">
        <v>196</v>
      </c>
      <c r="Y13" s="15">
        <f>O9</f>
        <v>479</v>
      </c>
      <c r="Z13" s="15">
        <f>O10</f>
        <v>1162</v>
      </c>
      <c r="AA13" s="194">
        <v>1664</v>
      </c>
    </row>
    <row r="14" spans="1:29" x14ac:dyDescent="0.2">
      <c r="A14" s="10" t="s">
        <v>1</v>
      </c>
      <c r="B14" s="11" t="s">
        <v>2</v>
      </c>
      <c r="C14" s="10" t="s">
        <v>66</v>
      </c>
      <c r="D14" s="12" t="s">
        <v>25</v>
      </c>
      <c r="E14" s="12" t="s">
        <v>4</v>
      </c>
      <c r="F14" s="12" t="s">
        <v>26</v>
      </c>
      <c r="G14" s="12" t="s">
        <v>43</v>
      </c>
      <c r="H14" s="12" t="s">
        <v>27</v>
      </c>
      <c r="I14" s="12" t="s">
        <v>44</v>
      </c>
      <c r="J14" s="12" t="s">
        <v>28</v>
      </c>
      <c r="K14" s="12" t="s">
        <v>29</v>
      </c>
      <c r="L14" s="12" t="s">
        <v>30</v>
      </c>
      <c r="M14" s="12" t="s">
        <v>45</v>
      </c>
      <c r="N14" s="12" t="s">
        <v>31</v>
      </c>
      <c r="O14" s="12" t="s">
        <v>46</v>
      </c>
      <c r="P14" s="8"/>
      <c r="Q14" s="13" t="s">
        <v>34</v>
      </c>
      <c r="R14" s="13" t="s">
        <v>35</v>
      </c>
      <c r="S14" s="13" t="s">
        <v>36</v>
      </c>
      <c r="T14" s="13" t="s">
        <v>37</v>
      </c>
      <c r="U14" s="13" t="s">
        <v>49</v>
      </c>
      <c r="X14" s="49" t="s">
        <v>85</v>
      </c>
      <c r="Y14" s="15">
        <f>U15</f>
        <v>4523.7654391039787</v>
      </c>
      <c r="Z14" s="15">
        <f>U20</f>
        <v>10516.809584142462</v>
      </c>
      <c r="AA14" s="194">
        <v>20019</v>
      </c>
    </row>
    <row r="15" spans="1:29" x14ac:dyDescent="0.2">
      <c r="A15" s="4" t="s">
        <v>17</v>
      </c>
      <c r="B15" s="5" t="s">
        <v>16</v>
      </c>
      <c r="C15" s="2" t="s">
        <v>38</v>
      </c>
      <c r="D15" s="3"/>
      <c r="E15" s="3"/>
      <c r="F15" s="3"/>
      <c r="G15" s="3"/>
      <c r="H15" s="3"/>
      <c r="I15" s="3">
        <v>1385.2064523333327</v>
      </c>
      <c r="J15" s="3">
        <v>2927.4766281048401</v>
      </c>
      <c r="K15" s="3">
        <v>3605.037286000003</v>
      </c>
      <c r="L15" s="3">
        <v>4279.9416395161297</v>
      </c>
      <c r="M15" s="3">
        <v>6218.7769762903299</v>
      </c>
      <c r="N15" s="3">
        <v>5764.2321712068851</v>
      </c>
      <c r="O15" s="3">
        <v>7474.8518575806538</v>
      </c>
      <c r="P15" s="9"/>
      <c r="Q15" s="3"/>
      <c r="R15" s="3">
        <f>SUMPRODUCT(I15:I15,$I$2:$I$2)/SUM($I$2:$I$2)</f>
        <v>1385.2064523333327</v>
      </c>
      <c r="S15" s="3">
        <f>SUMPRODUCT(J15:L15,$J$2:$L$2)/SUM($J$2:$L$2)</f>
        <v>3604.1422269157624</v>
      </c>
      <c r="T15" s="3">
        <f t="shared" ref="T15:T24" si="11">SUMPRODUCT(M15:O15,$M$2:$O$2)/SUM($M$2:$O$2)</f>
        <v>6510.0110515977021</v>
      </c>
      <c r="U15" s="3">
        <f>SUMPRODUCT(I15:O15,I$2:O$2)/SUM($I$2:$O$2)</f>
        <v>4523.7654391039787</v>
      </c>
      <c r="X15" s="49" t="s">
        <v>223</v>
      </c>
      <c r="Y15" s="15">
        <f>U18</f>
        <v>39.008254716981135</v>
      </c>
      <c r="Z15" s="15">
        <f>U23</f>
        <v>1022.1809931506849</v>
      </c>
      <c r="AA15" s="15">
        <f>U28</f>
        <v>4047.1636986301369</v>
      </c>
    </row>
    <row r="16" spans="1:29" x14ac:dyDescent="0.2">
      <c r="A16" s="4" t="s">
        <v>39</v>
      </c>
      <c r="B16" s="5" t="s">
        <v>16</v>
      </c>
      <c r="C16" s="2" t="s">
        <v>38</v>
      </c>
      <c r="D16" s="3"/>
      <c r="E16" s="3"/>
      <c r="F16" s="3"/>
      <c r="G16" s="3"/>
      <c r="H16" s="3"/>
      <c r="I16" s="3">
        <v>6785.9541666666664</v>
      </c>
      <c r="J16" s="3">
        <v>12135.233870967751</v>
      </c>
      <c r="K16" s="3">
        <v>14134.954166666674</v>
      </c>
      <c r="L16" s="3">
        <v>19210.874999999993</v>
      </c>
      <c r="M16" s="3">
        <v>8806.7620967741932</v>
      </c>
      <c r="N16" s="3">
        <v>17000.017241379312</v>
      </c>
      <c r="O16" s="3">
        <v>15311.608870967746</v>
      </c>
      <c r="P16" s="9"/>
      <c r="Q16" s="3"/>
      <c r="R16" s="3">
        <f>SUMPRODUCT(I16:I16,$I$2:$I$2)/SUM($I$2:$I$2)</f>
        <v>6785.9541666666664</v>
      </c>
      <c r="S16" s="3">
        <f t="shared" ref="S16:S24" si="12">SUMPRODUCT(J16:L16,$J$2:$L$2)/SUM($J$2:$L$2)</f>
        <v>15171.500000000002</v>
      </c>
      <c r="T16" s="3">
        <f t="shared" si="11"/>
        <v>13596.333141762452</v>
      </c>
      <c r="U16" s="3">
        <f>SUMPRODUCT(I16:O16,I$2:O$2)/SUM($I$2:$O$2)</f>
        <v>13316.163244144438</v>
      </c>
      <c r="X16" s="49" t="s">
        <v>217</v>
      </c>
      <c r="Y16" s="15">
        <v>11690.539215686274</v>
      </c>
      <c r="Z16" s="15">
        <f>U21+U22</f>
        <v>20803.846734246574</v>
      </c>
      <c r="AA16" s="15">
        <f>U26+U27</f>
        <v>15939.095890410958</v>
      </c>
    </row>
    <row r="17" spans="1:27" x14ac:dyDescent="0.2">
      <c r="A17" s="4" t="s">
        <v>18</v>
      </c>
      <c r="B17" s="5" t="s">
        <v>16</v>
      </c>
      <c r="C17" s="2" t="s">
        <v>38</v>
      </c>
      <c r="D17" s="3"/>
      <c r="E17" s="3"/>
      <c r="F17" s="3"/>
      <c r="G17" s="3"/>
      <c r="H17" s="3"/>
      <c r="I17" s="3">
        <v>0</v>
      </c>
      <c r="J17" s="3">
        <v>0</v>
      </c>
      <c r="K17" s="3">
        <v>37.1</v>
      </c>
      <c r="L17" s="3">
        <v>898.17741935483855</v>
      </c>
      <c r="M17" s="3">
        <v>10436.685483870968</v>
      </c>
      <c r="N17" s="3">
        <v>1612.6465517241377</v>
      </c>
      <c r="O17" s="3">
        <v>642.33870967741939</v>
      </c>
      <c r="P17" s="9"/>
      <c r="Q17" s="3"/>
      <c r="R17" s="3">
        <f>SUMPRODUCT(I17:I17,$I$2:$I$2)/SUM($I$2:$I$2)</f>
        <v>0</v>
      </c>
      <c r="S17" s="3">
        <f t="shared" ref="S17" si="13">SUMPRODUCT(J17:L17,$J$2:$L$2)/SUM($J$2:$L$2)</f>
        <v>314.74456521739125</v>
      </c>
      <c r="T17" s="3">
        <f t="shared" ref="T17" si="14">SUMPRODUCT(M17:O17,$M$2:$O$2)/SUM($M$2:$O$2)</f>
        <v>4317.8205938697311</v>
      </c>
      <c r="U17" s="3">
        <f>SUMPRODUCT(I17:O17,I$2:O$2)/SUM($I$2:$O$2)</f>
        <v>1969.6243087182822</v>
      </c>
      <c r="X17" s="75" t="s">
        <v>218</v>
      </c>
      <c r="Y17" s="190">
        <f>SUM(Y14:Y16)</f>
        <v>16253.312909507235</v>
      </c>
      <c r="Z17" s="190">
        <f>SUM(Z14:Z16)</f>
        <v>32342.837311539719</v>
      </c>
      <c r="AA17" s="190">
        <f>SUM(AA14:AA16)</f>
        <v>40005.259589041096</v>
      </c>
    </row>
    <row r="18" spans="1:27" x14ac:dyDescent="0.2">
      <c r="A18" s="4" t="s">
        <v>33</v>
      </c>
      <c r="B18" s="5" t="s">
        <v>16</v>
      </c>
      <c r="C18" s="2" t="s">
        <v>38</v>
      </c>
      <c r="D18" s="3"/>
      <c r="E18" s="3"/>
      <c r="F18" s="3"/>
      <c r="G18" s="3"/>
      <c r="H18" s="3"/>
      <c r="I18" s="3">
        <v>0</v>
      </c>
      <c r="J18" s="3">
        <v>0</v>
      </c>
      <c r="K18" s="3">
        <v>275.65833333333336</v>
      </c>
      <c r="L18" s="3">
        <v>0</v>
      </c>
      <c r="M18" s="3">
        <v>0</v>
      </c>
      <c r="N18" s="3">
        <v>0</v>
      </c>
      <c r="O18" s="3">
        <v>0</v>
      </c>
      <c r="P18" s="9"/>
      <c r="Q18" s="3"/>
      <c r="R18" s="3">
        <f>SUMPRODUCT(I18:I18,$I$2:$I$2)/SUM($I$2:$I$2)</f>
        <v>0</v>
      </c>
      <c r="S18" s="3">
        <f t="shared" si="12"/>
        <v>89.888586956521735</v>
      </c>
      <c r="T18" s="3">
        <f t="shared" si="11"/>
        <v>0</v>
      </c>
      <c r="U18" s="3">
        <f>SUMPRODUCT(I18:O18,I$2:O$2)/SUM($I$2:$O$2)</f>
        <v>39.008254716981135</v>
      </c>
      <c r="X18" s="49" t="s">
        <v>219</v>
      </c>
      <c r="Y18" s="26">
        <f>U42</f>
        <v>41.384405825552726</v>
      </c>
      <c r="Z18" s="26">
        <f>U43</f>
        <v>41.111658794847649</v>
      </c>
      <c r="AA18" s="26">
        <f>U44-0.01</f>
        <v>42.074742037572364</v>
      </c>
    </row>
    <row r="19" spans="1:27" x14ac:dyDescent="0.2">
      <c r="A19" s="21" t="s">
        <v>41</v>
      </c>
      <c r="B19" s="21" t="s">
        <v>16</v>
      </c>
      <c r="C19" s="22" t="s">
        <v>38</v>
      </c>
      <c r="D19" s="23"/>
      <c r="E19" s="23"/>
      <c r="F19" s="23"/>
      <c r="G19" s="23"/>
      <c r="H19" s="23"/>
      <c r="I19" s="23">
        <f t="shared" ref="I19:O19" si="15">SUM(I15:I18)</f>
        <v>8171.1606189999993</v>
      </c>
      <c r="J19" s="23">
        <f t="shared" si="15"/>
        <v>15062.710499072591</v>
      </c>
      <c r="K19" s="23">
        <f t="shared" si="15"/>
        <v>18052.749786000008</v>
      </c>
      <c r="L19" s="23">
        <f t="shared" si="15"/>
        <v>24388.994058870961</v>
      </c>
      <c r="M19" s="23">
        <f t="shared" si="15"/>
        <v>25462.224556935493</v>
      </c>
      <c r="N19" s="23">
        <f t="shared" si="15"/>
        <v>24376.895964310334</v>
      </c>
      <c r="O19" s="23">
        <f t="shared" si="15"/>
        <v>23428.799438225822</v>
      </c>
      <c r="P19" s="9"/>
      <c r="Q19" s="23"/>
      <c r="R19" s="23">
        <f>SUMPRODUCT(I19:I19,$I$2:$I$2)/SUM($I$2:$I$2)</f>
        <v>8171.1606189999993</v>
      </c>
      <c r="S19" s="23">
        <f t="shared" si="12"/>
        <v>19180.275379089679</v>
      </c>
      <c r="T19" s="23">
        <f t="shared" si="11"/>
        <v>24424.164787229889</v>
      </c>
      <c r="U19" s="23">
        <f>SUM(U15:U18)</f>
        <v>19848.561246683679</v>
      </c>
      <c r="V19" s="43">
        <f>SUMPRODUCT(D20:I20,$D$2:$I$2)/SUM($D$2:$I$2)</f>
        <v>10263.914122259555</v>
      </c>
      <c r="X19" s="49" t="s">
        <v>224</v>
      </c>
      <c r="Y19" s="26">
        <v>42.114680268267506</v>
      </c>
      <c r="Z19" s="26">
        <v>41.697310125616582</v>
      </c>
      <c r="AA19" s="26">
        <v>43.182798622102673</v>
      </c>
    </row>
    <row r="20" spans="1:27" x14ac:dyDescent="0.2">
      <c r="A20" s="4" t="s">
        <v>17</v>
      </c>
      <c r="B20" s="5" t="s">
        <v>16</v>
      </c>
      <c r="C20" s="2" t="s">
        <v>98</v>
      </c>
      <c r="D20" s="3">
        <v>8081.45640000001</v>
      </c>
      <c r="E20" s="3">
        <v>10219.038669112884</v>
      </c>
      <c r="F20" s="3">
        <v>9525.6346716166572</v>
      </c>
      <c r="G20" s="3">
        <v>11116.395330403207</v>
      </c>
      <c r="H20" s="3">
        <v>9979.1568982338595</v>
      </c>
      <c r="I20" s="3">
        <v>12644.374479825005</v>
      </c>
      <c r="J20" s="3">
        <v>11775.864273903258</v>
      </c>
      <c r="K20" s="3">
        <v>9676.0128760833104</v>
      </c>
      <c r="L20" s="3">
        <v>9463.6724865322831</v>
      </c>
      <c r="M20" s="3">
        <v>9770.7306880645101</v>
      </c>
      <c r="N20" s="3">
        <v>11196.221451249967</v>
      </c>
      <c r="O20" s="3">
        <v>12749.881807016118</v>
      </c>
      <c r="P20" s="9"/>
      <c r="Q20" s="3">
        <f t="shared" ref="Q20:Q24" si="16">SUMPRODUCT(D20:F20,$D$2:$F$2)/SUM($D$2:$F$2)</f>
        <v>9285.7464933076863</v>
      </c>
      <c r="R20" s="3">
        <f t="shared" ref="R20:R24" si="17">SUMPRODUCT(G20:I20,$G$2:$I$2)/SUM($G$2:$I$2)</f>
        <v>11231.449494374992</v>
      </c>
      <c r="S20" s="3">
        <f t="shared" si="12"/>
        <v>10312.022020173925</v>
      </c>
      <c r="T20" s="3">
        <f t="shared" si="11"/>
        <v>11240.368755361094</v>
      </c>
      <c r="U20" s="3">
        <f t="shared" ref="U20:U29" si="18">SUMPRODUCT(D20:O20,$D$2:$O$2)/SUM($D$2:$O$2)</f>
        <v>10516.809584142462</v>
      </c>
      <c r="V20" s="43">
        <f t="shared" ref="V20:V23" si="19">SUMPRODUCT(D21:I21,$D$2:$I$2)/SUM($D$2:$I$2)</f>
        <v>6076.8562158469949</v>
      </c>
      <c r="X20" s="49" t="s">
        <v>220</v>
      </c>
      <c r="Y20" s="26">
        <v>39.308593309209776</v>
      </c>
      <c r="Z20" s="26">
        <v>41.364518043453288</v>
      </c>
      <c r="AA20" s="194">
        <v>45.22</v>
      </c>
    </row>
    <row r="21" spans="1:27" x14ac:dyDescent="0.2">
      <c r="A21" s="4" t="s">
        <v>39</v>
      </c>
      <c r="B21" s="5" t="s">
        <v>16</v>
      </c>
      <c r="C21" s="2" t="s">
        <v>98</v>
      </c>
      <c r="D21" s="3">
        <v>8593.9083333333347</v>
      </c>
      <c r="E21" s="3">
        <v>1360.6048387096773</v>
      </c>
      <c r="F21" s="3">
        <v>1453.8416666666667</v>
      </c>
      <c r="G21" s="3">
        <v>4924.8487903225805</v>
      </c>
      <c r="H21" s="3">
        <v>7994.2197580645152</v>
      </c>
      <c r="I21" s="3">
        <v>12265.410416666666</v>
      </c>
      <c r="J21" s="3">
        <v>15696.814516129021</v>
      </c>
      <c r="K21" s="3">
        <v>11083.954166666666</v>
      </c>
      <c r="L21" s="3">
        <v>12702.016129032259</v>
      </c>
      <c r="M21" s="3">
        <v>16113.995967741939</v>
      </c>
      <c r="N21" s="3">
        <v>20969.540178571428</v>
      </c>
      <c r="O21" s="3">
        <v>17777.145161290322</v>
      </c>
      <c r="P21" s="9"/>
      <c r="Q21" s="3">
        <f t="shared" si="16"/>
        <v>3775.947802197802</v>
      </c>
      <c r="R21" s="3">
        <f t="shared" si="17"/>
        <v>8352.7547554347821</v>
      </c>
      <c r="S21" s="3">
        <f t="shared" si="12"/>
        <v>13183.504076086954</v>
      </c>
      <c r="T21" s="3">
        <f t="shared" si="11"/>
        <v>18197.472222222223</v>
      </c>
      <c r="U21" s="3">
        <f t="shared" si="18"/>
        <v>10856.765924657533</v>
      </c>
      <c r="V21" s="43">
        <f t="shared" si="19"/>
        <v>9963.6511612021877</v>
      </c>
      <c r="X21" s="75" t="s">
        <v>221</v>
      </c>
      <c r="Y21" s="193">
        <f>U47</f>
        <v>39.840326317676933</v>
      </c>
      <c r="Z21" s="193">
        <v>41.257025858032051</v>
      </c>
      <c r="AA21" s="193">
        <v>43.457808915003255</v>
      </c>
    </row>
    <row r="22" spans="1:27" x14ac:dyDescent="0.2">
      <c r="A22" s="4" t="s">
        <v>18</v>
      </c>
      <c r="B22" s="5" t="s">
        <v>16</v>
      </c>
      <c r="C22" s="2" t="s">
        <v>98</v>
      </c>
      <c r="D22" s="3">
        <v>6362.3166666666675</v>
      </c>
      <c r="E22" s="3">
        <v>12092.56869354839</v>
      </c>
      <c r="F22" s="3">
        <v>16452.013258333332</v>
      </c>
      <c r="G22" s="3">
        <v>10472.08035483871</v>
      </c>
      <c r="H22" s="3">
        <v>9509.6028870967748</v>
      </c>
      <c r="I22" s="3">
        <v>4820.5484916666665</v>
      </c>
      <c r="J22" s="3">
        <v>6788.9027741935433</v>
      </c>
      <c r="K22" s="3">
        <v>17174.611400000002</v>
      </c>
      <c r="L22" s="3">
        <v>15020.315564516128</v>
      </c>
      <c r="M22" s="3">
        <v>11086.922491935484</v>
      </c>
      <c r="N22" s="3">
        <v>2549.7364910714286</v>
      </c>
      <c r="O22" s="3">
        <v>6481.4517258064507</v>
      </c>
      <c r="P22" s="9"/>
      <c r="Q22" s="3">
        <f t="shared" si="16"/>
        <v>11640.654145604398</v>
      </c>
      <c r="R22" s="3">
        <f t="shared" si="17"/>
        <v>8304.8764701086966</v>
      </c>
      <c r="S22" s="3">
        <f t="shared" si="12"/>
        <v>12949.175114130434</v>
      </c>
      <c r="T22" s="3">
        <f t="shared" si="11"/>
        <v>6844.5802499999991</v>
      </c>
      <c r="U22" s="3">
        <f t="shared" si="18"/>
        <v>9947.0808095890425</v>
      </c>
      <c r="V22" s="43">
        <f t="shared" si="19"/>
        <v>726.70389344262264</v>
      </c>
      <c r="X22" s="49" t="s">
        <v>222</v>
      </c>
      <c r="Y22" s="26">
        <v>4.1464036885199551</v>
      </c>
      <c r="Z22" s="26">
        <v>3.6553669460121085</v>
      </c>
      <c r="AA22" s="26">
        <v>3.7594193932630482</v>
      </c>
    </row>
    <row r="23" spans="1:27" x14ac:dyDescent="0.2">
      <c r="A23" s="4" t="s">
        <v>33</v>
      </c>
      <c r="B23" s="5" t="s">
        <v>16</v>
      </c>
      <c r="C23" s="2" t="s">
        <v>98</v>
      </c>
      <c r="D23" s="3">
        <v>1918.7124999999985</v>
      </c>
      <c r="E23" s="3">
        <v>-484.64516129032279</v>
      </c>
      <c r="F23" s="3">
        <v>-165.61666666666667</v>
      </c>
      <c r="G23" s="3">
        <v>644.10282258064501</v>
      </c>
      <c r="H23" s="3">
        <v>2011.1431451612905</v>
      </c>
      <c r="I23" s="3">
        <v>436.84374999999994</v>
      </c>
      <c r="J23" s="3">
        <v>-1191.439516129032</v>
      </c>
      <c r="K23" s="3">
        <v>164</v>
      </c>
      <c r="L23" s="3">
        <v>0</v>
      </c>
      <c r="M23" s="3">
        <v>2044.0685483870968</v>
      </c>
      <c r="N23" s="3">
        <v>3947.6026785714298</v>
      </c>
      <c r="O23" s="3">
        <v>3168.5443548387098</v>
      </c>
      <c r="P23" s="9"/>
      <c r="Q23" s="3">
        <f t="shared" si="16"/>
        <v>412.84478021977964</v>
      </c>
      <c r="R23" s="3">
        <f t="shared" si="17"/>
        <v>1037.1514945652175</v>
      </c>
      <c r="S23" s="3">
        <f t="shared" si="12"/>
        <v>-347.98505434782601</v>
      </c>
      <c r="T23" s="3">
        <f t="shared" si="11"/>
        <v>3023.598611111111</v>
      </c>
      <c r="U23" s="3">
        <f t="shared" si="18"/>
        <v>1022.1809931506849</v>
      </c>
      <c r="V23" s="43">
        <f t="shared" si="19"/>
        <v>27031.125392751361</v>
      </c>
    </row>
    <row r="24" spans="1:27" x14ac:dyDescent="0.2">
      <c r="A24" s="21" t="s">
        <v>41</v>
      </c>
      <c r="B24" s="21" t="s">
        <v>16</v>
      </c>
      <c r="C24" s="22" t="s">
        <v>98</v>
      </c>
      <c r="D24" s="23">
        <f t="shared" ref="D24:H24" si="20">SUM(D20:D23)</f>
        <v>24956.393900000006</v>
      </c>
      <c r="E24" s="23">
        <f t="shared" si="20"/>
        <v>23187.56704008063</v>
      </c>
      <c r="F24" s="23">
        <f t="shared" si="20"/>
        <v>27265.872929949994</v>
      </c>
      <c r="G24" s="23">
        <f t="shared" si="20"/>
        <v>27157.427298145143</v>
      </c>
      <c r="H24" s="23">
        <f t="shared" si="20"/>
        <v>29494.122688556439</v>
      </c>
      <c r="I24" s="23">
        <f t="shared" ref="I24:O24" si="21">SUM(I20:I23)</f>
        <v>30167.177138158338</v>
      </c>
      <c r="J24" s="23">
        <f t="shared" si="21"/>
        <v>33070.142048096794</v>
      </c>
      <c r="K24" s="23">
        <f t="shared" si="21"/>
        <v>38098.578442749975</v>
      </c>
      <c r="L24" s="23">
        <f t="shared" si="21"/>
        <v>37186.004180080665</v>
      </c>
      <c r="M24" s="23">
        <f t="shared" si="21"/>
        <v>39015.717696129032</v>
      </c>
      <c r="N24" s="23">
        <f t="shared" si="21"/>
        <v>38663.10079946425</v>
      </c>
      <c r="O24" s="23">
        <f t="shared" si="21"/>
        <v>40177.023048951603</v>
      </c>
      <c r="P24" s="9"/>
      <c r="Q24" s="23">
        <f t="shared" si="16"/>
        <v>25115.193221329664</v>
      </c>
      <c r="R24" s="23">
        <f t="shared" si="17"/>
        <v>28926.232214483687</v>
      </c>
      <c r="S24" s="23">
        <f t="shared" si="12"/>
        <v>36096.716156043483</v>
      </c>
      <c r="T24" s="23">
        <f t="shared" si="11"/>
        <v>39306.019838694425</v>
      </c>
      <c r="U24" s="23">
        <f t="shared" si="18"/>
        <v>32342.837311539719</v>
      </c>
    </row>
    <row r="25" spans="1:27" x14ac:dyDescent="0.2">
      <c r="A25" s="4" t="s">
        <v>17</v>
      </c>
      <c r="B25" s="5" t="s">
        <v>16</v>
      </c>
      <c r="C25" s="2" t="s">
        <v>193</v>
      </c>
      <c r="D25" s="3">
        <v>15303.949474333331</v>
      </c>
      <c r="E25" s="3">
        <v>19004.99441895161</v>
      </c>
      <c r="F25" s="3">
        <v>20809.82216349999</v>
      </c>
      <c r="G25" s="3">
        <v>19985.399465161237</v>
      </c>
      <c r="H25" s="3">
        <v>20637.860398870969</v>
      </c>
      <c r="I25" s="3">
        <v>20729.587075833315</v>
      </c>
      <c r="J25" s="3">
        <v>19019.023306612875</v>
      </c>
      <c r="K25" s="3">
        <v>18721.541688666661</v>
      </c>
      <c r="L25" s="3">
        <v>18856.923532500026</v>
      </c>
      <c r="M25" s="3">
        <v>17474.253833387142</v>
      </c>
      <c r="N25" s="78">
        <v>17006.315184553598</v>
      </c>
      <c r="O25" s="78">
        <v>17987.602137016158</v>
      </c>
      <c r="P25" s="9"/>
      <c r="Q25" s="3">
        <f t="shared" ref="Q25:Q29" si="22">SUMPRODUCT(D25:F25,$D$2:$F$2)/SUM($D$2:$F$2)</f>
        <v>18379.867869478017</v>
      </c>
      <c r="R25" s="3">
        <f t="shared" ref="R25:R29" si="23">SUMPRODUCT(G25:I25,$G$2:$I$2)/SUM($G$2:$I$2)</f>
        <v>20447.920304999978</v>
      </c>
      <c r="S25" s="3">
        <f t="shared" ref="S25:S29" si="24">SUMPRODUCT(J25:L25,$J$2:$L$2)/SUM($J$2:$L$2)</f>
        <v>18867.397855135867</v>
      </c>
      <c r="T25" s="3">
        <f t="shared" ref="T25:T29" si="25">SUMPRODUCT(M25:O25,$M$2:$O$2)/SUM($M$2:$O$2)</f>
        <v>17505.492891666701</v>
      </c>
      <c r="U25" s="3">
        <f t="shared" si="18"/>
        <v>18808.415361931508</v>
      </c>
    </row>
    <row r="26" spans="1:27" x14ac:dyDescent="0.2">
      <c r="A26" s="4" t="s">
        <v>39</v>
      </c>
      <c r="B26" s="5" t="s">
        <v>16</v>
      </c>
      <c r="C26" s="2" t="s">
        <v>193</v>
      </c>
      <c r="D26" s="3">
        <v>14274.55</v>
      </c>
      <c r="E26" s="3">
        <v>7849.0161290322576</v>
      </c>
      <c r="F26" s="3">
        <v>3980.1874999999995</v>
      </c>
      <c r="G26" s="3">
        <v>7438.802419354839</v>
      </c>
      <c r="H26" s="3">
        <v>9134.0000000000018</v>
      </c>
      <c r="I26" s="3">
        <v>14746.945833333337</v>
      </c>
      <c r="J26" s="3">
        <v>12261.104838709676</v>
      </c>
      <c r="K26" s="3">
        <v>12899.424999999996</v>
      </c>
      <c r="L26" s="3">
        <v>15838.883064516127</v>
      </c>
      <c r="M26" s="3">
        <v>17268.568548387095</v>
      </c>
      <c r="N26" s="78">
        <v>20430.772321428572</v>
      </c>
      <c r="O26" s="78">
        <v>18091.362903225807</v>
      </c>
      <c r="P26" s="9"/>
      <c r="Q26" s="3">
        <f t="shared" si="22"/>
        <v>8691.8859890109889</v>
      </c>
      <c r="R26" s="3">
        <f t="shared" si="23"/>
        <v>10393.100543478264</v>
      </c>
      <c r="S26" s="3">
        <f t="shared" si="24"/>
        <v>13674.80842391304</v>
      </c>
      <c r="T26" s="3">
        <f t="shared" si="25"/>
        <v>18535.772222222222</v>
      </c>
      <c r="U26" s="3">
        <f t="shared" si="18"/>
        <v>12803.914383561643</v>
      </c>
    </row>
    <row r="27" spans="1:27" x14ac:dyDescent="0.2">
      <c r="A27" s="4" t="s">
        <v>18</v>
      </c>
      <c r="B27" s="5" t="s">
        <v>16</v>
      </c>
      <c r="C27" s="2" t="s">
        <v>193</v>
      </c>
      <c r="D27" s="3">
        <v>8520.8083333333343</v>
      </c>
      <c r="E27" s="3">
        <v>10325.016129032258</v>
      </c>
      <c r="F27" s="3">
        <v>1042.3</v>
      </c>
      <c r="G27" s="3">
        <v>0</v>
      </c>
      <c r="H27" s="3">
        <v>0</v>
      </c>
      <c r="I27" s="3">
        <v>1099.9333333333332</v>
      </c>
      <c r="J27" s="3">
        <v>6926.2540322580644</v>
      </c>
      <c r="K27" s="3">
        <v>3370.1875</v>
      </c>
      <c r="L27" s="3">
        <v>1640.1048387096776</v>
      </c>
      <c r="M27" s="3">
        <v>2758.4435483870966</v>
      </c>
      <c r="N27" s="78">
        <v>0</v>
      </c>
      <c r="O27" s="78">
        <v>1683.8709677419351</v>
      </c>
      <c r="P27" s="9"/>
      <c r="Q27" s="3">
        <f t="shared" si="22"/>
        <v>6669.9862637362639</v>
      </c>
      <c r="R27" s="3">
        <f t="shared" si="23"/>
        <v>358.67391304347819</v>
      </c>
      <c r="S27" s="3">
        <f t="shared" si="24"/>
        <v>3985.4646739130435</v>
      </c>
      <c r="T27" s="3">
        <f t="shared" si="25"/>
        <v>1530.1305555555555</v>
      </c>
      <c r="U27" s="3">
        <f t="shared" si="18"/>
        <v>3135.1815068493152</v>
      </c>
    </row>
    <row r="28" spans="1:27" x14ac:dyDescent="0.2">
      <c r="A28" s="4" t="s">
        <v>33</v>
      </c>
      <c r="B28" s="5" t="s">
        <v>16</v>
      </c>
      <c r="C28" s="2" t="s">
        <v>193</v>
      </c>
      <c r="D28" s="3">
        <v>1595.1375</v>
      </c>
      <c r="E28" s="3">
        <v>2251.108870967742</v>
      </c>
      <c r="F28" s="3">
        <v>9119.0708333333332</v>
      </c>
      <c r="G28" s="3">
        <v>5708.4596774193551</v>
      </c>
      <c r="H28" s="3">
        <v>7635.2983870967728</v>
      </c>
      <c r="I28" s="3">
        <v>3212.0749999999998</v>
      </c>
      <c r="J28" s="3">
        <v>1794.7419354838712</v>
      </c>
      <c r="K28" s="3">
        <v>1152.2</v>
      </c>
      <c r="L28" s="3">
        <v>1905.3225806451615</v>
      </c>
      <c r="M28" s="3">
        <v>3282.2862903225805</v>
      </c>
      <c r="N28" s="78">
        <v>4246.9955357142853</v>
      </c>
      <c r="O28" s="78">
        <v>6646.7943548387093</v>
      </c>
      <c r="P28" s="9"/>
      <c r="Q28" s="3">
        <f t="shared" si="22"/>
        <v>4299.0178571428569</v>
      </c>
      <c r="R28" s="3">
        <f t="shared" si="23"/>
        <v>5543.682065217391</v>
      </c>
      <c r="S28" s="3">
        <f t="shared" si="24"/>
        <v>1622.4782608695652</v>
      </c>
      <c r="T28" s="3">
        <f t="shared" si="25"/>
        <v>4741.3041666666668</v>
      </c>
      <c r="U28" s="3">
        <f t="shared" si="18"/>
        <v>4047.1636986301369</v>
      </c>
    </row>
    <row r="29" spans="1:27" x14ac:dyDescent="0.2">
      <c r="A29" s="21" t="s">
        <v>41</v>
      </c>
      <c r="B29" s="21" t="s">
        <v>16</v>
      </c>
      <c r="C29" s="22" t="s">
        <v>193</v>
      </c>
      <c r="D29" s="23">
        <f t="shared" ref="D29:O29" si="26">SUM(D25:D28)</f>
        <v>39694.445307666661</v>
      </c>
      <c r="E29" s="23">
        <f t="shared" si="26"/>
        <v>39430.135547983868</v>
      </c>
      <c r="F29" s="23">
        <f t="shared" si="26"/>
        <v>34951.380496833321</v>
      </c>
      <c r="G29" s="23">
        <f t="shared" si="26"/>
        <v>33132.661561935434</v>
      </c>
      <c r="H29" s="23">
        <f t="shared" si="26"/>
        <v>37407.158785967746</v>
      </c>
      <c r="I29" s="23">
        <f t="shared" si="26"/>
        <v>39788.541242499981</v>
      </c>
      <c r="J29" s="23">
        <f t="shared" si="26"/>
        <v>40001.124113064485</v>
      </c>
      <c r="K29" s="23">
        <f t="shared" si="26"/>
        <v>36143.35418866665</v>
      </c>
      <c r="L29" s="23">
        <f t="shared" si="26"/>
        <v>38241.234016370989</v>
      </c>
      <c r="M29" s="23">
        <f t="shared" si="26"/>
        <v>40783.552220483922</v>
      </c>
      <c r="N29" s="79">
        <f t="shared" si="26"/>
        <v>41684.083041696453</v>
      </c>
      <c r="O29" s="79">
        <f t="shared" si="26"/>
        <v>44409.630362822609</v>
      </c>
      <c r="P29" s="9"/>
      <c r="Q29" s="23">
        <f t="shared" si="22"/>
        <v>38040.757979368129</v>
      </c>
      <c r="R29" s="23">
        <f t="shared" si="23"/>
        <v>36743.376826739113</v>
      </c>
      <c r="S29" s="23">
        <f t="shared" si="24"/>
        <v>38150.149213831515</v>
      </c>
      <c r="T29" s="23">
        <f t="shared" si="25"/>
        <v>42312.69983611114</v>
      </c>
      <c r="U29" s="23">
        <f t="shared" si="18"/>
        <v>38794.674950972607</v>
      </c>
    </row>
    <row r="30" spans="1:27" x14ac:dyDescent="0.2">
      <c r="A30" s="4" t="s">
        <v>17</v>
      </c>
      <c r="B30" s="5" t="s">
        <v>16</v>
      </c>
      <c r="C30" s="2" t="s">
        <v>235</v>
      </c>
      <c r="D30" s="3">
        <v>20800.544050516786</v>
      </c>
      <c r="E30" s="3">
        <v>18619.76725853228</v>
      </c>
      <c r="F30" s="3">
        <v>19782.265070275047</v>
      </c>
      <c r="G30" s="3">
        <v>20231.586130395233</v>
      </c>
      <c r="H30" s="3">
        <v>16613.509983024167</v>
      </c>
      <c r="I30" s="3"/>
      <c r="J30" s="3"/>
      <c r="K30" s="3"/>
      <c r="L30" s="3"/>
      <c r="M30" s="3"/>
      <c r="N30" s="78"/>
      <c r="O30" s="78"/>
      <c r="P30" s="9"/>
      <c r="Q30" s="3">
        <f t="shared" ref="Q30:Q34" si="27">SUMPRODUCT(D30:F30,$D$2:$F$2)/SUM($D$2:$F$2)</f>
        <v>19721.945699321488</v>
      </c>
      <c r="R30" s="3">
        <f t="shared" ref="R30:R34" si="28">SUMPRODUCT(G30:I30,$G$2:$I$2)/SUM($G$2:$I$2)</f>
        <v>12415.195429521755</v>
      </c>
      <c r="S30" s="3">
        <f t="shared" ref="S30:S34" si="29">SUMPRODUCT(J30:L30,$J$2:$L$2)/SUM($J$2:$L$2)</f>
        <v>0</v>
      </c>
      <c r="T30" s="3">
        <f t="shared" ref="T30:T34" si="30">SUMPRODUCT(M30:O30,$M$2:$O$2)/SUM($M$2:$O$2)</f>
        <v>0</v>
      </c>
      <c r="U30" s="3">
        <f t="shared" ref="U30:U34" si="31">SUMPRODUCT(D30:O30,$D$2:$O$2)/SUM($D$2:$O$2)</f>
        <v>8046.2877757650876</v>
      </c>
    </row>
    <row r="31" spans="1:27" x14ac:dyDescent="0.2">
      <c r="A31" s="4" t="s">
        <v>39</v>
      </c>
      <c r="B31" s="5" t="s">
        <v>16</v>
      </c>
      <c r="C31" s="2" t="s">
        <v>235</v>
      </c>
      <c r="D31" s="3">
        <v>1738.6083333333336</v>
      </c>
      <c r="E31" s="3">
        <v>1409.9032258064515</v>
      </c>
      <c r="F31" s="3">
        <v>10725.095833333335</v>
      </c>
      <c r="G31" s="3">
        <v>10991.415322580648</v>
      </c>
      <c r="H31" s="3">
        <v>11020.701612903227</v>
      </c>
      <c r="I31" s="3"/>
      <c r="J31" s="3"/>
      <c r="K31" s="3"/>
      <c r="L31" s="3"/>
      <c r="M31" s="3"/>
      <c r="N31" s="78"/>
      <c r="O31" s="78"/>
      <c r="P31" s="9"/>
      <c r="Q31" s="3">
        <f t="shared" si="27"/>
        <v>4589.2101648351654</v>
      </c>
      <c r="R31" s="3">
        <f t="shared" si="28"/>
        <v>7417.1263586956538</v>
      </c>
      <c r="S31" s="3">
        <f t="shared" si="29"/>
        <v>0</v>
      </c>
      <c r="T31" s="3">
        <f t="shared" si="30"/>
        <v>0</v>
      </c>
      <c r="U31" s="3">
        <f>SUMPRODUCT(D31:H31,$D$2:$H$2)/SUM($D$2:$H$2)</f>
        <v>7189.5016339869298</v>
      </c>
    </row>
    <row r="32" spans="1:27" x14ac:dyDescent="0.2">
      <c r="A32" s="4" t="s">
        <v>18</v>
      </c>
      <c r="B32" s="5" t="s">
        <v>16</v>
      </c>
      <c r="C32" s="2" t="s">
        <v>235</v>
      </c>
      <c r="D32" s="3">
        <v>0</v>
      </c>
      <c r="E32" s="3">
        <v>3778.4588709677414</v>
      </c>
      <c r="F32" s="3">
        <v>1700.325</v>
      </c>
      <c r="G32" s="3">
        <v>790.1854838709678</v>
      </c>
      <c r="H32" s="3">
        <v>5572.0927419354821</v>
      </c>
      <c r="I32" s="3"/>
      <c r="J32" s="3"/>
      <c r="K32" s="3"/>
      <c r="L32" s="3"/>
      <c r="M32" s="3"/>
      <c r="N32" s="78"/>
      <c r="O32" s="78"/>
      <c r="P32" s="9"/>
      <c r="Q32" s="3">
        <f t="shared" si="27"/>
        <v>1847.7140109890108</v>
      </c>
      <c r="R32" s="3">
        <f t="shared" si="28"/>
        <v>2143.8111413043471</v>
      </c>
      <c r="S32" s="3">
        <f t="shared" si="29"/>
        <v>0</v>
      </c>
      <c r="T32" s="3">
        <f t="shared" si="30"/>
        <v>0</v>
      </c>
      <c r="U32" s="3">
        <f t="shared" si="31"/>
        <v>1001.020821917808</v>
      </c>
    </row>
    <row r="33" spans="1:21" x14ac:dyDescent="0.2">
      <c r="A33" s="4" t="s">
        <v>33</v>
      </c>
      <c r="B33" s="5" t="s">
        <v>16</v>
      </c>
      <c r="C33" s="2" t="s">
        <v>235</v>
      </c>
      <c r="D33" s="3">
        <v>1188.2833333333333</v>
      </c>
      <c r="E33" s="3">
        <v>361.22580645161293</v>
      </c>
      <c r="F33" s="3">
        <v>785.46249999999998</v>
      </c>
      <c r="G33" s="3">
        <v>2947.1169354838712</v>
      </c>
      <c r="H33" s="3">
        <v>350.93548387096769</v>
      </c>
      <c r="I33" s="3"/>
      <c r="J33" s="3"/>
      <c r="K33" s="3"/>
      <c r="L33" s="3"/>
      <c r="M33" s="3"/>
      <c r="N33" s="78"/>
      <c r="O33" s="78"/>
      <c r="P33" s="9"/>
      <c r="Q33" s="3">
        <f t="shared" si="27"/>
        <v>773.74038461538464</v>
      </c>
      <c r="R33" s="3">
        <f t="shared" si="28"/>
        <v>1111.3002717391305</v>
      </c>
      <c r="S33" s="3">
        <f t="shared" si="29"/>
        <v>0</v>
      </c>
      <c r="T33" s="3">
        <f t="shared" si="30"/>
        <v>0</v>
      </c>
      <c r="U33" s="3">
        <f t="shared" si="31"/>
        <v>473.01369863013701</v>
      </c>
    </row>
    <row r="34" spans="1:21" x14ac:dyDescent="0.2">
      <c r="A34" s="21" t="s">
        <v>41</v>
      </c>
      <c r="B34" s="21" t="s">
        <v>16</v>
      </c>
      <c r="C34" s="22" t="s">
        <v>235</v>
      </c>
      <c r="D34" s="23">
        <f t="shared" ref="D34:O34" si="32">SUM(D30:D33)</f>
        <v>23727.435717183453</v>
      </c>
      <c r="E34" s="23">
        <f t="shared" si="32"/>
        <v>24169.355161758085</v>
      </c>
      <c r="F34" s="23">
        <f t="shared" si="32"/>
        <v>32993.148403608378</v>
      </c>
      <c r="G34" s="23">
        <f t="shared" si="32"/>
        <v>34960.303872330718</v>
      </c>
      <c r="H34" s="23">
        <f t="shared" si="32"/>
        <v>33557.239821733849</v>
      </c>
      <c r="I34" s="23">
        <f t="shared" si="32"/>
        <v>0</v>
      </c>
      <c r="J34" s="23">
        <f t="shared" si="32"/>
        <v>0</v>
      </c>
      <c r="K34" s="23">
        <f t="shared" si="32"/>
        <v>0</v>
      </c>
      <c r="L34" s="23">
        <f t="shared" si="32"/>
        <v>0</v>
      </c>
      <c r="M34" s="23">
        <f t="shared" si="32"/>
        <v>0</v>
      </c>
      <c r="N34" s="79">
        <f t="shared" si="32"/>
        <v>0</v>
      </c>
      <c r="O34" s="79">
        <f t="shared" si="32"/>
        <v>0</v>
      </c>
      <c r="P34" s="9"/>
      <c r="Q34" s="23">
        <f t="shared" si="27"/>
        <v>26932.610259761052</v>
      </c>
      <c r="R34" s="23">
        <f t="shared" si="28"/>
        <v>23087.433201260887</v>
      </c>
      <c r="S34" s="23">
        <f t="shared" si="29"/>
        <v>0</v>
      </c>
      <c r="T34" s="23">
        <f t="shared" si="30"/>
        <v>0</v>
      </c>
      <c r="U34" s="23">
        <f t="shared" si="31"/>
        <v>12534.003803162348</v>
      </c>
    </row>
    <row r="35" spans="1:2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x14ac:dyDescent="0.2">
      <c r="A36" s="28" t="s">
        <v>22</v>
      </c>
      <c r="B36" s="8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x14ac:dyDescent="0.2">
      <c r="A37" s="5" t="s">
        <v>20</v>
      </c>
      <c r="B37" s="5" t="s">
        <v>21</v>
      </c>
      <c r="C37" s="6" t="s">
        <v>38</v>
      </c>
      <c r="D37" s="50"/>
      <c r="E37" s="50"/>
      <c r="F37" s="50"/>
      <c r="G37" s="50"/>
      <c r="H37" s="50"/>
      <c r="I37" s="7">
        <v>3.9680015528771944</v>
      </c>
      <c r="J37" s="7">
        <v>5.9771141540583681</v>
      </c>
      <c r="K37" s="7">
        <v>4.8205972017777619</v>
      </c>
      <c r="L37" s="7">
        <v>4.480515443141952</v>
      </c>
      <c r="M37" s="7">
        <v>4.0525239599360754</v>
      </c>
      <c r="N37" s="7">
        <v>3.8668570379927516</v>
      </c>
      <c r="O37" s="7">
        <v>3.2619220016411252</v>
      </c>
      <c r="P37" s="8"/>
      <c r="Q37" s="7"/>
      <c r="R37" s="7">
        <f>SUMPRODUCT(I37:I37,I15)/SUM(I15)</f>
        <v>3.9680015528771948</v>
      </c>
      <c r="S37" s="7">
        <f>SUMPRODUCT(J37:L37,J15:L15)/SUM(J15:L15)</f>
        <v>4.9991085730949694</v>
      </c>
      <c r="T37" s="7">
        <f>SUMPRODUCT(M37:O37,M15:O15)/SUM(M15:O15)</f>
        <v>3.6938072562171498</v>
      </c>
      <c r="U37" s="7">
        <f>SUMPRODUCT(I37:O37,I15:O15)/SUM(I15:O15)</f>
        <v>4.1516524220259665</v>
      </c>
    </row>
    <row r="38" spans="1:21" x14ac:dyDescent="0.2">
      <c r="A38" s="5" t="s">
        <v>20</v>
      </c>
      <c r="B38" s="5" t="s">
        <v>21</v>
      </c>
      <c r="C38" s="6" t="s">
        <v>98</v>
      </c>
      <c r="D38" s="7">
        <v>3.5585571770153064</v>
      </c>
      <c r="E38" s="7">
        <v>3.5080212398384032</v>
      </c>
      <c r="F38" s="7">
        <v>4.4741283741430227</v>
      </c>
      <c r="G38" s="7">
        <v>3.4880329734957645</v>
      </c>
      <c r="H38" s="7">
        <v>3.6880525312976316</v>
      </c>
      <c r="I38" s="7">
        <v>3.3272284706046529</v>
      </c>
      <c r="J38" s="7">
        <v>3.2333174493523984</v>
      </c>
      <c r="K38" s="7">
        <v>3.9187180398024877</v>
      </c>
      <c r="L38" s="7">
        <v>3.8649923642815058</v>
      </c>
      <c r="M38" s="7">
        <v>3.6869429657679627</v>
      </c>
      <c r="N38" s="7">
        <v>3.8567425720113686</v>
      </c>
      <c r="O38" s="7">
        <v>3.5021710743364918</v>
      </c>
      <c r="P38" s="8"/>
      <c r="Q38" s="7">
        <f>SUMPRODUCT(D38:F38,$D$20:$F$20)/SUM($D$20:$F$20)</f>
        <v>3.8534227627059017</v>
      </c>
      <c r="R38" s="7">
        <f>SUMPRODUCT(G38:I38,$G$20:$I$20)/SUM($G$20:$I$20)</f>
        <v>3.4869290646788014</v>
      </c>
      <c r="S38" s="7">
        <f>SUMPRODUCT(J38:L38,$J$20:$L$20)/SUM($J$20:$L$20)</f>
        <v>3.6411998774371312</v>
      </c>
      <c r="T38" s="7">
        <f>SUMPRODUCT(M38:O38,$M$20:$O$20)/SUM($M$20:$O$20)</f>
        <v>3.6734569491420359</v>
      </c>
      <c r="U38" s="7">
        <f>SUMPRODUCT(D38:O38,$D$20:$O$20)/SUM($D$20:$O$20)</f>
        <v>3.6553669460121081</v>
      </c>
    </row>
    <row r="39" spans="1:21" x14ac:dyDescent="0.2">
      <c r="A39" s="34" t="s">
        <v>20</v>
      </c>
      <c r="B39" s="34" t="s">
        <v>21</v>
      </c>
      <c r="C39" s="6" t="s">
        <v>193</v>
      </c>
      <c r="D39" s="35">
        <v>3.5475223741249771</v>
      </c>
      <c r="E39" s="35">
        <v>3.5831536160867938</v>
      </c>
      <c r="F39" s="35">
        <v>3.6664682287493937</v>
      </c>
      <c r="G39" s="35">
        <v>3.8270463190501038</v>
      </c>
      <c r="H39" s="35">
        <v>3.7271562413759893</v>
      </c>
      <c r="I39" s="35">
        <v>3.6969306912834607</v>
      </c>
      <c r="J39" s="35">
        <v>3.7962472547442934</v>
      </c>
      <c r="K39" s="35">
        <v>3.9141250731958754</v>
      </c>
      <c r="L39" s="35">
        <v>3.7595269856993707</v>
      </c>
      <c r="M39" s="35">
        <v>3.9922802324003843</v>
      </c>
      <c r="N39" s="168">
        <v>4.1114718957481236</v>
      </c>
      <c r="O39" s="168">
        <v>3.8106773681546677</v>
      </c>
      <c r="P39" s="8"/>
      <c r="Q39" s="35">
        <f>SUMPRODUCT(D39:F39,$D$20:$F$20)/SUM($D$20:$F$20)</f>
        <v>3.6013261840777617</v>
      </c>
      <c r="R39" s="35">
        <f>SUMPRODUCT(G39:I39,$G$20:$I$20)/SUM($G$20:$I$20)</f>
        <v>3.7487399995469537</v>
      </c>
      <c r="S39" s="35">
        <f>SUMPRODUCT(J39:L39,$J$20:$L$20)/SUM($J$20:$L$20)</f>
        <v>3.8219003224920134</v>
      </c>
      <c r="T39" s="35">
        <f>SUMPRODUCT(M39:O39,$M$20:$O$20)/SUM($M$20:$O$20)</f>
        <v>3.9631873822672512</v>
      </c>
      <c r="U39" s="35">
        <f>SUMPRODUCT(D39:O39,$D$20:$O$20)/SUM($D$20:$O$20)</f>
        <v>3.7914530666232737</v>
      </c>
    </row>
    <row r="40" spans="1:21" x14ac:dyDescent="0.2">
      <c r="A40" s="34" t="s">
        <v>20</v>
      </c>
      <c r="B40" s="34" t="s">
        <v>21</v>
      </c>
      <c r="C40" s="22" t="s">
        <v>235</v>
      </c>
      <c r="D40" s="35">
        <v>3.4803158087309014</v>
      </c>
      <c r="E40" s="35">
        <v>3.5876373800826684</v>
      </c>
      <c r="F40" s="35">
        <v>3.6300841278852505</v>
      </c>
      <c r="G40" s="35"/>
      <c r="H40" s="35"/>
      <c r="I40" s="35"/>
      <c r="J40" s="35"/>
      <c r="K40" s="35"/>
      <c r="L40" s="35"/>
      <c r="M40" s="35"/>
      <c r="N40" s="168"/>
      <c r="O40" s="168"/>
      <c r="P40" s="8"/>
      <c r="Q40" s="35">
        <f>SUMPRODUCT(D40:F40,$D$20:$F$20)/SUM($D$20:$F$20)</f>
        <v>3.5709989761290108</v>
      </c>
      <c r="R40" s="35">
        <f>SUMPRODUCT(G40:I40,$G$20:$I$20)/SUM($G$20:$I$20)</f>
        <v>0</v>
      </c>
      <c r="S40" s="35">
        <f>SUMPRODUCT(J40:L40,$J$20:$L$20)/SUM($J$20:$L$20)</f>
        <v>0</v>
      </c>
      <c r="T40" s="35">
        <f>SUMPRODUCT(M40:O40,$M$20:$O$20)/SUM($M$20:$O$20)</f>
        <v>0</v>
      </c>
      <c r="U40" s="35">
        <f>SUMPRODUCT(D40:O40,$D$20:$O$20)/SUM($D$20:$O$20)</f>
        <v>0.78738755240199099</v>
      </c>
    </row>
    <row r="41" spans="1:21" x14ac:dyDescent="0.2">
      <c r="A41" s="28" t="s">
        <v>22</v>
      </c>
      <c r="B41" s="8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x14ac:dyDescent="0.2">
      <c r="A42" s="33" t="s">
        <v>246</v>
      </c>
      <c r="B42" s="5" t="s">
        <v>21</v>
      </c>
      <c r="C42" s="6" t="str">
        <f>+C37</f>
        <v>FY 23-24</v>
      </c>
      <c r="D42" s="50"/>
      <c r="E42" s="50"/>
      <c r="F42" s="50"/>
      <c r="G42" s="50"/>
      <c r="H42" s="50"/>
      <c r="I42" s="7">
        <v>41.470407506604055</v>
      </c>
      <c r="J42" s="7">
        <v>43.21712151819488</v>
      </c>
      <c r="K42" s="7">
        <v>41.962752008362159</v>
      </c>
      <c r="L42" s="7">
        <v>41.585717889950409</v>
      </c>
      <c r="M42" s="7">
        <v>41.479885780147733</v>
      </c>
      <c r="N42" s="7">
        <v>40.969270031053817</v>
      </c>
      <c r="O42" s="7">
        <v>40.497196895196723</v>
      </c>
      <c r="P42" s="8"/>
      <c r="Q42" s="7"/>
      <c r="R42" s="7">
        <f>SUMPRODUCT(I42:I42,I15:I15)/SUM(I15:I15)</f>
        <v>41.470407506604055</v>
      </c>
      <c r="S42" s="7">
        <f>SUMPRODUCT(J42:L42,J15:L15)/SUM(J15:L15)</f>
        <v>42.153129984014925</v>
      </c>
      <c r="T42" s="7">
        <f>SUMPRODUCT(M42:O42,M15:O15)/SUM(M15:O15)</f>
        <v>40.951114320506463</v>
      </c>
      <c r="U42" s="7">
        <f>SUMPRODUCT(I42:O42,I15:O15)/SUM(I15:O15)</f>
        <v>41.384405825552726</v>
      </c>
    </row>
    <row r="43" spans="1:21" x14ac:dyDescent="0.2">
      <c r="A43" s="33" t="s">
        <v>246</v>
      </c>
      <c r="B43" s="5" t="s">
        <v>21</v>
      </c>
      <c r="C43" s="6" t="s">
        <v>98</v>
      </c>
      <c r="D43" s="7">
        <v>40.944632839021928</v>
      </c>
      <c r="E43" s="7">
        <v>40.806141211506095</v>
      </c>
      <c r="F43" s="7">
        <v>41.872799610993034</v>
      </c>
      <c r="G43" s="7">
        <v>41.228765846387205</v>
      </c>
      <c r="H43" s="7">
        <v>41.316595049008235</v>
      </c>
      <c r="I43" s="7">
        <v>40.911380752992827</v>
      </c>
      <c r="J43" s="7">
        <v>40.734553688181592</v>
      </c>
      <c r="K43" s="7">
        <v>40.773226333796487</v>
      </c>
      <c r="L43" s="7">
        <v>40.992691928087332</v>
      </c>
      <c r="M43" s="7">
        <v>40.926706213803904</v>
      </c>
      <c r="N43" s="7">
        <v>41.173098489309865</v>
      </c>
      <c r="O43" s="7">
        <v>41.611079830594051</v>
      </c>
      <c r="P43" s="8"/>
      <c r="Q43" s="7">
        <f>SUMPRODUCT(D43:F43,$D$20:$F$20)/SUM($D$20:$F$20)</f>
        <v>41.211508842130911</v>
      </c>
      <c r="R43" s="7">
        <f>SUMPRODUCT(G43:I43,$G$20:$I$20)/SUM($G$20:$I$20)</f>
        <v>41.135799592811907</v>
      </c>
      <c r="S43" s="7">
        <f>SUMPRODUCT(J43:L43,$J$20:$L$20)/SUM($J$20:$L$20)</f>
        <v>40.82567717810047</v>
      </c>
      <c r="T43" s="7">
        <f>SUMPRODUCT(M43:O43,$M$20:$O$20)/SUM($M$20:$O$20)</f>
        <v>41.267317827119591</v>
      </c>
      <c r="U43" s="7">
        <f>SUMPRODUCT(D43:O43,$D$20:$O$20)/SUM($D$20:$O$20)</f>
        <v>41.111658794847649</v>
      </c>
    </row>
    <row r="44" spans="1:21" x14ac:dyDescent="0.2">
      <c r="A44" s="33" t="s">
        <v>246</v>
      </c>
      <c r="B44" s="39" t="s">
        <v>21</v>
      </c>
      <c r="C44" s="22" t="str">
        <f>C39</f>
        <v>FY 25-26</v>
      </c>
      <c r="D44" s="169">
        <v>41.621542519982725</v>
      </c>
      <c r="E44" s="169">
        <v>42.260488911400181</v>
      </c>
      <c r="F44" s="169">
        <v>42.009159020202603</v>
      </c>
      <c r="G44" s="169">
        <v>42.186571549177494</v>
      </c>
      <c r="H44" s="169">
        <v>40.547039618589857</v>
      </c>
      <c r="I44" s="169">
        <v>42.132706928370553</v>
      </c>
      <c r="J44" s="169">
        <v>42.283844929050893</v>
      </c>
      <c r="K44" s="169">
        <v>42.455910071274594</v>
      </c>
      <c r="L44" s="169">
        <v>42.311228214250448</v>
      </c>
      <c r="M44" s="169">
        <v>42.605982651463997</v>
      </c>
      <c r="N44" s="169">
        <v>42.080374732706595</v>
      </c>
      <c r="O44" s="169">
        <v>42.331835992629948</v>
      </c>
      <c r="P44" s="8"/>
      <c r="Q44" s="35">
        <f>SUMPRODUCT(D44:F44,$D$20:$F$20)/SUM($D$20:$F$20)</f>
        <v>41.988884696218207</v>
      </c>
      <c r="R44" s="35">
        <f>SUMPRODUCT(G44:I44,$G$20:$I$20)/SUM($G$20:$I$20)</f>
        <v>41.681465804314662</v>
      </c>
      <c r="S44" s="35">
        <f>SUMPRODUCT(J44:L44,$J$20:$L$20)/SUM($J$20:$L$20)</f>
        <v>42.346080632347039</v>
      </c>
      <c r="T44" s="35">
        <f>SUMPRODUCT(M44:O44,$M$20:$O$20)/SUM($M$20:$O$20)</f>
        <v>42.327778589724637</v>
      </c>
      <c r="U44" s="35">
        <f>SUMPRODUCT(D44:O44,$D$20:$O$20)/SUM($D$20:$O$20)</f>
        <v>42.084742037572362</v>
      </c>
    </row>
    <row r="45" spans="1:21" x14ac:dyDescent="0.2">
      <c r="A45" s="33" t="s">
        <v>246</v>
      </c>
      <c r="B45" s="39" t="s">
        <v>21</v>
      </c>
      <c r="C45" s="22" t="str">
        <f>C40</f>
        <v>FY 26-27</v>
      </c>
      <c r="D45" s="169">
        <v>42.143852669364705</v>
      </c>
      <c r="E45" s="169">
        <v>42.18421910414952</v>
      </c>
      <c r="F45" s="169">
        <v>42.241059659555155</v>
      </c>
      <c r="G45" s="169"/>
      <c r="H45" s="169"/>
      <c r="I45" s="169"/>
      <c r="J45" s="169"/>
      <c r="K45" s="169"/>
      <c r="L45" s="169"/>
      <c r="M45" s="169"/>
      <c r="N45" s="169"/>
      <c r="O45" s="169"/>
      <c r="P45" s="8"/>
      <c r="Q45" s="35">
        <f>SUMPRODUCT(D45:F45,$D$20:$F$20)/SUM($D$20:$F$20)</f>
        <v>42.191953661006494</v>
      </c>
      <c r="R45" s="35">
        <f>SUMPRODUCT(G45:I45,$G$20:$I$20)/SUM($G$20:$I$20)</f>
        <v>0</v>
      </c>
      <c r="S45" s="35">
        <f>SUMPRODUCT(J45:L45,$J$20:$L$20)/SUM($J$20:$L$20)</f>
        <v>0</v>
      </c>
      <c r="T45" s="35">
        <f>SUMPRODUCT(M45:O45,$M$20:$O$20)/SUM($M$20:$O$20)</f>
        <v>0</v>
      </c>
      <c r="U45" s="35">
        <f>SUMPRODUCT(D45:O45,$D$20:$O$20)/SUM($D$20:$O$20)</f>
        <v>9.3031163957964456</v>
      </c>
    </row>
    <row r="46" spans="1:21" x14ac:dyDescent="0.2">
      <c r="A46" s="28" t="s">
        <v>24</v>
      </c>
      <c r="B46" s="8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64"/>
      <c r="O46" s="64"/>
      <c r="P46" s="8"/>
      <c r="Q46" s="8"/>
      <c r="R46" s="8"/>
      <c r="S46" s="8"/>
      <c r="T46" s="8"/>
      <c r="U46" s="8"/>
    </row>
    <row r="47" spans="1:21" x14ac:dyDescent="0.2">
      <c r="A47" s="14" t="s">
        <v>247</v>
      </c>
      <c r="B47" s="5" t="s">
        <v>21</v>
      </c>
      <c r="C47" s="6" t="str">
        <f>+C42</f>
        <v>FY 23-24</v>
      </c>
      <c r="D47" s="50"/>
      <c r="E47" s="50"/>
      <c r="F47" s="50"/>
      <c r="G47" s="50"/>
      <c r="H47" s="50"/>
      <c r="I47" s="7">
        <v>40.43437333596286</v>
      </c>
      <c r="J47" s="7">
        <v>40.867644692501628</v>
      </c>
      <c r="K47" s="7">
        <v>40.643922270818969</v>
      </c>
      <c r="L47" s="7">
        <v>40.318363111878888</v>
      </c>
      <c r="M47" s="7">
        <v>39.26716830841282</v>
      </c>
      <c r="N47" s="7">
        <v>39.564676766617907</v>
      </c>
      <c r="O47" s="7">
        <v>38.765544497294989</v>
      </c>
      <c r="P47" s="8"/>
      <c r="Q47" s="7"/>
      <c r="R47" s="7">
        <f>SUMPRODUCT(I47:I47,I19:I19)/SUM(I19:I19)</f>
        <v>40.43437333596286</v>
      </c>
      <c r="S47" s="7">
        <f>SUMPRODUCT(J47:L47,J19:L19)/SUM(J19:L19)</f>
        <v>40.564446787130194</v>
      </c>
      <c r="T47" s="7">
        <f>SUMPRODUCT(M47:O47,M19:O19)/SUM(M19:O19)</f>
        <v>39.205748372751493</v>
      </c>
      <c r="U47" s="7">
        <f>SUMPRODUCT(I47:O47,I19:O19)/SUM(I19:O19)</f>
        <v>39.840326317676933</v>
      </c>
    </row>
    <row r="48" spans="1:21" x14ac:dyDescent="0.2">
      <c r="A48" s="14" t="s">
        <v>247</v>
      </c>
      <c r="B48" s="5" t="s">
        <v>21</v>
      </c>
      <c r="C48" s="6" t="str">
        <f>+C43</f>
        <v>FY 24-25</v>
      </c>
      <c r="D48" s="7">
        <v>40.847942883973843</v>
      </c>
      <c r="E48" s="7">
        <v>40.025501995187774</v>
      </c>
      <c r="F48" s="7">
        <v>39.894341712720696</v>
      </c>
      <c r="G48" s="7">
        <v>40.573157429105223</v>
      </c>
      <c r="H48" s="7">
        <v>41.884768233351345</v>
      </c>
      <c r="I48" s="7">
        <v>41.488296044176003</v>
      </c>
      <c r="J48" s="7">
        <v>41.524802411432297</v>
      </c>
      <c r="K48" s="7">
        <v>40.87335004067733</v>
      </c>
      <c r="L48" s="7">
        <v>41.066423288433214</v>
      </c>
      <c r="M48" s="7">
        <v>41.398789896172744</v>
      </c>
      <c r="N48" s="7">
        <v>42.155861856091121</v>
      </c>
      <c r="O48" s="7">
        <v>42.291642913302304</v>
      </c>
      <c r="P48" s="8"/>
      <c r="Q48" s="7">
        <f>SUMPRODUCT(D48:F48,$D$24:$F$24)/SUM($D$24:$F$24)</f>
        <v>40.250259938747483</v>
      </c>
      <c r="R48" s="7">
        <f>SUMPRODUCT(G48:I48,$G$24:$I$24)/SUM($G$24:$I$24)</f>
        <v>41.33672493213416</v>
      </c>
      <c r="S48" s="7">
        <f>SUMPRODUCT(J48:L48,$J$24:$L$24)/SUM($J$24:$L$24)</f>
        <v>41.138435343821982</v>
      </c>
      <c r="T48" s="7">
        <f>SUMPRODUCT(M48:O48,$M$24:$O$24)/SUM($M$24:$O$24)</f>
        <v>41.951523853977392</v>
      </c>
      <c r="U48" s="7">
        <f>SUMPRODUCT(D48:O48,$D$24:$O$24)/SUM($D$24:$O$24)</f>
        <v>41.257026179046669</v>
      </c>
    </row>
    <row r="49" spans="1:21" x14ac:dyDescent="0.2">
      <c r="A49" s="14" t="s">
        <v>247</v>
      </c>
      <c r="B49" s="21" t="s">
        <v>21</v>
      </c>
      <c r="C49" s="22" t="str">
        <f>C44</f>
        <v>FY 25-26</v>
      </c>
      <c r="D49" s="35">
        <v>42.824598942704249</v>
      </c>
      <c r="E49" s="35">
        <v>43.041082494830007</v>
      </c>
      <c r="F49" s="35">
        <v>42.376003564958353</v>
      </c>
      <c r="G49" s="35">
        <v>42.410684185013857</v>
      </c>
      <c r="H49" s="35">
        <v>42.184762968611622</v>
      </c>
      <c r="I49" s="35">
        <v>43.897980354424476</v>
      </c>
      <c r="J49" s="35">
        <v>45.014179939409885</v>
      </c>
      <c r="K49" s="35">
        <v>44.261071907792093</v>
      </c>
      <c r="L49" s="35">
        <v>43.952212731528981</v>
      </c>
      <c r="M49" s="35">
        <v>43.708265345382337</v>
      </c>
      <c r="N49" s="35">
        <v>43.893857404361192</v>
      </c>
      <c r="O49" s="35">
        <v>44.835246830267948</v>
      </c>
      <c r="P49" s="8"/>
      <c r="Q49" s="35">
        <f>SUMPRODUCT(D49:F49,$D$24:$F$24)/SUM($D$24:$F$24)</f>
        <v>42.728966618397301</v>
      </c>
      <c r="R49" s="35">
        <f>SUMPRODUCT(G49:I49,$G$24:$I$24)/SUM($G$24:$I$24)</f>
        <v>42.850729555295025</v>
      </c>
      <c r="S49" s="35">
        <f>SUMPRODUCT(J49:L49,$J$24:$L$24)/SUM($J$24:$L$24)</f>
        <v>44.384925768381414</v>
      </c>
      <c r="T49" s="35">
        <f>SUMPRODUCT(M49:O49,$M$24:$O$24)/SUM($M$24:$O$24)</f>
        <v>44.153337264520481</v>
      </c>
      <c r="U49" s="35">
        <f>SUMPRODUCT(D49:O49,$D$24:$O$24)/SUM($D$24:$O$24)</f>
        <v>43.650276231812377</v>
      </c>
    </row>
    <row r="50" spans="1:21" x14ac:dyDescent="0.2">
      <c r="A50" s="14" t="s">
        <v>247</v>
      </c>
      <c r="B50" s="21" t="s">
        <v>21</v>
      </c>
      <c r="C50" s="22" t="str">
        <f>C45</f>
        <v>FY 26-27</v>
      </c>
      <c r="D50" s="35">
        <v>42.619845607323896</v>
      </c>
      <c r="E50" s="35">
        <v>42.606961351857478</v>
      </c>
      <c r="F50" s="35">
        <v>43.82627589273249</v>
      </c>
      <c r="G50" s="35"/>
      <c r="H50" s="35"/>
      <c r="I50" s="35"/>
      <c r="J50" s="35"/>
      <c r="K50" s="35"/>
      <c r="L50" s="35"/>
      <c r="M50" s="35"/>
      <c r="N50" s="35"/>
      <c r="O50" s="35"/>
      <c r="P50" s="8"/>
      <c r="Q50" s="35">
        <f>SUMPRODUCT(D50:F50,$D$24:$F$24)/SUM($D$24:$F$24)</f>
        <v>43.052091889414683</v>
      </c>
      <c r="R50" s="35">
        <f>SUMPRODUCT(G50:I50,$G$24:$I$24)/SUM($G$24:$I$24)</f>
        <v>0</v>
      </c>
      <c r="S50" s="35">
        <f>SUMPRODUCT(J50:L50,$J$24:$L$24)/SUM($J$24:$L$24)</f>
        <v>0</v>
      </c>
      <c r="T50" s="35">
        <f>SUMPRODUCT(M50:O50,$M$24:$O$24)/SUM($M$24:$O$24)</f>
        <v>0</v>
      </c>
      <c r="U50" s="35">
        <f>SUMPRODUCT(D50:O50,$D$24:$O$24)/SUM($D$24:$O$24)</f>
        <v>8.3579404589173993</v>
      </c>
    </row>
  </sheetData>
  <mergeCells count="1">
    <mergeCell ref="Q2:T2"/>
  </mergeCells>
  <conditionalFormatting sqref="P4:P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{80D042D7-3376-49D6-82CA-A550BEF7AB4C}</x14:id>
        </ext>
      </extLst>
    </cfRule>
  </conditionalFormatting>
  <conditionalFormatting sqref="P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{3CDF8B61-DD43-41FF-A222-9D859449E5D5}</x14:id>
        </ext>
      </extLst>
    </cfRule>
  </conditionalFormatting>
  <conditionalFormatting sqref="P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{C8DD0988-2C5D-4CD4-9737-8A8DFFEB01A2}</x14:id>
        </ext>
      </extLst>
    </cfRule>
  </conditionalFormatting>
  <conditionalFormatting sqref="P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{95B73E63-7238-4DDA-AA1B-825FC35583A9}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042D7-3376-49D6-82CA-A550BEF7A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P4:P5</xm:sqref>
        </x14:conditionalFormatting>
        <x14:conditionalFormatting xmlns:xm="http://schemas.microsoft.com/office/excel/2006/main">
          <x14:cfRule type="dataBar" id="{3CDF8B61-DD43-41FF-A222-9D859449E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</xm:sqref>
        </x14:conditionalFormatting>
        <x14:conditionalFormatting xmlns:xm="http://schemas.microsoft.com/office/excel/2006/main">
          <x14:cfRule type="dataBar" id="{C8DD0988-2C5D-4CD4-9737-8A8DFFEB01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</xm:sqref>
        </x14:conditionalFormatting>
        <x14:conditionalFormatting xmlns:xm="http://schemas.microsoft.com/office/excel/2006/main">
          <x14:cfRule type="dataBar" id="{95B73E63-7238-4DDA-AA1B-825FC3558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4CC6-DBE3-412F-A923-E05FD0330B02}">
  <dimension ref="B1:S49"/>
  <sheetViews>
    <sheetView zoomScale="80" zoomScaleNormal="80" workbookViewId="0">
      <selection activeCell="B4" sqref="B4"/>
    </sheetView>
  </sheetViews>
  <sheetFormatPr defaultRowHeight="15" x14ac:dyDescent="0.25"/>
  <cols>
    <col min="3" max="3" width="16.140625" customWidth="1"/>
    <col min="4" max="8" width="12.85546875" customWidth="1"/>
    <col min="9" max="9" width="16.5703125" customWidth="1"/>
    <col min="10" max="10" width="20.42578125" customWidth="1"/>
    <col min="11" max="11" width="13.28515625" customWidth="1"/>
    <col min="12" max="12" width="13.7109375" customWidth="1"/>
  </cols>
  <sheetData>
    <row r="1" spans="3:14" x14ac:dyDescent="0.25">
      <c r="D1">
        <v>1000</v>
      </c>
    </row>
    <row r="3" spans="3:14" ht="15.75" x14ac:dyDescent="0.25">
      <c r="C3" s="240" t="s">
        <v>119</v>
      </c>
      <c r="D3" s="241"/>
      <c r="E3" s="241"/>
      <c r="F3" s="241"/>
      <c r="G3" s="241"/>
      <c r="H3" s="241"/>
      <c r="I3" s="241"/>
      <c r="J3" s="241"/>
      <c r="K3" s="242"/>
      <c r="L3" t="s">
        <v>185</v>
      </c>
    </row>
    <row r="4" spans="3:14" x14ac:dyDescent="0.25">
      <c r="C4" s="243" t="s">
        <v>116</v>
      </c>
      <c r="D4" s="243" t="s">
        <v>51</v>
      </c>
      <c r="E4" s="243" t="s">
        <v>52</v>
      </c>
      <c r="F4" s="243" t="s">
        <v>83</v>
      </c>
      <c r="G4" s="111" t="s">
        <v>81</v>
      </c>
      <c r="H4" s="112" t="s">
        <v>120</v>
      </c>
      <c r="I4" s="112" t="s">
        <v>121</v>
      </c>
      <c r="J4" s="112" t="s">
        <v>121</v>
      </c>
      <c r="K4" s="243" t="s">
        <v>122</v>
      </c>
    </row>
    <row r="5" spans="3:14" ht="15.75" thickBot="1" x14ac:dyDescent="0.3">
      <c r="C5" s="244"/>
      <c r="D5" s="245"/>
      <c r="E5" s="244"/>
      <c r="F5" s="244"/>
      <c r="G5" s="111" t="s">
        <v>53</v>
      </c>
      <c r="H5" s="113" t="s">
        <v>123</v>
      </c>
      <c r="I5" s="113" t="s">
        <v>124</v>
      </c>
      <c r="J5" s="113" t="s">
        <v>125</v>
      </c>
      <c r="K5" s="244"/>
    </row>
    <row r="6" spans="3:14" ht="15.75" x14ac:dyDescent="0.25">
      <c r="C6" s="114">
        <v>0</v>
      </c>
      <c r="D6" s="115" t="s">
        <v>34</v>
      </c>
      <c r="E6" s="114">
        <v>11.739640247252746</v>
      </c>
      <c r="F6" s="114">
        <v>23.293406593406594</v>
      </c>
      <c r="G6" s="114" cm="1">
        <f t="array" ref="G6:G10">TRANSPOSE(JHARKHAND!Q20:U20)/1000</f>
        <v>9.2857464933076859</v>
      </c>
      <c r="H6" s="114" cm="1">
        <f t="array" ref="H6:H10">TRANSPOSE(JHARKHAND!Q23:U23)/1000</f>
        <v>0.41284478021977966</v>
      </c>
      <c r="I6" s="114" cm="1">
        <f t="array" ref="I6:J10">TRANSPOSE(JHARKHAND!Q21:U22)/1000</f>
        <v>3.7759478021978019</v>
      </c>
      <c r="J6" s="114">
        <v>11.640654145604397</v>
      </c>
      <c r="K6" s="114">
        <f>SUM(G6:J6)</f>
        <v>25.115193221329665</v>
      </c>
    </row>
    <row r="7" spans="3:14" ht="15.75" x14ac:dyDescent="0.25">
      <c r="C7" s="114">
        <v>1.9788663604761911</v>
      </c>
      <c r="D7" s="116" t="s">
        <v>35</v>
      </c>
      <c r="E7" s="114">
        <v>16.613098233695656</v>
      </c>
      <c r="F7" s="114">
        <v>24.490217391304348</v>
      </c>
      <c r="G7" s="114">
        <v>11.231449494374992</v>
      </c>
      <c r="H7" s="114">
        <v>1.0371514945652174</v>
      </c>
      <c r="I7" s="114">
        <v>8.3527547554347823</v>
      </c>
      <c r="J7" s="114">
        <v>8.304876470108697</v>
      </c>
      <c r="K7" s="114">
        <f t="shared" ref="K7:K10" si="0">SUM(G7:J7)</f>
        <v>28.92623221448369</v>
      </c>
    </row>
    <row r="8" spans="3:14" ht="15.75" x14ac:dyDescent="0.25">
      <c r="C8" s="114">
        <v>3.6040000000000001</v>
      </c>
      <c r="D8" s="116" t="s">
        <v>36</v>
      </c>
      <c r="E8" s="114">
        <v>16.024131793478261</v>
      </c>
      <c r="F8" s="114">
        <v>30.166304347826088</v>
      </c>
      <c r="G8" s="114">
        <v>10.312022020173925</v>
      </c>
      <c r="H8" s="114">
        <v>-0.34798505434782601</v>
      </c>
      <c r="I8" s="114">
        <v>13.183504076086955</v>
      </c>
      <c r="J8" s="114">
        <v>12.949175114130433</v>
      </c>
      <c r="K8" s="114">
        <f t="shared" si="0"/>
        <v>36.096716156043485</v>
      </c>
    </row>
    <row r="9" spans="3:14" ht="15.75" x14ac:dyDescent="0.25">
      <c r="C9" s="114">
        <v>6.4859999999999998</v>
      </c>
      <c r="D9" s="116" t="s">
        <v>59</v>
      </c>
      <c r="E9" s="114">
        <v>18.172649722222225</v>
      </c>
      <c r="F9" s="114">
        <v>33.5</v>
      </c>
      <c r="G9" s="114">
        <v>11.240368755361095</v>
      </c>
      <c r="H9" s="114">
        <v>3.0235986111111108</v>
      </c>
      <c r="I9" s="114">
        <v>18.197472222222224</v>
      </c>
      <c r="J9" s="114">
        <v>6.844580249999999</v>
      </c>
      <c r="K9" s="114">
        <f t="shared" si="0"/>
        <v>39.306019838694432</v>
      </c>
    </row>
    <row r="10" spans="3:14" ht="15.75" x14ac:dyDescent="0.25">
      <c r="C10" s="117">
        <v>4.7300000000000004</v>
      </c>
      <c r="D10" s="118" t="s">
        <v>98</v>
      </c>
      <c r="E10" s="117">
        <v>15.634166849315067</v>
      </c>
      <c r="F10" s="117">
        <v>27.844109589041093</v>
      </c>
      <c r="G10" s="117">
        <v>10.516809584142463</v>
      </c>
      <c r="H10" s="117">
        <v>1.0221809931506849</v>
      </c>
      <c r="I10" s="117">
        <v>10.856765924657534</v>
      </c>
      <c r="J10" s="117">
        <v>9.9470808095890426</v>
      </c>
      <c r="K10" s="117">
        <f t="shared" si="0"/>
        <v>32.342837311539725</v>
      </c>
    </row>
    <row r="13" spans="3:14" ht="15.75" thickBot="1" x14ac:dyDescent="0.3">
      <c r="C13" s="249" t="s">
        <v>126</v>
      </c>
      <c r="D13" s="250"/>
      <c r="E13" s="251"/>
    </row>
    <row r="14" spans="3:14" x14ac:dyDescent="0.25">
      <c r="C14" s="96" t="s">
        <v>72</v>
      </c>
      <c r="D14" s="97" t="s">
        <v>93</v>
      </c>
      <c r="E14" s="97" t="s">
        <v>94</v>
      </c>
      <c r="F14" t="s">
        <v>185</v>
      </c>
    </row>
    <row r="15" spans="3:14" ht="28.5" x14ac:dyDescent="0.25">
      <c r="C15" s="119">
        <v>0</v>
      </c>
      <c r="D15" s="119" t="s">
        <v>127</v>
      </c>
      <c r="E15" s="119" t="s">
        <v>184</v>
      </c>
    </row>
    <row r="16" spans="3:14" x14ac:dyDescent="0.25">
      <c r="L16" s="252" t="s">
        <v>128</v>
      </c>
      <c r="M16" s="252"/>
      <c r="N16" s="252"/>
    </row>
    <row r="17" spans="3:14" x14ac:dyDescent="0.25">
      <c r="C17" t="s">
        <v>100</v>
      </c>
      <c r="L17" s="120" t="s">
        <v>84</v>
      </c>
      <c r="M17" s="121" t="s">
        <v>75</v>
      </c>
      <c r="N17" s="121" t="s">
        <v>100</v>
      </c>
    </row>
    <row r="18" spans="3:14" ht="30" x14ac:dyDescent="0.25">
      <c r="C18" s="122" t="s">
        <v>129</v>
      </c>
      <c r="D18" s="122" t="s">
        <v>34</v>
      </c>
      <c r="E18" s="122" t="s">
        <v>35</v>
      </c>
      <c r="F18" s="122" t="s">
        <v>36</v>
      </c>
      <c r="G18" s="122" t="s">
        <v>76</v>
      </c>
      <c r="H18" s="122" t="s">
        <v>58</v>
      </c>
      <c r="I18" t="s">
        <v>185</v>
      </c>
      <c r="L18" s="4" t="s">
        <v>17</v>
      </c>
      <c r="M18" s="3">
        <v>4680.9606243832677</v>
      </c>
      <c r="N18" s="3">
        <f>JHARKHAND!U20</f>
        <v>10516.809584142462</v>
      </c>
    </row>
    <row r="19" spans="3:14" ht="28.5" x14ac:dyDescent="0.25">
      <c r="C19" s="106" t="s">
        <v>130</v>
      </c>
      <c r="D19" s="107">
        <f>JHARKHAND!Q20</f>
        <v>9285.7464933076863</v>
      </c>
      <c r="E19" s="107">
        <f>JHARKHAND!R20</f>
        <v>11231.449494374992</v>
      </c>
      <c r="F19" s="107">
        <f>JHARKHAND!S20</f>
        <v>10312.022020173925</v>
      </c>
      <c r="G19" s="107">
        <f>JHARKHAND!T20</f>
        <v>11240.368755361094</v>
      </c>
      <c r="H19" s="107">
        <f>JHARKHAND!U20</f>
        <v>10516.809584142462</v>
      </c>
      <c r="L19" s="4" t="s">
        <v>39</v>
      </c>
      <c r="M19" s="3">
        <v>14142.599178403756</v>
      </c>
      <c r="N19" s="3">
        <f>JHARKHAND!U21</f>
        <v>10856.765924657533</v>
      </c>
    </row>
    <row r="20" spans="3:14" x14ac:dyDescent="0.25">
      <c r="C20" s="106" t="s">
        <v>131</v>
      </c>
      <c r="D20" s="107">
        <f>JHARKHAND!Q5</f>
        <v>51</v>
      </c>
      <c r="E20" s="107">
        <f>JHARKHAND!R5</f>
        <v>65</v>
      </c>
      <c r="F20" s="107">
        <f>JHARKHAND!S5</f>
        <v>69</v>
      </c>
      <c r="G20" s="107">
        <f>JHARKHAND!T5</f>
        <v>103</v>
      </c>
      <c r="H20" s="107">
        <f>JHARKHAND!U5</f>
        <v>103</v>
      </c>
      <c r="L20" s="4" t="s">
        <v>18</v>
      </c>
      <c r="M20" s="3">
        <v>1519</v>
      </c>
      <c r="N20" s="3">
        <f>JHARKHAND!U22</f>
        <v>9947.0808095890425</v>
      </c>
    </row>
    <row r="21" spans="3:14" x14ac:dyDescent="0.25">
      <c r="C21" s="106" t="s">
        <v>132</v>
      </c>
      <c r="D21" s="107">
        <f>JHARKHAND!Q10</f>
        <v>541.34065934065939</v>
      </c>
      <c r="E21" s="107">
        <f>JHARKHAND!R10</f>
        <v>787.054347826087</v>
      </c>
      <c r="F21" s="107">
        <f>JHARKHAND!S10</f>
        <v>1069.4130434782608</v>
      </c>
      <c r="G21" s="107">
        <f>JHARKHAND!T10</f>
        <v>1090.0222222222221</v>
      </c>
      <c r="H21" s="107">
        <f>JHARKHAND!U10</f>
        <v>871.66849315068498</v>
      </c>
      <c r="L21" s="4" t="s">
        <v>33</v>
      </c>
      <c r="M21" s="3">
        <v>38.825117370892016</v>
      </c>
      <c r="N21" s="3">
        <f>JHARKHAND!U23</f>
        <v>1022.1809931506849</v>
      </c>
    </row>
    <row r="22" spans="3:14" x14ac:dyDescent="0.25">
      <c r="C22" s="106" t="s">
        <v>19</v>
      </c>
      <c r="D22" s="107">
        <f>D19/D20</f>
        <v>182.0734606530919</v>
      </c>
      <c r="E22" s="107">
        <f>E19/E20</f>
        <v>172.79153068269218</v>
      </c>
      <c r="F22" s="107">
        <f t="shared" ref="F22:H22" si="1">F19/F20</f>
        <v>149.44959449527428</v>
      </c>
      <c r="G22" s="107">
        <f t="shared" si="1"/>
        <v>109.12979374136985</v>
      </c>
      <c r="H22" s="107">
        <f t="shared" si="1"/>
        <v>102.10494741885886</v>
      </c>
      <c r="L22" s="21" t="s">
        <v>41</v>
      </c>
      <c r="M22" s="23">
        <v>20381.384920157914</v>
      </c>
      <c r="N22" s="23">
        <f>JHARKHAND!U24</f>
        <v>32342.837311539719</v>
      </c>
    </row>
    <row r="23" spans="3:14" x14ac:dyDescent="0.25">
      <c r="L23" s="123" t="s">
        <v>133</v>
      </c>
      <c r="M23" s="124">
        <f>(M19+M20)/M22</f>
        <v>0.76842664224028656</v>
      </c>
      <c r="N23" s="124">
        <f>(N19+N20)/N22</f>
        <v>0.64322887116721494</v>
      </c>
    </row>
    <row r="24" spans="3:14" x14ac:dyDescent="0.25">
      <c r="M24" s="124"/>
      <c r="N24" s="124"/>
    </row>
    <row r="25" spans="3:14" ht="15.75" thickBot="1" x14ac:dyDescent="0.3">
      <c r="C25" s="125"/>
    </row>
    <row r="26" spans="3:14" ht="16.5" thickBot="1" x14ac:dyDescent="0.3">
      <c r="C26" s="253" t="s">
        <v>134</v>
      </c>
      <c r="D26" s="253" t="s">
        <v>135</v>
      </c>
      <c r="E26" s="253" t="s">
        <v>136</v>
      </c>
      <c r="F26" s="255" t="s">
        <v>137</v>
      </c>
      <c r="G26" s="126" t="s">
        <v>49</v>
      </c>
      <c r="H26" s="256" t="s">
        <v>136</v>
      </c>
      <c r="I26" s="256"/>
      <c r="J26" s="256"/>
      <c r="K26" s="257" t="s">
        <v>52</v>
      </c>
      <c r="L26" s="259" t="s">
        <v>138</v>
      </c>
    </row>
    <row r="27" spans="3:14" ht="16.5" thickBot="1" x14ac:dyDescent="0.3">
      <c r="C27" s="254"/>
      <c r="D27" s="254"/>
      <c r="E27" s="254"/>
      <c r="F27" s="254"/>
      <c r="G27" s="127">
        <v>45627</v>
      </c>
      <c r="H27" s="128">
        <v>45658</v>
      </c>
      <c r="I27" s="128">
        <v>45689</v>
      </c>
      <c r="J27" s="129">
        <v>45717</v>
      </c>
      <c r="K27" s="258"/>
      <c r="L27" s="260"/>
    </row>
    <row r="28" spans="3:14" ht="16.5" thickBot="1" x14ac:dyDescent="0.3">
      <c r="C28" s="130" t="s">
        <v>139</v>
      </c>
      <c r="D28" s="131">
        <v>116</v>
      </c>
      <c r="E28" s="132">
        <v>86</v>
      </c>
      <c r="F28" s="132">
        <v>46</v>
      </c>
      <c r="G28" s="132">
        <v>156</v>
      </c>
      <c r="H28" s="132">
        <v>20</v>
      </c>
      <c r="I28" s="132">
        <v>29</v>
      </c>
      <c r="J28" s="132">
        <v>234</v>
      </c>
      <c r="K28" s="133">
        <v>205</v>
      </c>
      <c r="L28" s="52"/>
    </row>
    <row r="29" spans="3:14" ht="16.5" thickBot="1" x14ac:dyDescent="0.3">
      <c r="C29" s="130" t="s">
        <v>140</v>
      </c>
      <c r="D29" s="131">
        <v>96</v>
      </c>
      <c r="E29" s="132">
        <v>85</v>
      </c>
      <c r="F29" s="132">
        <v>44</v>
      </c>
      <c r="G29" s="132">
        <v>137</v>
      </c>
      <c r="H29" s="132">
        <v>10</v>
      </c>
      <c r="I29" s="132">
        <v>8</v>
      </c>
      <c r="J29" s="132">
        <v>132</v>
      </c>
      <c r="K29" s="134">
        <v>155</v>
      </c>
      <c r="L29" s="52"/>
    </row>
    <row r="30" spans="3:14" ht="16.5" thickBot="1" x14ac:dyDescent="0.3">
      <c r="C30" s="135" t="s">
        <v>58</v>
      </c>
      <c r="D30" s="135">
        <v>505</v>
      </c>
      <c r="E30" s="135">
        <v>295</v>
      </c>
      <c r="F30" s="135">
        <v>149</v>
      </c>
      <c r="G30" s="135">
        <v>651</v>
      </c>
      <c r="H30" s="135">
        <v>47</v>
      </c>
      <c r="I30" s="135">
        <v>38</v>
      </c>
      <c r="J30" s="135">
        <v>762</v>
      </c>
      <c r="K30" s="135">
        <v>762</v>
      </c>
      <c r="L30" s="136">
        <v>762</v>
      </c>
    </row>
    <row r="35" spans="2:19" ht="15.75" thickBot="1" x14ac:dyDescent="0.3">
      <c r="C35">
        <v>30</v>
      </c>
      <c r="D35">
        <v>31</v>
      </c>
      <c r="E35">
        <v>30</v>
      </c>
      <c r="F35">
        <v>31</v>
      </c>
      <c r="G35">
        <v>31</v>
      </c>
      <c r="H35">
        <v>30</v>
      </c>
      <c r="I35">
        <v>31</v>
      </c>
      <c r="J35">
        <v>30</v>
      </c>
      <c r="K35">
        <v>31</v>
      </c>
      <c r="L35">
        <v>31</v>
      </c>
      <c r="M35">
        <v>28</v>
      </c>
      <c r="N35">
        <v>31</v>
      </c>
      <c r="O35">
        <f>SUM(C35:N35)</f>
        <v>365</v>
      </c>
    </row>
    <row r="36" spans="2:19" x14ac:dyDescent="0.25">
      <c r="C36" s="246" t="s">
        <v>141</v>
      </c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8"/>
    </row>
    <row r="37" spans="2:19" ht="15.75" thickBot="1" x14ac:dyDescent="0.3">
      <c r="C37" s="137" t="s">
        <v>142</v>
      </c>
      <c r="D37" s="138" t="s">
        <v>4</v>
      </c>
      <c r="E37" s="138" t="s">
        <v>143</v>
      </c>
      <c r="F37" s="138" t="s">
        <v>144</v>
      </c>
      <c r="G37" s="138" t="s">
        <v>27</v>
      </c>
      <c r="H37" s="138" t="s">
        <v>44</v>
      </c>
      <c r="I37" s="138" t="s">
        <v>28</v>
      </c>
      <c r="J37" s="138" t="s">
        <v>145</v>
      </c>
      <c r="K37" s="138" t="s">
        <v>30</v>
      </c>
      <c r="L37" s="138" t="s">
        <v>45</v>
      </c>
      <c r="M37" s="138" t="s">
        <v>31</v>
      </c>
      <c r="N37" s="138" t="s">
        <v>46</v>
      </c>
      <c r="O37" s="139" t="s">
        <v>34</v>
      </c>
      <c r="P37" s="139" t="s">
        <v>35</v>
      </c>
      <c r="Q37" s="139" t="s">
        <v>36</v>
      </c>
      <c r="R37" s="139" t="s">
        <v>37</v>
      </c>
      <c r="S37" s="139" t="s">
        <v>40</v>
      </c>
    </row>
    <row r="38" spans="2:19" ht="15.75" thickBot="1" x14ac:dyDescent="0.3">
      <c r="B38" s="140" t="s">
        <v>100</v>
      </c>
      <c r="C38" s="137">
        <v>24900</v>
      </c>
      <c r="D38" s="138">
        <v>22700</v>
      </c>
      <c r="E38" s="138">
        <v>22300</v>
      </c>
      <c r="F38" s="138">
        <v>24100</v>
      </c>
      <c r="G38" s="138">
        <v>24000</v>
      </c>
      <c r="H38" s="138">
        <v>25400</v>
      </c>
      <c r="I38" s="138">
        <v>27800</v>
      </c>
      <c r="J38" s="138">
        <v>30200</v>
      </c>
      <c r="K38" s="138">
        <v>32500</v>
      </c>
      <c r="L38" s="138">
        <v>33000</v>
      </c>
      <c r="M38" s="138">
        <v>33500</v>
      </c>
      <c r="N38" s="138">
        <v>34000</v>
      </c>
      <c r="O38">
        <f>SUMPRODUCT(C38:E38,C35:E35)/SUM(C35:E35)</f>
        <v>23293.406593406595</v>
      </c>
      <c r="P38">
        <f>SUMPRODUCT(F38:H38,F35:H35)/SUM(F35:H35)</f>
        <v>24490.217391304348</v>
      </c>
      <c r="Q38">
        <f>SUMPRODUCT(I38:K38,I35:K35)/SUM(I35:K35)</f>
        <v>30166.304347826088</v>
      </c>
      <c r="R38">
        <f>SUMPRODUCT(L38:N38,L35:N35)/SUM(L35:N35)</f>
        <v>33500</v>
      </c>
      <c r="S38">
        <f>SUMPRODUCT(C38:N38,C35:N35)/O35</f>
        <v>27844.109589041094</v>
      </c>
    </row>
    <row r="39" spans="2:19" ht="15.75" thickBot="1" x14ac:dyDescent="0.3">
      <c r="B39" s="140" t="s">
        <v>146</v>
      </c>
      <c r="C39" s="141">
        <v>37000</v>
      </c>
      <c r="D39" s="142">
        <v>35500</v>
      </c>
      <c r="E39" s="142">
        <v>37275</v>
      </c>
      <c r="F39" s="142">
        <v>39139</v>
      </c>
      <c r="G39" s="142">
        <v>40000</v>
      </c>
      <c r="H39" s="142">
        <v>40500</v>
      </c>
      <c r="I39" s="142">
        <v>42000</v>
      </c>
      <c r="J39" s="142">
        <v>43500</v>
      </c>
      <c r="K39" s="142">
        <v>43500</v>
      </c>
      <c r="L39" s="142">
        <v>44000</v>
      </c>
      <c r="M39" s="142">
        <v>44500</v>
      </c>
      <c r="N39" s="142">
        <v>45000</v>
      </c>
      <c r="O39">
        <f>SUMPRODUCT(C39:E39,C35:E35)/SUM(C35:E35)</f>
        <v>36579.670329670327</v>
      </c>
      <c r="P39">
        <f>SUMPRODUCT(F39:H39,F35:H35)/SUM(F35:H35)</f>
        <v>39872.92391304348</v>
      </c>
      <c r="Q39">
        <f>SUMPRODUCT(I39:K39,I35:K35)/SUM(I35:K35)</f>
        <v>42994.565217391304</v>
      </c>
      <c r="R39">
        <f>SUMPRODUCT(L39:N39,L35:N35)/SUM(L35:N35)</f>
        <v>44500</v>
      </c>
      <c r="S39">
        <f>SUMPRODUCT(C39:N39,C35:N35)/O35</f>
        <v>40979.613698630135</v>
      </c>
    </row>
    <row r="45" spans="2:19" ht="30" x14ac:dyDescent="0.25">
      <c r="C45" s="100" t="s">
        <v>147</v>
      </c>
      <c r="D45" s="143" t="s">
        <v>148</v>
      </c>
      <c r="E45" s="143" t="s">
        <v>149</v>
      </c>
      <c r="F45" s="143" t="s">
        <v>150</v>
      </c>
      <c r="G45" s="143" t="s">
        <v>151</v>
      </c>
    </row>
    <row r="46" spans="2:19" x14ac:dyDescent="0.25">
      <c r="C46" s="82" t="s">
        <v>32</v>
      </c>
      <c r="D46" s="82">
        <v>0</v>
      </c>
      <c r="E46" s="82">
        <v>0</v>
      </c>
      <c r="F46" s="82">
        <v>0</v>
      </c>
      <c r="G46" s="82">
        <v>0</v>
      </c>
    </row>
    <row r="47" spans="2:19" x14ac:dyDescent="0.25">
      <c r="C47" s="82" t="s">
        <v>38</v>
      </c>
      <c r="D47" s="51">
        <v>4680.9606243832677</v>
      </c>
      <c r="E47" s="51">
        <v>29.577464788732396</v>
      </c>
      <c r="F47" s="51">
        <v>348.95774647887322</v>
      </c>
      <c r="G47" s="51">
        <f>D47/E47</f>
        <v>158.26104968152953</v>
      </c>
    </row>
    <row r="48" spans="2:19" x14ac:dyDescent="0.25">
      <c r="C48" s="82" t="s">
        <v>98</v>
      </c>
      <c r="D48" s="51">
        <v>12780.972670961937</v>
      </c>
      <c r="E48" s="51">
        <v>64.87158469945355</v>
      </c>
      <c r="F48" s="51">
        <v>926.08196721311481</v>
      </c>
      <c r="G48" s="51">
        <f>D48/E48</f>
        <v>197.01958461744806</v>
      </c>
    </row>
    <row r="49" spans="3:7" x14ac:dyDescent="0.25">
      <c r="C49" s="82" t="s">
        <v>152</v>
      </c>
      <c r="D49" s="60">
        <f>D48/D47</f>
        <v>2.7304166167058654</v>
      </c>
      <c r="E49" s="60">
        <f>E48/E47</f>
        <v>2.1932773874577149</v>
      </c>
      <c r="F49" s="60">
        <f>F48/F47</f>
        <v>2.6538512944838213</v>
      </c>
      <c r="G49" s="60">
        <f>G48/G47</f>
        <v>1.2449025519160448</v>
      </c>
    </row>
  </sheetData>
  <mergeCells count="16">
    <mergeCell ref="C36:N36"/>
    <mergeCell ref="C13:E13"/>
    <mergeCell ref="L16:N16"/>
    <mergeCell ref="C26:C27"/>
    <mergeCell ref="D26:D27"/>
    <mergeCell ref="E26:E27"/>
    <mergeCell ref="F26:F27"/>
    <mergeCell ref="H26:J26"/>
    <mergeCell ref="K26:K27"/>
    <mergeCell ref="L26:L27"/>
    <mergeCell ref="C3:K3"/>
    <mergeCell ref="C4:C5"/>
    <mergeCell ref="D4:D5"/>
    <mergeCell ref="E4:E5"/>
    <mergeCell ref="F4:F5"/>
    <mergeCell ref="K4:K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23D8-CBBF-40A1-8EBC-8563336769F1}">
  <dimension ref="C3:K41"/>
  <sheetViews>
    <sheetView topLeftCell="A2" zoomScale="90" zoomScaleNormal="90" workbookViewId="0">
      <selection activeCell="B4" sqref="B4"/>
    </sheetView>
  </sheetViews>
  <sheetFormatPr defaultRowHeight="15" x14ac:dyDescent="0.25"/>
  <cols>
    <col min="3" max="3" width="34.7109375" customWidth="1"/>
    <col min="4" max="10" width="11.42578125" customWidth="1"/>
  </cols>
  <sheetData>
    <row r="3" spans="3:11" x14ac:dyDescent="0.25">
      <c r="C3" s="261" t="s">
        <v>84</v>
      </c>
      <c r="D3" s="261" t="s">
        <v>61</v>
      </c>
      <c r="E3" s="261" t="s">
        <v>52</v>
      </c>
      <c r="F3" s="263" t="s">
        <v>94</v>
      </c>
      <c r="G3" s="264"/>
      <c r="H3" s="266" t="s">
        <v>187</v>
      </c>
      <c r="I3" s="267"/>
      <c r="J3" s="261" t="s">
        <v>153</v>
      </c>
    </row>
    <row r="4" spans="3:11" x14ac:dyDescent="0.25">
      <c r="C4" s="265"/>
      <c r="D4" s="262"/>
      <c r="E4" s="262"/>
      <c r="F4" s="263" t="s">
        <v>186</v>
      </c>
      <c r="G4" s="264"/>
      <c r="H4" s="268"/>
      <c r="I4" s="269"/>
      <c r="J4" s="262"/>
    </row>
    <row r="5" spans="3:11" x14ac:dyDescent="0.25">
      <c r="C5" s="262"/>
      <c r="D5" s="144" t="s">
        <v>93</v>
      </c>
      <c r="E5" s="144" t="s">
        <v>94</v>
      </c>
      <c r="F5" s="144" t="s">
        <v>52</v>
      </c>
      <c r="G5" s="144" t="s">
        <v>61</v>
      </c>
      <c r="H5" s="144" t="s">
        <v>52</v>
      </c>
      <c r="I5" s="144" t="s">
        <v>61</v>
      </c>
      <c r="J5" s="144" t="s">
        <v>107</v>
      </c>
      <c r="K5" s="161" t="s">
        <v>185</v>
      </c>
    </row>
    <row r="6" spans="3:11" x14ac:dyDescent="0.25">
      <c r="C6" s="145" t="s">
        <v>85</v>
      </c>
      <c r="D6" s="146">
        <v>4729.4240453982857</v>
      </c>
      <c r="E6" s="146">
        <v>15634.166849315066</v>
      </c>
      <c r="F6" s="146">
        <v>14803.390636363638</v>
      </c>
      <c r="G6" s="146">
        <v>10302.963697080699</v>
      </c>
      <c r="H6" s="146">
        <v>18172.649722222224</v>
      </c>
      <c r="I6" s="146">
        <v>18172.222222222223</v>
      </c>
      <c r="J6" s="146">
        <v>12243.32881286902</v>
      </c>
    </row>
    <row r="7" spans="3:11" x14ac:dyDescent="0.25">
      <c r="C7" s="145" t="s">
        <v>154</v>
      </c>
      <c r="D7" s="147">
        <v>37.233012109227005</v>
      </c>
      <c r="E7" s="147">
        <v>37.194433503544055</v>
      </c>
      <c r="F7" s="147">
        <v>37.194433503544069</v>
      </c>
      <c r="G7" s="147">
        <v>37.402369168518746</v>
      </c>
      <c r="H7" s="147">
        <v>37.194433503544069</v>
      </c>
      <c r="I7" s="147">
        <v>37.479082568807343</v>
      </c>
      <c r="J7" s="147">
        <v>37.430774735987455</v>
      </c>
    </row>
    <row r="8" spans="3:11" x14ac:dyDescent="0.25">
      <c r="C8" s="98" t="s">
        <v>86</v>
      </c>
      <c r="D8" s="147">
        <v>0.99324674877498975</v>
      </c>
      <c r="E8" s="147">
        <v>0.99935288174312276</v>
      </c>
      <c r="F8" s="147">
        <v>1.0004215734532516</v>
      </c>
      <c r="G8" s="147">
        <v>0.91995520364614936</v>
      </c>
      <c r="H8" s="147">
        <v>0.99667971711313297</v>
      </c>
      <c r="I8" s="147">
        <v>0.99909378918332026</v>
      </c>
      <c r="J8" s="147">
        <v>0.94925877280612581</v>
      </c>
    </row>
    <row r="9" spans="3:11" x14ac:dyDescent="0.25">
      <c r="C9" s="98" t="s">
        <v>87</v>
      </c>
      <c r="D9" s="147">
        <v>0.98841481010093135</v>
      </c>
      <c r="E9" s="147">
        <v>1.0997408331195182</v>
      </c>
      <c r="F9" s="147">
        <v>1.1176263387069352</v>
      </c>
      <c r="G9" s="147">
        <v>0.7683464270819873</v>
      </c>
      <c r="H9" s="147">
        <v>0</v>
      </c>
      <c r="I9" s="147">
        <v>0.95425131873354097</v>
      </c>
      <c r="J9" s="147">
        <v>0.837183604455223</v>
      </c>
    </row>
    <row r="10" spans="3:11" x14ac:dyDescent="0.25">
      <c r="C10" s="98" t="s">
        <v>88</v>
      </c>
      <c r="D10" s="147">
        <v>1.0480791998100547</v>
      </c>
      <c r="E10" s="147">
        <v>0.59413943180494655</v>
      </c>
      <c r="F10" s="147">
        <v>0.60767789967012997</v>
      </c>
      <c r="G10" s="147">
        <v>0.46642037498715244</v>
      </c>
      <c r="H10" s="147">
        <v>0.56027507869125937</v>
      </c>
      <c r="I10" s="147">
        <v>0.48</v>
      </c>
      <c r="J10" s="147">
        <v>0.47144866148013775</v>
      </c>
    </row>
    <row r="11" spans="3:11" x14ac:dyDescent="0.25">
      <c r="C11" s="98" t="s">
        <v>89</v>
      </c>
      <c r="D11" s="147">
        <v>0.55487345940678001</v>
      </c>
      <c r="E11" s="147">
        <v>0.73873896881997259</v>
      </c>
      <c r="F11" s="147">
        <v>0.76533981017461938</v>
      </c>
      <c r="G11" s="147">
        <v>0.9015038033651569</v>
      </c>
      <c r="H11" s="147">
        <v>0.67220113797195169</v>
      </c>
      <c r="I11" s="147">
        <v>0.93211009174311932</v>
      </c>
      <c r="J11" s="147">
        <v>0.91283675153609112</v>
      </c>
    </row>
    <row r="12" spans="3:11" x14ac:dyDescent="0.25">
      <c r="C12" s="98" t="s">
        <v>90</v>
      </c>
      <c r="D12" s="147">
        <v>0.56178947042719918</v>
      </c>
      <c r="E12" s="147">
        <v>0.38334566986707341</v>
      </c>
      <c r="F12" s="147">
        <v>0.40428887889187448</v>
      </c>
      <c r="G12" s="147">
        <v>0.5814128008177627</v>
      </c>
      <c r="H12" s="147">
        <v>0.28792441588762341</v>
      </c>
      <c r="I12" s="147">
        <v>0.28000000000000003</v>
      </c>
      <c r="J12" s="147">
        <v>0.46980515968400838</v>
      </c>
    </row>
    <row r="13" spans="3:11" x14ac:dyDescent="0.25">
      <c r="C13" s="145" t="s">
        <v>91</v>
      </c>
      <c r="D13" s="147">
        <f>SUM(D8:D12)</f>
        <v>4.1464036885199551</v>
      </c>
      <c r="E13" s="147">
        <f>SUM(E8:E12)</f>
        <v>3.8153177853546332</v>
      </c>
      <c r="F13" s="147">
        <f>SUM(F8:F12)</f>
        <v>3.8953545008968105</v>
      </c>
      <c r="G13" s="147">
        <f t="shared" ref="G13" si="0">SUM(G8:G12)</f>
        <v>3.6376386098982088</v>
      </c>
      <c r="H13" s="147">
        <f>SUM(H8:H12)</f>
        <v>2.5170803496639671</v>
      </c>
      <c r="I13" s="147">
        <f t="shared" ref="I13:J13" si="1">SUM(I8:I12)</f>
        <v>3.6454551996599811</v>
      </c>
      <c r="J13" s="147">
        <f t="shared" si="1"/>
        <v>3.6405329499615862</v>
      </c>
    </row>
    <row r="14" spans="3:11" x14ac:dyDescent="0.25">
      <c r="C14" s="97" t="s">
        <v>155</v>
      </c>
      <c r="D14" s="148">
        <f t="shared" ref="D14" si="2">D13+D7</f>
        <v>41.379415797746958</v>
      </c>
      <c r="E14" s="148">
        <f t="shared" ref="E14" si="3">E13+E7</f>
        <v>41.009751288898684</v>
      </c>
      <c r="F14" s="148">
        <f t="shared" ref="F14:I14" si="4">F13+F7</f>
        <v>41.089788004440877</v>
      </c>
      <c r="G14" s="148">
        <f>G13+G7</f>
        <v>41.040007778416957</v>
      </c>
      <c r="H14" s="148">
        <f t="shared" si="4"/>
        <v>39.711513853208032</v>
      </c>
      <c r="I14" s="148">
        <f t="shared" si="4"/>
        <v>41.12453776846732</v>
      </c>
      <c r="J14" s="148">
        <f>J13+J7</f>
        <v>41.071307685949044</v>
      </c>
    </row>
    <row r="15" spans="3:11" x14ac:dyDescent="0.25">
      <c r="C15" s="98" t="s">
        <v>156</v>
      </c>
      <c r="D15" s="146">
        <v>14142.877957528284</v>
      </c>
      <c r="E15" s="146">
        <v>22210.446849315067</v>
      </c>
      <c r="F15" s="146">
        <v>22221.325727272728</v>
      </c>
      <c r="G15" s="146">
        <v>8403.3209090909077</v>
      </c>
      <c r="H15" s="146">
        <v>22177.205833333333</v>
      </c>
      <c r="I15" s="146">
        <v>13000</v>
      </c>
      <c r="J15" s="146">
        <v>9536.7486301369845</v>
      </c>
    </row>
    <row r="16" spans="3:11" x14ac:dyDescent="0.25">
      <c r="C16" s="98" t="s">
        <v>157</v>
      </c>
      <c r="D16" s="147">
        <v>39.560004273384166</v>
      </c>
      <c r="E16" s="147">
        <v>38.59656158790466</v>
      </c>
      <c r="F16" s="147">
        <v>38.463038637417363</v>
      </c>
      <c r="G16" s="147">
        <v>42.458170744269147</v>
      </c>
      <c r="H16" s="147">
        <v>39</v>
      </c>
      <c r="I16" s="147">
        <v>42.086666666666666</v>
      </c>
      <c r="J16" s="147">
        <v>42.331767930065752</v>
      </c>
    </row>
    <row r="17" spans="3:11" x14ac:dyDescent="0.25">
      <c r="C17" s="98" t="s">
        <v>158</v>
      </c>
      <c r="D17" s="146">
        <v>2054.7696078431377</v>
      </c>
      <c r="E17" s="146">
        <v>0</v>
      </c>
      <c r="F17" s="146">
        <v>0</v>
      </c>
      <c r="G17" s="146">
        <v>10928.914347622378</v>
      </c>
      <c r="H17" s="146">
        <v>0</v>
      </c>
      <c r="I17" s="146">
        <v>9033.3333333333339</v>
      </c>
      <c r="J17" s="146">
        <v>10461.510809852476</v>
      </c>
    </row>
    <row r="18" spans="3:11" x14ac:dyDescent="0.25">
      <c r="C18" s="98" t="s">
        <v>159</v>
      </c>
      <c r="D18" s="147">
        <v>37.746549758879787</v>
      </c>
      <c r="E18" s="147">
        <v>0</v>
      </c>
      <c r="F18" s="147">
        <v>0</v>
      </c>
      <c r="G18" s="147">
        <v>39.750262848114581</v>
      </c>
      <c r="H18" s="147">
        <v>0</v>
      </c>
      <c r="I18" s="147">
        <v>39.6</v>
      </c>
      <c r="J18" s="147">
        <v>39.717908445885968</v>
      </c>
      <c r="K18" s="149"/>
    </row>
    <row r="19" spans="3:11" x14ac:dyDescent="0.25">
      <c r="C19" s="97" t="s">
        <v>160</v>
      </c>
      <c r="D19" s="148">
        <v>39.829647566250692</v>
      </c>
      <c r="E19" s="148">
        <v>39.59328445843304</v>
      </c>
      <c r="F19" s="148">
        <v>39.513277526541181</v>
      </c>
      <c r="G19" s="148">
        <v>40.955974657093222</v>
      </c>
      <c r="H19" s="148">
        <f>(H14*H6+H15*H16)/(H15+H6)</f>
        <v>39.320449524510821</v>
      </c>
      <c r="I19" s="148">
        <v>41.094771784232364</v>
      </c>
      <c r="J19" s="148">
        <v>40.998800432063838</v>
      </c>
    </row>
    <row r="21" spans="3:11" ht="15.75" thickBot="1" x14ac:dyDescent="0.3">
      <c r="C21" s="271" t="s">
        <v>161</v>
      </c>
      <c r="D21" s="271"/>
      <c r="E21" s="271"/>
      <c r="F21" s="271"/>
      <c r="G21" s="271"/>
      <c r="H21" s="271"/>
    </row>
    <row r="22" spans="3:11" x14ac:dyDescent="0.25">
      <c r="C22" s="272" t="s">
        <v>188</v>
      </c>
      <c r="D22" s="273"/>
      <c r="E22" s="273"/>
      <c r="F22" s="273"/>
      <c r="G22" s="273"/>
      <c r="H22" s="274"/>
    </row>
    <row r="23" spans="3:11" x14ac:dyDescent="0.25">
      <c r="C23" s="275" t="s">
        <v>162</v>
      </c>
      <c r="D23" s="276" t="s">
        <v>163</v>
      </c>
      <c r="E23" s="276" t="s">
        <v>163</v>
      </c>
      <c r="F23" s="150" t="s">
        <v>164</v>
      </c>
      <c r="G23" s="276" t="s">
        <v>164</v>
      </c>
      <c r="H23" s="276"/>
    </row>
    <row r="24" spans="3:11" x14ac:dyDescent="0.25">
      <c r="C24" s="275"/>
      <c r="D24" s="276"/>
      <c r="E24" s="276"/>
      <c r="F24" s="150" t="s">
        <v>165</v>
      </c>
      <c r="G24" s="276" t="s">
        <v>166</v>
      </c>
      <c r="H24" s="276"/>
    </row>
    <row r="25" spans="3:11" x14ac:dyDescent="0.25">
      <c r="C25" s="151" t="s">
        <v>167</v>
      </c>
      <c r="D25" s="162">
        <f>G6</f>
        <v>10302.963697080699</v>
      </c>
      <c r="E25" s="152">
        <v>18927</v>
      </c>
      <c r="F25" s="153">
        <v>50000</v>
      </c>
      <c r="G25" s="270">
        <v>30000</v>
      </c>
      <c r="H25" s="270"/>
    </row>
    <row r="26" spans="3:11" x14ac:dyDescent="0.25">
      <c r="C26" s="151" t="s">
        <v>168</v>
      </c>
      <c r="D26" s="163">
        <f>G7</f>
        <v>37.402369168518746</v>
      </c>
      <c r="E26" s="152">
        <v>37.17</v>
      </c>
      <c r="F26" s="153">
        <v>37.18</v>
      </c>
      <c r="G26" s="270">
        <v>37.18</v>
      </c>
      <c r="H26" s="270"/>
    </row>
    <row r="27" spans="3:11" x14ac:dyDescent="0.25">
      <c r="C27" s="151" t="s">
        <v>169</v>
      </c>
      <c r="D27" s="163">
        <f>SUM(D28:D33)</f>
        <v>3.6376386098982088</v>
      </c>
      <c r="E27" s="152">
        <v>4.6399999999999997</v>
      </c>
      <c r="F27" s="153">
        <v>3.11</v>
      </c>
      <c r="G27" s="270">
        <v>3</v>
      </c>
      <c r="H27" s="270"/>
    </row>
    <row r="28" spans="3:11" x14ac:dyDescent="0.25">
      <c r="C28" s="151" t="s">
        <v>170</v>
      </c>
      <c r="D28" s="153">
        <v>0</v>
      </c>
      <c r="E28" s="152">
        <v>0</v>
      </c>
      <c r="F28" s="153">
        <v>1.1200000000000001</v>
      </c>
      <c r="G28" s="270">
        <v>1.1200000000000001</v>
      </c>
      <c r="H28" s="270"/>
    </row>
    <row r="29" spans="3:11" x14ac:dyDescent="0.25">
      <c r="C29" s="151" t="s">
        <v>82</v>
      </c>
      <c r="D29" s="163">
        <f>G8</f>
        <v>0.91995520364614936</v>
      </c>
      <c r="E29" s="152">
        <v>0.98</v>
      </c>
      <c r="F29" s="153">
        <v>0.92</v>
      </c>
      <c r="G29" s="270">
        <v>1</v>
      </c>
      <c r="H29" s="270"/>
    </row>
    <row r="30" spans="3:11" x14ac:dyDescent="0.25">
      <c r="C30" s="151" t="s">
        <v>171</v>
      </c>
      <c r="D30" s="163">
        <f t="shared" ref="D30:D33" si="5">G9</f>
        <v>0.7683464270819873</v>
      </c>
      <c r="E30" s="152">
        <v>1.1499999999999999</v>
      </c>
      <c r="F30" s="153">
        <v>0.88</v>
      </c>
      <c r="G30" s="270">
        <v>0.5</v>
      </c>
      <c r="H30" s="270"/>
    </row>
    <row r="31" spans="3:11" x14ac:dyDescent="0.25">
      <c r="C31" s="151" t="s">
        <v>88</v>
      </c>
      <c r="D31" s="163">
        <f t="shared" si="5"/>
        <v>0.46642037498715244</v>
      </c>
      <c r="E31" s="152">
        <v>0.62</v>
      </c>
      <c r="F31" s="153">
        <v>0.56000000000000005</v>
      </c>
      <c r="G31" s="270">
        <v>1</v>
      </c>
      <c r="H31" s="270"/>
    </row>
    <row r="32" spans="3:11" x14ac:dyDescent="0.25">
      <c r="C32" s="151" t="s">
        <v>172</v>
      </c>
      <c r="D32" s="163">
        <f t="shared" si="5"/>
        <v>0.9015038033651569</v>
      </c>
      <c r="E32" s="152">
        <v>1.24</v>
      </c>
      <c r="F32" s="153">
        <v>0.61</v>
      </c>
      <c r="G32" s="270">
        <v>0.5</v>
      </c>
      <c r="H32" s="270"/>
    </row>
    <row r="33" spans="3:8" x14ac:dyDescent="0.25">
      <c r="C33" s="151" t="s">
        <v>173</v>
      </c>
      <c r="D33" s="163">
        <f t="shared" si="5"/>
        <v>0.5814128008177627</v>
      </c>
      <c r="E33" s="152">
        <v>0.65</v>
      </c>
      <c r="F33" s="153">
        <v>0.14000000000000001</v>
      </c>
      <c r="G33" s="270">
        <v>0</v>
      </c>
      <c r="H33" s="270"/>
    </row>
    <row r="34" spans="3:8" x14ac:dyDescent="0.25">
      <c r="C34" s="151" t="s">
        <v>174</v>
      </c>
      <c r="D34" s="153">
        <v>0</v>
      </c>
      <c r="E34" s="152">
        <v>0</v>
      </c>
      <c r="F34" s="153">
        <v>0.7</v>
      </c>
      <c r="G34" s="270">
        <v>0</v>
      </c>
      <c r="H34" s="270"/>
    </row>
    <row r="35" spans="3:8" x14ac:dyDescent="0.25">
      <c r="C35" s="151" t="s">
        <v>175</v>
      </c>
      <c r="D35" s="153">
        <v>0</v>
      </c>
      <c r="E35" s="152">
        <v>0</v>
      </c>
      <c r="F35" s="153">
        <v>1.6</v>
      </c>
      <c r="G35" s="270">
        <v>0</v>
      </c>
      <c r="H35" s="270"/>
    </row>
    <row r="36" spans="3:8" ht="30" x14ac:dyDescent="0.25">
      <c r="C36" s="154" t="s">
        <v>176</v>
      </c>
      <c r="D36" s="164">
        <f>D26+D27</f>
        <v>41.040007778416957</v>
      </c>
      <c r="E36" s="155">
        <v>41.81</v>
      </c>
      <c r="F36" s="156">
        <v>43.71</v>
      </c>
      <c r="G36" s="280">
        <v>41.3</v>
      </c>
      <c r="H36" s="280"/>
    </row>
    <row r="37" spans="3:8" x14ac:dyDescent="0.25">
      <c r="C37" s="151" t="s">
        <v>177</v>
      </c>
      <c r="D37" s="153">
        <v>42.11</v>
      </c>
      <c r="E37" s="152">
        <v>42.11</v>
      </c>
      <c r="F37" s="277" t="s">
        <v>178</v>
      </c>
      <c r="G37" s="277"/>
      <c r="H37" s="277"/>
    </row>
    <row r="38" spans="3:8" x14ac:dyDescent="0.25">
      <c r="C38" s="151" t="s">
        <v>179</v>
      </c>
      <c r="D38" s="163">
        <f>G16</f>
        <v>42.458170744269147</v>
      </c>
      <c r="E38" s="152">
        <v>40.090000000000003</v>
      </c>
      <c r="F38" s="277"/>
      <c r="G38" s="277"/>
      <c r="H38" s="277"/>
    </row>
    <row r="39" spans="3:8" x14ac:dyDescent="0.25">
      <c r="C39" s="151" t="s">
        <v>180</v>
      </c>
      <c r="D39" s="163">
        <f>G18</f>
        <v>39.750262848114581</v>
      </c>
      <c r="E39" s="152">
        <v>37.69</v>
      </c>
      <c r="F39" s="277"/>
      <c r="G39" s="277"/>
      <c r="H39" s="277"/>
    </row>
    <row r="40" spans="3:8" x14ac:dyDescent="0.25">
      <c r="C40" s="157" t="s">
        <v>181</v>
      </c>
      <c r="D40" s="165">
        <f>G19</f>
        <v>40.955974657093222</v>
      </c>
      <c r="E40" s="155">
        <v>40.15</v>
      </c>
      <c r="F40" s="278">
        <v>42.8</v>
      </c>
      <c r="G40" s="278"/>
      <c r="H40" s="278"/>
    </row>
    <row r="41" spans="3:8" x14ac:dyDescent="0.25">
      <c r="C41" s="158" t="s">
        <v>182</v>
      </c>
      <c r="D41" s="158" t="s">
        <v>183</v>
      </c>
      <c r="E41" s="159" t="s">
        <v>183</v>
      </c>
      <c r="F41" s="279"/>
      <c r="G41" s="279"/>
      <c r="H41" s="160"/>
    </row>
  </sheetData>
  <mergeCells count="29">
    <mergeCell ref="F37:H39"/>
    <mergeCell ref="F40:H40"/>
    <mergeCell ref="F41:G41"/>
    <mergeCell ref="G31:H31"/>
    <mergeCell ref="G32:H32"/>
    <mergeCell ref="G33:H33"/>
    <mergeCell ref="G34:H34"/>
    <mergeCell ref="G35:H35"/>
    <mergeCell ref="G36:H36"/>
    <mergeCell ref="G30:H30"/>
    <mergeCell ref="C21:H21"/>
    <mergeCell ref="C22:H22"/>
    <mergeCell ref="C23:C24"/>
    <mergeCell ref="D23:D24"/>
    <mergeCell ref="E23:E24"/>
    <mergeCell ref="G23:H23"/>
    <mergeCell ref="G24:H24"/>
    <mergeCell ref="G25:H25"/>
    <mergeCell ref="G26:H26"/>
    <mergeCell ref="G27:H27"/>
    <mergeCell ref="G28:H28"/>
    <mergeCell ref="G29:H29"/>
    <mergeCell ref="J3:J4"/>
    <mergeCell ref="F4:G4"/>
    <mergeCell ref="C3:C5"/>
    <mergeCell ref="D3:D4"/>
    <mergeCell ref="E3:E4"/>
    <mergeCell ref="F3:G3"/>
    <mergeCell ref="H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Charts</vt:lpstr>
      <vt:lpstr>Volume Summary</vt:lpstr>
      <vt:lpstr>BR Slide SCC and Cost</vt:lpstr>
      <vt:lpstr>BR Slide Volume</vt:lpstr>
      <vt:lpstr>Consolidate</vt:lpstr>
      <vt:lpstr>BIHAR</vt:lpstr>
      <vt:lpstr>WEST BENGAL</vt:lpstr>
      <vt:lpstr>JHARKHAND</vt:lpstr>
      <vt:lpstr>JH Slide 1</vt:lpstr>
      <vt:lpstr>JH Slide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2022-06-24T10:16:20Z</dcterms:created>
  <dcterms:modified xsi:type="dcterms:W3CDTF">2026-10-02T10:51:30Z</dcterms:modified>
</cp:coreProperties>
</file>